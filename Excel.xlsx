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JAY BHUSHAN SINGH\Desktop\Final\"/>
    </mc:Choice>
  </mc:AlternateContent>
  <xr:revisionPtr revIDLastSave="0" documentId="13_ncr:1_{5885FF00-4C67-4FC1-85AB-ADEA7905CC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7" r:id="rId1"/>
    <sheet name="Sales Data" sheetId="1" r:id="rId2"/>
    <sheet name="Instructions" sheetId="2" r:id="rId3"/>
    <sheet name="Sales rep ranking HW -1" sheetId="3" state="hidden" r:id="rId4"/>
    <sheet name="Pivot Table 4" sheetId="4" state="hidden" r:id="rId5"/>
    <sheet name="Dashboard" sheetId="5" state="hidden" r:id="rId6"/>
  </sheets>
  <externalReferences>
    <externalReference r:id="rId7"/>
  </externalReferences>
  <calcPr calcId="191029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R19" i="1" l="1"/>
  <c r="R18" i="1"/>
  <c r="R17" i="1"/>
  <c r="R1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R15" i="1"/>
  <c r="R10" i="1"/>
  <c r="R11" i="1"/>
  <c r="R12" i="1"/>
  <c r="R13" i="1"/>
  <c r="R14" i="1"/>
  <c r="R9" i="1"/>
  <c r="R8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0" i="1"/>
  <c r="K11" i="1"/>
  <c r="K3" i="1"/>
  <c r="K4" i="1"/>
  <c r="K5" i="1"/>
  <c r="K6" i="1"/>
  <c r="K7" i="1"/>
  <c r="K8" i="1"/>
  <c r="K9" i="1"/>
  <c r="K2" i="1"/>
  <c r="R7" i="1"/>
  <c r="R6" i="1"/>
  <c r="R5" i="1"/>
  <c r="B2" i="5" a="1"/>
  <c r="B25" i="5" s="1"/>
  <c r="Z49" i="4"/>
  <c r="Y49" i="4"/>
  <c r="X49" i="4"/>
  <c r="W49" i="4"/>
  <c r="Z48" i="4"/>
  <c r="Y48" i="4"/>
  <c r="X48" i="4"/>
  <c r="W48" i="4"/>
  <c r="Z47" i="4"/>
  <c r="Y47" i="4"/>
  <c r="X47" i="4"/>
  <c r="W47" i="4"/>
  <c r="Z46" i="4"/>
  <c r="Y46" i="4"/>
  <c r="X46" i="4"/>
  <c r="W46" i="4"/>
  <c r="Z45" i="4"/>
  <c r="Y45" i="4"/>
  <c r="X45" i="4"/>
  <c r="W45" i="4"/>
  <c r="Z44" i="4"/>
  <c r="Y44" i="4"/>
  <c r="X44" i="4"/>
  <c r="W44" i="4"/>
  <c r="Z43" i="4"/>
  <c r="Y43" i="4"/>
  <c r="X43" i="4"/>
  <c r="W43" i="4"/>
  <c r="Z42" i="4"/>
  <c r="Y42" i="4"/>
  <c r="X42" i="4"/>
  <c r="W42" i="4"/>
  <c r="Z41" i="4"/>
  <c r="Y41" i="4"/>
  <c r="X41" i="4"/>
  <c r="W41" i="4"/>
  <c r="AK39" i="4"/>
  <c r="AF39" i="4"/>
  <c r="AE39" i="4"/>
  <c r="AD39" i="4"/>
  <c r="AC39" i="4"/>
  <c r="T38" i="4"/>
  <c r="S38" i="4"/>
  <c r="R38" i="4"/>
  <c r="Q38" i="4"/>
  <c r="AI37" i="4"/>
  <c r="AG37" i="4"/>
  <c r="T37" i="4"/>
  <c r="AH37" i="4" s="1"/>
  <c r="S37" i="4"/>
  <c r="R37" i="4"/>
  <c r="Q37" i="4"/>
  <c r="AI36" i="4"/>
  <c r="AG36" i="4"/>
  <c r="AJ36" i="4" s="1"/>
  <c r="T36" i="4"/>
  <c r="AH36" i="4" s="1"/>
  <c r="S36" i="4"/>
  <c r="R36" i="4"/>
  <c r="Q36" i="4"/>
  <c r="D36" i="4"/>
  <c r="AI35" i="4"/>
  <c r="AG35" i="4"/>
  <c r="AJ35" i="4" s="1"/>
  <c r="T35" i="4"/>
  <c r="AH35" i="4" s="1"/>
  <c r="S35" i="4"/>
  <c r="R35" i="4"/>
  <c r="Q35" i="4"/>
  <c r="D35" i="4"/>
  <c r="AI34" i="4"/>
  <c r="AG34" i="4"/>
  <c r="AJ34" i="4" s="1"/>
  <c r="T34" i="4"/>
  <c r="AH34" i="4" s="1"/>
  <c r="S34" i="4"/>
  <c r="R34" i="4"/>
  <c r="Q34" i="4"/>
  <c r="D34" i="4"/>
  <c r="AI33" i="4"/>
  <c r="AG33" i="4"/>
  <c r="AJ33" i="4" s="1"/>
  <c r="T33" i="4"/>
  <c r="AH33" i="4" s="1"/>
  <c r="S33" i="4"/>
  <c r="R33" i="4"/>
  <c r="Q33" i="4"/>
  <c r="D33" i="4"/>
  <c r="AI32" i="4"/>
  <c r="AG32" i="4"/>
  <c r="AJ32" i="4" s="1"/>
  <c r="T32" i="4"/>
  <c r="AH32" i="4" s="1"/>
  <c r="S32" i="4"/>
  <c r="R32" i="4"/>
  <c r="Q32" i="4"/>
  <c r="D32" i="4"/>
  <c r="AI31" i="4"/>
  <c r="AG31" i="4"/>
  <c r="AJ31" i="4" s="1"/>
  <c r="T31" i="4"/>
  <c r="AH31" i="4" s="1"/>
  <c r="S31" i="4"/>
  <c r="R31" i="4"/>
  <c r="Q31" i="4"/>
  <c r="D31" i="4"/>
  <c r="AI30" i="4"/>
  <c r="AG30" i="4"/>
  <c r="AJ30" i="4" s="1"/>
  <c r="T30" i="4"/>
  <c r="AH30" i="4" s="1"/>
  <c r="S30" i="4"/>
  <c r="R30" i="4"/>
  <c r="Q30" i="4"/>
  <c r="D30" i="4"/>
  <c r="AI29" i="4"/>
  <c r="AG29" i="4"/>
  <c r="AJ29" i="4" s="1"/>
  <c r="T29" i="4"/>
  <c r="AH29" i="4" s="1"/>
  <c r="AK29" i="4" s="1"/>
  <c r="S29" i="4"/>
  <c r="R29" i="4"/>
  <c r="Q29" i="4"/>
  <c r="D29" i="4"/>
  <c r="D28" i="4"/>
  <c r="O27" i="3"/>
  <c r="N27" i="3"/>
  <c r="M27" i="3"/>
  <c r="I27" i="3"/>
  <c r="D27" i="3"/>
  <c r="C27" i="3"/>
  <c r="B27" i="3"/>
  <c r="O26" i="3"/>
  <c r="N26" i="3"/>
  <c r="M26" i="3"/>
  <c r="D26" i="3"/>
  <c r="C26" i="3"/>
  <c r="B26" i="3"/>
  <c r="O25" i="3"/>
  <c r="N25" i="3"/>
  <c r="M25" i="3"/>
  <c r="I25" i="3"/>
  <c r="D25" i="3"/>
  <c r="C25" i="3"/>
  <c r="B25" i="3"/>
  <c r="O24" i="3"/>
  <c r="N24" i="3"/>
  <c r="M24" i="3"/>
  <c r="D24" i="3"/>
  <c r="C24" i="3"/>
  <c r="B24" i="3"/>
  <c r="O23" i="3"/>
  <c r="N23" i="3"/>
  <c r="M23" i="3"/>
  <c r="D23" i="3"/>
  <c r="C23" i="3"/>
  <c r="B23" i="3"/>
  <c r="O22" i="3"/>
  <c r="N22" i="3"/>
  <c r="M22" i="3"/>
  <c r="D22" i="3"/>
  <c r="C22" i="3"/>
  <c r="B22" i="3"/>
  <c r="O21" i="3"/>
  <c r="N21" i="3"/>
  <c r="M21" i="3"/>
  <c r="I21" i="3"/>
  <c r="D21" i="3"/>
  <c r="C21" i="3"/>
  <c r="B21" i="3"/>
  <c r="O20" i="3"/>
  <c r="N20" i="3"/>
  <c r="M20" i="3"/>
  <c r="D20" i="3"/>
  <c r="C20" i="3"/>
  <c r="B20" i="3"/>
  <c r="O19" i="3"/>
  <c r="N19" i="3"/>
  <c r="M19" i="3"/>
  <c r="D19" i="3"/>
  <c r="C19" i="3"/>
  <c r="B19" i="3"/>
  <c r="T16" i="3"/>
  <c r="M16" i="3" s="1"/>
  <c r="S16" i="3"/>
  <c r="R16" i="3"/>
  <c r="P12" i="3"/>
  <c r="O12" i="3"/>
  <c r="J27" i="3" s="1"/>
  <c r="N12" i="3"/>
  <c r="M12" i="3"/>
  <c r="P11" i="3"/>
  <c r="O11" i="3"/>
  <c r="J26" i="3" s="1"/>
  <c r="N11" i="3"/>
  <c r="I26" i="3" s="1"/>
  <c r="M11" i="3"/>
  <c r="P10" i="3"/>
  <c r="O10" i="3"/>
  <c r="N10" i="3"/>
  <c r="M10" i="3"/>
  <c r="P9" i="3"/>
  <c r="O9" i="3"/>
  <c r="J24" i="3" s="1"/>
  <c r="N9" i="3"/>
  <c r="I24" i="3" s="1"/>
  <c r="M9" i="3"/>
  <c r="P8" i="3"/>
  <c r="O8" i="3"/>
  <c r="J23" i="3" s="1"/>
  <c r="N8" i="3"/>
  <c r="I23" i="3" s="1"/>
  <c r="M8" i="3"/>
  <c r="P7" i="3"/>
  <c r="O7" i="3"/>
  <c r="J22" i="3" s="1"/>
  <c r="N7" i="3"/>
  <c r="I22" i="3" s="1"/>
  <c r="S22" i="3" s="1"/>
  <c r="V22" i="3" s="1"/>
  <c r="M7" i="3"/>
  <c r="P6" i="3"/>
  <c r="O6" i="3"/>
  <c r="J21" i="3" s="1"/>
  <c r="N6" i="3"/>
  <c r="M6" i="3"/>
  <c r="P5" i="3"/>
  <c r="O5" i="3"/>
  <c r="J20" i="3" s="1"/>
  <c r="N5" i="3"/>
  <c r="I20" i="3" s="1"/>
  <c r="M5" i="3"/>
  <c r="P4" i="3"/>
  <c r="O4" i="3"/>
  <c r="J19" i="3" s="1"/>
  <c r="N4" i="3"/>
  <c r="I19" i="3" s="1"/>
  <c r="M4" i="3"/>
  <c r="H19" i="3" s="1"/>
  <c r="T21" i="3" l="1"/>
  <c r="W21" i="3" s="1"/>
  <c r="T24" i="3"/>
  <c r="W24" i="3" s="1"/>
  <c r="S25" i="3"/>
  <c r="V25" i="3" s="1"/>
  <c r="AK38" i="4"/>
  <c r="S20" i="3"/>
  <c r="V20" i="3" s="1"/>
  <c r="S26" i="3"/>
  <c r="V26" i="3" s="1"/>
  <c r="T20" i="3"/>
  <c r="W20" i="3" s="1"/>
  <c r="S21" i="3"/>
  <c r="V21" i="3" s="1"/>
  <c r="H23" i="3"/>
  <c r="R23" i="3" s="1"/>
  <c r="U23" i="3" s="1"/>
  <c r="T19" i="3"/>
  <c r="W19" i="3" s="1"/>
  <c r="R19" i="3"/>
  <c r="U19" i="3" s="1"/>
  <c r="S24" i="3"/>
  <c r="V24" i="3" s="1"/>
  <c r="T25" i="3"/>
  <c r="W25" i="3" s="1"/>
  <c r="AJ37" i="4"/>
  <c r="H21" i="3"/>
  <c r="R21" i="3" s="1"/>
  <c r="H27" i="3"/>
  <c r="R27" i="3" s="1"/>
  <c r="X12" i="3"/>
  <c r="H24" i="3"/>
  <c r="R24" i="3" s="1"/>
  <c r="T26" i="3"/>
  <c r="W26" i="3" s="1"/>
  <c r="S23" i="3"/>
  <c r="V23" i="3" s="1"/>
  <c r="T23" i="3"/>
  <c r="W23" i="3" s="1"/>
  <c r="T27" i="3"/>
  <c r="W27" i="3" s="1"/>
  <c r="N25" i="5"/>
  <c r="M25" i="5"/>
  <c r="L25" i="5"/>
  <c r="H25" i="5"/>
  <c r="G25" i="5"/>
  <c r="F25" i="5"/>
  <c r="E25" i="5"/>
  <c r="D25" i="5"/>
  <c r="C25" i="5"/>
  <c r="B14" i="5"/>
  <c r="T22" i="3"/>
  <c r="W22" i="3" s="1"/>
  <c r="B3" i="5"/>
  <c r="B15" i="5"/>
  <c r="B4" i="5"/>
  <c r="B16" i="5"/>
  <c r="A16" i="3"/>
  <c r="B5" i="5"/>
  <c r="B17" i="5"/>
  <c r="B6" i="5"/>
  <c r="B18" i="5"/>
  <c r="B7" i="5"/>
  <c r="B19" i="5"/>
  <c r="S27" i="3"/>
  <c r="V27" i="3" s="1"/>
  <c r="H16" i="3"/>
  <c r="B8" i="5"/>
  <c r="B20" i="5"/>
  <c r="B9" i="5"/>
  <c r="B21" i="5"/>
  <c r="B10" i="5"/>
  <c r="B22" i="5"/>
  <c r="B11" i="5"/>
  <c r="B23" i="5"/>
  <c r="B12" i="5"/>
  <c r="B24" i="5"/>
  <c r="S19" i="3"/>
  <c r="V19" i="3" s="1"/>
  <c r="B2" i="5"/>
  <c r="B13" i="5"/>
  <c r="U22" i="3" l="1"/>
  <c r="U20" i="3"/>
  <c r="U21" i="3"/>
  <c r="U24" i="3"/>
  <c r="U26" i="3"/>
  <c r="U25" i="3"/>
  <c r="U27" i="3"/>
  <c r="N20" i="5"/>
  <c r="M20" i="5"/>
  <c r="L20" i="5"/>
  <c r="H20" i="5"/>
  <c r="G20" i="5"/>
  <c r="F20" i="5"/>
  <c r="E20" i="5"/>
  <c r="D20" i="5"/>
  <c r="C20" i="5"/>
  <c r="N4" i="5"/>
  <c r="M4" i="5"/>
  <c r="L4" i="5"/>
  <c r="H4" i="5"/>
  <c r="G4" i="5"/>
  <c r="F4" i="5"/>
  <c r="E4" i="5"/>
  <c r="D4" i="5"/>
  <c r="C4" i="5"/>
  <c r="N13" i="5"/>
  <c r="M13" i="5"/>
  <c r="L13" i="5"/>
  <c r="H13" i="5"/>
  <c r="G13" i="5"/>
  <c r="F13" i="5"/>
  <c r="E13" i="5"/>
  <c r="D13" i="5"/>
  <c r="C13" i="5"/>
  <c r="N8" i="5"/>
  <c r="M8" i="5"/>
  <c r="L8" i="5"/>
  <c r="H8" i="5"/>
  <c r="G8" i="5"/>
  <c r="F8" i="5"/>
  <c r="E8" i="5"/>
  <c r="D8" i="5"/>
  <c r="C8" i="5"/>
  <c r="N15" i="5"/>
  <c r="M15" i="5"/>
  <c r="L15" i="5"/>
  <c r="H15" i="5"/>
  <c r="G15" i="5"/>
  <c r="F15" i="5"/>
  <c r="E15" i="5"/>
  <c r="D15" i="5"/>
  <c r="C15" i="5"/>
  <c r="N3" i="5"/>
  <c r="M3" i="5"/>
  <c r="L3" i="5"/>
  <c r="H3" i="5"/>
  <c r="G3" i="5"/>
  <c r="F3" i="5"/>
  <c r="E3" i="5"/>
  <c r="D3" i="5"/>
  <c r="C3" i="5"/>
  <c r="N24" i="5"/>
  <c r="M24" i="5"/>
  <c r="L24" i="5"/>
  <c r="H24" i="5"/>
  <c r="G24" i="5"/>
  <c r="F24" i="5"/>
  <c r="E24" i="5"/>
  <c r="D24" i="5"/>
  <c r="C24" i="5"/>
  <c r="N19" i="5"/>
  <c r="M19" i="5"/>
  <c r="L19" i="5"/>
  <c r="H19" i="5"/>
  <c r="G19" i="5"/>
  <c r="F19" i="5"/>
  <c r="E19" i="5"/>
  <c r="D19" i="5"/>
  <c r="C19" i="5"/>
  <c r="N14" i="5"/>
  <c r="M14" i="5"/>
  <c r="L14" i="5"/>
  <c r="H14" i="5"/>
  <c r="G14" i="5"/>
  <c r="F14" i="5"/>
  <c r="E14" i="5"/>
  <c r="D14" i="5"/>
  <c r="C14" i="5"/>
  <c r="N12" i="5"/>
  <c r="M12" i="5"/>
  <c r="L12" i="5"/>
  <c r="H12" i="5"/>
  <c r="G12" i="5"/>
  <c r="F12" i="5"/>
  <c r="E12" i="5"/>
  <c r="D12" i="5"/>
  <c r="C12" i="5"/>
  <c r="N7" i="5"/>
  <c r="M7" i="5"/>
  <c r="L7" i="5"/>
  <c r="H7" i="5"/>
  <c r="G7" i="5"/>
  <c r="F7" i="5"/>
  <c r="E7" i="5"/>
  <c r="D7" i="5"/>
  <c r="C7" i="5"/>
  <c r="N23" i="5"/>
  <c r="M23" i="5"/>
  <c r="L23" i="5"/>
  <c r="H23" i="5"/>
  <c r="G23" i="5"/>
  <c r="F23" i="5"/>
  <c r="E23" i="5"/>
  <c r="D23" i="5"/>
  <c r="C23" i="5"/>
  <c r="N18" i="5"/>
  <c r="M18" i="5"/>
  <c r="L18" i="5"/>
  <c r="H18" i="5"/>
  <c r="G18" i="5"/>
  <c r="F18" i="5"/>
  <c r="E18" i="5"/>
  <c r="D18" i="5"/>
  <c r="C18" i="5"/>
  <c r="N11" i="5"/>
  <c r="M11" i="5"/>
  <c r="L11" i="5"/>
  <c r="H11" i="5"/>
  <c r="G11" i="5"/>
  <c r="F11" i="5"/>
  <c r="E11" i="5"/>
  <c r="D11" i="5"/>
  <c r="C11" i="5"/>
  <c r="N6" i="5"/>
  <c r="M6" i="5"/>
  <c r="L6" i="5"/>
  <c r="H6" i="5"/>
  <c r="G6" i="5"/>
  <c r="F6" i="5"/>
  <c r="E6" i="5"/>
  <c r="D6" i="5"/>
  <c r="C6" i="5"/>
  <c r="N22" i="5"/>
  <c r="M22" i="5"/>
  <c r="L22" i="5"/>
  <c r="H22" i="5"/>
  <c r="G22" i="5"/>
  <c r="F22" i="5"/>
  <c r="E22" i="5"/>
  <c r="D22" i="5"/>
  <c r="C22" i="5"/>
  <c r="N17" i="5"/>
  <c r="M17" i="5"/>
  <c r="L17" i="5"/>
  <c r="H17" i="5"/>
  <c r="G17" i="5"/>
  <c r="F17" i="5"/>
  <c r="E17" i="5"/>
  <c r="D17" i="5"/>
  <c r="C17" i="5"/>
  <c r="I25" i="5"/>
  <c r="N10" i="5"/>
  <c r="M10" i="5"/>
  <c r="L10" i="5"/>
  <c r="H10" i="5"/>
  <c r="G10" i="5"/>
  <c r="F10" i="5"/>
  <c r="E10" i="5"/>
  <c r="D10" i="5"/>
  <c r="C10" i="5"/>
  <c r="N5" i="5"/>
  <c r="M5" i="5"/>
  <c r="L5" i="5"/>
  <c r="H5" i="5"/>
  <c r="G5" i="5"/>
  <c r="F5" i="5"/>
  <c r="E5" i="5"/>
  <c r="D5" i="5"/>
  <c r="C5" i="5"/>
  <c r="J25" i="5"/>
  <c r="N21" i="5"/>
  <c r="M21" i="5"/>
  <c r="L21" i="5"/>
  <c r="H21" i="5"/>
  <c r="G21" i="5"/>
  <c r="F21" i="5"/>
  <c r="E21" i="5"/>
  <c r="D21" i="5"/>
  <c r="C21" i="5"/>
  <c r="K25" i="5"/>
  <c r="N9" i="5"/>
  <c r="M9" i="5"/>
  <c r="L9" i="5"/>
  <c r="H9" i="5"/>
  <c r="G9" i="5"/>
  <c r="F9" i="5"/>
  <c r="E9" i="5"/>
  <c r="D9" i="5"/>
  <c r="C9" i="5"/>
  <c r="N16" i="5"/>
  <c r="M16" i="5"/>
  <c r="L16" i="5"/>
  <c r="H16" i="5"/>
  <c r="G16" i="5"/>
  <c r="F16" i="5"/>
  <c r="E16" i="5"/>
  <c r="D16" i="5"/>
  <c r="C16" i="5"/>
  <c r="K13" i="5" l="1"/>
  <c r="J21" i="5"/>
  <c r="K6" i="5"/>
  <c r="K7" i="5"/>
  <c r="K24" i="5"/>
  <c r="J5" i="5"/>
  <c r="I6" i="5"/>
  <c r="I7" i="5"/>
  <c r="I24" i="5"/>
  <c r="I13" i="5"/>
  <c r="I21" i="5"/>
  <c r="K5" i="5"/>
  <c r="J6" i="5"/>
  <c r="J7" i="5"/>
  <c r="J24" i="5"/>
  <c r="J13" i="5"/>
  <c r="I9" i="5"/>
  <c r="K21" i="5"/>
  <c r="I22" i="5"/>
  <c r="I23" i="5"/>
  <c r="I19" i="5"/>
  <c r="I8" i="5"/>
  <c r="J9" i="5"/>
  <c r="J22" i="5"/>
  <c r="J23" i="5"/>
  <c r="J19" i="5"/>
  <c r="J8" i="5"/>
  <c r="K9" i="5"/>
  <c r="K22" i="5"/>
  <c r="K23" i="5"/>
  <c r="K19" i="5"/>
  <c r="K8" i="5"/>
  <c r="I16" i="5"/>
  <c r="I17" i="5"/>
  <c r="I18" i="5"/>
  <c r="I14" i="5"/>
  <c r="I15" i="5"/>
  <c r="I20" i="5"/>
  <c r="J16" i="5"/>
  <c r="J17" i="5"/>
  <c r="J18" i="5"/>
  <c r="J14" i="5"/>
  <c r="J15" i="5"/>
  <c r="J20" i="5"/>
  <c r="K16" i="5"/>
  <c r="I10" i="5"/>
  <c r="K17" i="5"/>
  <c r="K18" i="5"/>
  <c r="K14" i="5"/>
  <c r="K15" i="5"/>
  <c r="K20" i="5"/>
  <c r="J10" i="5"/>
  <c r="I11" i="5"/>
  <c r="I12" i="5"/>
  <c r="I3" i="5"/>
  <c r="I4" i="5"/>
  <c r="K10" i="5"/>
  <c r="J11" i="5"/>
  <c r="J12" i="5"/>
  <c r="J3" i="5"/>
  <c r="J4" i="5"/>
  <c r="I5" i="5"/>
  <c r="K11" i="5"/>
  <c r="K12" i="5"/>
  <c r="K3" i="5"/>
  <c r="K4" i="5"/>
</calcChain>
</file>

<file path=xl/sharedStrings.xml><?xml version="1.0" encoding="utf-8"?>
<sst xmlns="http://schemas.openxmlformats.org/spreadsheetml/2006/main" count="14543" uniqueCount="3194">
  <si>
    <t>Account Name</t>
  </si>
  <si>
    <t>Account Status</t>
  </si>
  <si>
    <t>Future Growth Potential Segment</t>
  </si>
  <si>
    <t>Account Owner</t>
  </si>
  <si>
    <t>Primary Country</t>
  </si>
  <si>
    <t>Primary City</t>
  </si>
  <si>
    <t>Potential Business</t>
  </si>
  <si>
    <t>Opportunity Start date</t>
  </si>
  <si>
    <t>Revenue Amount</t>
  </si>
  <si>
    <t>Opportunity Close Date</t>
  </si>
  <si>
    <t>Antai Venture Builder</t>
  </si>
  <si>
    <t>Not a Customer</t>
  </si>
  <si>
    <t>No growth Potential</t>
  </si>
  <si>
    <t>Roman Nacha</t>
  </si>
  <si>
    <t>Spain</t>
  </si>
  <si>
    <t>Barcelona</t>
  </si>
  <si>
    <t>13-03-2022</t>
  </si>
  <si>
    <t>Grupo LoMonaco</t>
  </si>
  <si>
    <t>Peligros</t>
  </si>
  <si>
    <t>WEB IDEIAS - SERVICOS DE INTERNET SOCIEDADE UNIPESSOAL LDA</t>
  </si>
  <si>
    <t>Active Customer</t>
  </si>
  <si>
    <t>High Growth potential</t>
  </si>
  <si>
    <t>Portugal</t>
  </si>
  <si>
    <t>Vila das Aves</t>
  </si>
  <si>
    <t>Simon S.A.</t>
  </si>
  <si>
    <t>23-10-2022</t>
  </si>
  <si>
    <t>Civitatis</t>
  </si>
  <si>
    <t>Madrid</t>
  </si>
  <si>
    <t>AJUNTAMENT DE TARRAGONA</t>
  </si>
  <si>
    <t>Tarragona</t>
  </si>
  <si>
    <t>13-09-2022</t>
  </si>
  <si>
    <t>KAVE HOME</t>
  </si>
  <si>
    <t>GIRONA</t>
  </si>
  <si>
    <t>Camara Municipal de Cascais</t>
  </si>
  <si>
    <t>Cascais</t>
  </si>
  <si>
    <t>21-10-2022</t>
  </si>
  <si>
    <t>20-11-2022</t>
  </si>
  <si>
    <t>MERCEDES BENZ ESPANA S.A</t>
  </si>
  <si>
    <t>ALCOBENDAS</t>
  </si>
  <si>
    <t>13-10-2022</t>
  </si>
  <si>
    <t>Vilau Media</t>
  </si>
  <si>
    <t>Erandio</t>
  </si>
  <si>
    <t>24-08-2022</t>
  </si>
  <si>
    <t>Genetsis &amp; Partners S.A.</t>
  </si>
  <si>
    <t>Alcobendas</t>
  </si>
  <si>
    <t>Gobierno de Portugal</t>
  </si>
  <si>
    <t>TBD</t>
  </si>
  <si>
    <t>PUERTOS DEL ESTADO</t>
  </si>
  <si>
    <t>19-09-2022</t>
  </si>
  <si>
    <t>PRA Iberia</t>
  </si>
  <si>
    <t>22-12-2022</t>
  </si>
  <si>
    <t>INSTITUTO DE MURCIA</t>
  </si>
  <si>
    <t>Murcia</t>
  </si>
  <si>
    <t>19-02-2022</t>
  </si>
  <si>
    <t>20-04-2022</t>
  </si>
  <si>
    <t>Multiestetica</t>
  </si>
  <si>
    <t>Defensor del Pueblo</t>
  </si>
  <si>
    <t>Medium Growth</t>
  </si>
  <si>
    <t>INFOJOBS S.A.</t>
  </si>
  <si>
    <t>BARCELONA</t>
  </si>
  <si>
    <t>COSTAISA</t>
  </si>
  <si>
    <t>CTT Correios</t>
  </si>
  <si>
    <t>Oporto</t>
  </si>
  <si>
    <t>ServoTIC</t>
  </si>
  <si>
    <t>ATRAPALO S.L.</t>
  </si>
  <si>
    <t>19-10-2022</t>
  </si>
  <si>
    <t>Customs &amp; Global Trade at Caro Jaume &amp; Partners</t>
  </si>
  <si>
    <t>Roca Corporacion Empresarial S.A.</t>
  </si>
  <si>
    <t>31-03-2022</t>
  </si>
  <si>
    <t>LACTALIS PULEVA S.L</t>
  </si>
  <si>
    <t>Granada</t>
  </si>
  <si>
    <t>23-09-2022</t>
  </si>
  <si>
    <t>GRUPO COREN</t>
  </si>
  <si>
    <t>Arrabaldo</t>
  </si>
  <si>
    <t>Transportes Boyaca S.L.</t>
  </si>
  <si>
    <t>20-02-2022</t>
  </si>
  <si>
    <t>AXPE CONSULTING</t>
  </si>
  <si>
    <t>BÓBOLI</t>
  </si>
  <si>
    <t>Llinars del Valles</t>
  </si>
  <si>
    <t>Modasystem srl</t>
  </si>
  <si>
    <t>Italy</t>
  </si>
  <si>
    <t>BASSANO DEL GRAPPA</t>
  </si>
  <si>
    <t>23-03-2022</t>
  </si>
  <si>
    <t>Imaste IPS</t>
  </si>
  <si>
    <t>PARQUE DE ATRACCIONES MADRID SA</t>
  </si>
  <si>
    <t>MADRID</t>
  </si>
  <si>
    <t>Fundacion Tripartita</t>
  </si>
  <si>
    <t>Optimus Zero SA (OPTIZE)</t>
  </si>
  <si>
    <t>CAP GEMINI ESPA?A S.A.</t>
  </si>
  <si>
    <t>CONGRESO DE LOS DIPUTADOS</t>
  </si>
  <si>
    <t>Amb Molt d' Encert S.L</t>
  </si>
  <si>
    <t>GERMAINE DE CAPUCCINI</t>
  </si>
  <si>
    <t>ALCOY/ALCOI</t>
  </si>
  <si>
    <t>22-09-2022</t>
  </si>
  <si>
    <t>Woyre</t>
  </si>
  <si>
    <t>Gecesa Cajamadrid</t>
  </si>
  <si>
    <t>madrid</t>
  </si>
  <si>
    <t>23-11-2022</t>
  </si>
  <si>
    <t>My Crypto Bot</t>
  </si>
  <si>
    <t>Venca (C.I.F.D.S.A)</t>
  </si>
  <si>
    <t>Vilanova I La Geltru</t>
  </si>
  <si>
    <t>AYUNTAMIENTO DE GIJON</t>
  </si>
  <si>
    <t>GIJON</t>
  </si>
  <si>
    <t>Ayuntamiento de Madrid</t>
  </si>
  <si>
    <t>Iberojet</t>
  </si>
  <si>
    <t>PALMA</t>
  </si>
  <si>
    <t>Azbil Telstar Technologies S.L.U.</t>
  </si>
  <si>
    <t>TERRASSA</t>
  </si>
  <si>
    <t>AYUNTAMIENTO DE ARANJUEZ</t>
  </si>
  <si>
    <t>Aranjuez</t>
  </si>
  <si>
    <t>Lamas Bolaño</t>
  </si>
  <si>
    <t>21-03-2022</t>
  </si>
  <si>
    <t>Luis Simoes</t>
  </si>
  <si>
    <t>CARREGADO</t>
  </si>
  <si>
    <t>Consum Sociedad Cooperativa Valenciana</t>
  </si>
  <si>
    <t>Silla</t>
  </si>
  <si>
    <t>13-01-2023</t>
  </si>
  <si>
    <t>GRUPO IFA</t>
  </si>
  <si>
    <t>Silgan Dispensing Systems Barcelona SL</t>
  </si>
  <si>
    <t>Colomer Escuela náutica</t>
  </si>
  <si>
    <t>Cabo de Palos</t>
  </si>
  <si>
    <t>21-01-2023</t>
  </si>
  <si>
    <t>Safelayer</t>
  </si>
  <si>
    <t>14-12-2021</t>
  </si>
  <si>
    <t>IRIUM NETWORKS S.L.</t>
  </si>
  <si>
    <t>Liz Online</t>
  </si>
  <si>
    <t>UNIVERSIDAD DE LA IGLESIA DE DEUSTO</t>
  </si>
  <si>
    <t>BILBAO</t>
  </si>
  <si>
    <t>24-09-2022</t>
  </si>
  <si>
    <t>Posicionamiento natural</t>
  </si>
  <si>
    <t>24-07-2022</t>
  </si>
  <si>
    <t>NTR</t>
  </si>
  <si>
    <t>A CORUNA</t>
  </si>
  <si>
    <t>Emagister</t>
  </si>
  <si>
    <t>Sant Cugat del Valles</t>
  </si>
  <si>
    <t>Aena</t>
  </si>
  <si>
    <t>24-03-2022</t>
  </si>
  <si>
    <t>23-04-2022</t>
  </si>
  <si>
    <t>Mellerbrand</t>
  </si>
  <si>
    <t>GRUPO DANOBAT</t>
  </si>
  <si>
    <t>ELGOIBAR</t>
  </si>
  <si>
    <t>BitBan Technologies S.L.</t>
  </si>
  <si>
    <t>21-02-2022</t>
  </si>
  <si>
    <t>Gestion de Publicaciones y Publicidad</t>
  </si>
  <si>
    <t>23-05-2023</t>
  </si>
  <si>
    <t>Trans-Fast Financial Services S.A.</t>
  </si>
  <si>
    <t>Lextrend</t>
  </si>
  <si>
    <t>Ayuntamiento de Villarana</t>
  </si>
  <si>
    <t>Vallirana</t>
  </si>
  <si>
    <t>Mutua Montanesa</t>
  </si>
  <si>
    <t>Santander</t>
  </si>
  <si>
    <t>Red Inmobiliarias Asturianas (AF Grupo Publicidad y Comunicacion Selecta )</t>
  </si>
  <si>
    <t>Cayes (Llanera)</t>
  </si>
  <si>
    <t>trip4real</t>
  </si>
  <si>
    <t>23-07-2022</t>
  </si>
  <si>
    <t>Grup Serhs</t>
  </si>
  <si>
    <t>Pineda de Mar</t>
  </si>
  <si>
    <t>GOLDCAR</t>
  </si>
  <si>
    <t>L'Arca del Maresme Empresa Inserción SLL</t>
  </si>
  <si>
    <t>Argentona</t>
  </si>
  <si>
    <t>Dapargel Sl</t>
  </si>
  <si>
    <t>Derio</t>
  </si>
  <si>
    <t>intermas group</t>
  </si>
  <si>
    <t>TMT Spain</t>
  </si>
  <si>
    <t>STYLE-OUT</t>
  </si>
  <si>
    <t>Mesão Frio</t>
  </si>
  <si>
    <t>FACETZ</t>
  </si>
  <si>
    <t>20-02-2023</t>
  </si>
  <si>
    <t>Apliscience</t>
  </si>
  <si>
    <t>CLNICA DENTAL AD</t>
  </si>
  <si>
    <t>Volkswagen-Audi Spain</t>
  </si>
  <si>
    <t>14-12-2022</t>
  </si>
  <si>
    <t>ANCCE</t>
  </si>
  <si>
    <t>TURISMO ANDALUZ</t>
  </si>
  <si>
    <t>MALAGA</t>
  </si>
  <si>
    <t>TransHotel Servicios Corporativos S.L.U</t>
  </si>
  <si>
    <t>San Sebastián de los Reyes</t>
  </si>
  <si>
    <t>Castilla Informatica Consulting</t>
  </si>
  <si>
    <t>Valladolid</t>
  </si>
  <si>
    <t>13-01-2022</t>
  </si>
  <si>
    <t>IES Pablo de olavide</t>
  </si>
  <si>
    <t>Carolina</t>
  </si>
  <si>
    <t>GRUPO REIG JOFRE</t>
  </si>
  <si>
    <t>Copreci S. Coop</t>
  </si>
  <si>
    <t>Gipuzkoa</t>
  </si>
  <si>
    <t>13-11-2022</t>
  </si>
  <si>
    <t>MEDIAWAYS SOLUTIONS (MS)</t>
  </si>
  <si>
    <t>France</t>
  </si>
  <si>
    <t>PARIS</t>
  </si>
  <si>
    <t>13-08-2022</t>
  </si>
  <si>
    <t>Tressis SV</t>
  </si>
  <si>
    <t>Circulo de lectores S.A.</t>
  </si>
  <si>
    <t>22-12-2021</t>
  </si>
  <si>
    <t>ALTEN</t>
  </si>
  <si>
    <t>BOULOGNE BILLANCOURT CEDEX</t>
  </si>
  <si>
    <t>14-03-2022</t>
  </si>
  <si>
    <t>Bonacuista BGS S.L. Acuista</t>
  </si>
  <si>
    <t>23-08-2022</t>
  </si>
  <si>
    <t>Vip Venta</t>
  </si>
  <si>
    <t>Villaviciosa de Odon</t>
  </si>
  <si>
    <t>CAIXABANK CONSUMER FINANCE</t>
  </si>
  <si>
    <t>Fundacion cajamadrid</t>
  </si>
  <si>
    <t>GROUPAUTO UNIÓN IBERICA</t>
  </si>
  <si>
    <t>Bigmomo</t>
  </si>
  <si>
    <t>SERTEL S.A.</t>
  </si>
  <si>
    <t>Celfocus</t>
  </si>
  <si>
    <t>GRUPO BLIDOO S.L.</t>
  </si>
  <si>
    <t>Badalona</t>
  </si>
  <si>
    <t>H10 Hotels</t>
  </si>
  <si>
    <t>15-09-2022</t>
  </si>
  <si>
    <t>14-11-2022</t>
  </si>
  <si>
    <t>Comsa</t>
  </si>
  <si>
    <t>22-04-2022</t>
  </si>
  <si>
    <t>Shopery</t>
  </si>
  <si>
    <t>Geostar</t>
  </si>
  <si>
    <t>FactorEnergia</t>
  </si>
  <si>
    <t>ASAMBLEA DE EXTREMADURA</t>
  </si>
  <si>
    <t>Merida - BADAJOZ</t>
  </si>
  <si>
    <t>Expocasa Interactive SL</t>
  </si>
  <si>
    <t>Promax</t>
  </si>
  <si>
    <t>L hospitalet de Llobregat</t>
  </si>
  <si>
    <t>Comunitel Global S.A.</t>
  </si>
  <si>
    <t>Bigo (Pontevedra)</t>
  </si>
  <si>
    <t>Outlet de Salud y Belleza</t>
  </si>
  <si>
    <t>Málaga</t>
  </si>
  <si>
    <t>letsBRICO SL</t>
  </si>
  <si>
    <t>Villa Padierna Hotels &amp; Resorts</t>
  </si>
  <si>
    <t>Malaga</t>
  </si>
  <si>
    <t>Nuroa Internet</t>
  </si>
  <si>
    <t>Center of Marine Sciences (CCMAR)</t>
  </si>
  <si>
    <t>Faro</t>
  </si>
  <si>
    <t>Fabrica Nacional Moneda Y Timbre</t>
  </si>
  <si>
    <t>23-01-2022</t>
  </si>
  <si>
    <t>AXESOR</t>
  </si>
  <si>
    <t>Compunet Servicios Telematicos S.L.</t>
  </si>
  <si>
    <t>SAN SEBASTIAN DE LOS REYE</t>
  </si>
  <si>
    <t>22-01-2022</t>
  </si>
  <si>
    <t>Teva Generics Spain</t>
  </si>
  <si>
    <t>Equipo IVI</t>
  </si>
  <si>
    <t>Valencia</t>
  </si>
  <si>
    <t>Hotel Villamagna</t>
  </si>
  <si>
    <t>GESTION TRIBUTARIA TERRITORIAL SA</t>
  </si>
  <si>
    <t>ALICANTE/ALACANT</t>
  </si>
  <si>
    <t>Etnia Barcelona</t>
  </si>
  <si>
    <t>Ayuntamiento de Torrejón de la Calzada</t>
  </si>
  <si>
    <t>TORREJON DE LA CALZADA</t>
  </si>
  <si>
    <t>Housfy</t>
  </si>
  <si>
    <t>Vipnet 360</t>
  </si>
  <si>
    <t>Abreu Advogados</t>
  </si>
  <si>
    <t>1600-079</t>
  </si>
  <si>
    <t>PROMOFARMA ECOM</t>
  </si>
  <si>
    <t>Gimeno Grupo</t>
  </si>
  <si>
    <t>CASTELLON</t>
  </si>
  <si>
    <t>Grupo Conektia</t>
  </si>
  <si>
    <t>Sant Just Desvern</t>
  </si>
  <si>
    <t>23-01-2023</t>
  </si>
  <si>
    <t>LUPO</t>
  </si>
  <si>
    <t>Afron SA</t>
  </si>
  <si>
    <t>Paracuellos De Jarama</t>
  </si>
  <si>
    <t>Ayuntamiento de Barcelona - Mediapro Cloud</t>
  </si>
  <si>
    <t>28-04-2022</t>
  </si>
  <si>
    <t>17-06-2022</t>
  </si>
  <si>
    <t>Finanzauto SA</t>
  </si>
  <si>
    <t>Arganda del rey</t>
  </si>
  <si>
    <t>Confederacion Sindical de CC.OO.</t>
  </si>
  <si>
    <t>14-07-2022</t>
  </si>
  <si>
    <t>BSOLUS - BUSINESS SOLUTIONS LDA</t>
  </si>
  <si>
    <t>BRAGA</t>
  </si>
  <si>
    <t>Union 5 Pipas</t>
  </si>
  <si>
    <t>Deteos</t>
  </si>
  <si>
    <t>Diputacion de aragon</t>
  </si>
  <si>
    <t>ZARAGOZA</t>
  </si>
  <si>
    <t>Biogen Spain S.L.</t>
  </si>
  <si>
    <t>Quality Suites SL</t>
  </si>
  <si>
    <t>Custo Justo</t>
  </si>
  <si>
    <t>Lisboa</t>
  </si>
  <si>
    <t>Admotion Interactive Services S.L</t>
  </si>
  <si>
    <t>31-01-2023</t>
  </si>
  <si>
    <t>Diputacio de Lleida</t>
  </si>
  <si>
    <t>Lleida</t>
  </si>
  <si>
    <t>Portugalres</t>
  </si>
  <si>
    <t>Evora</t>
  </si>
  <si>
    <t>22-06-2022</t>
  </si>
  <si>
    <t>SOLIUM/AFYVE</t>
  </si>
  <si>
    <t>LA CASA DE LAS CARCASAS</t>
  </si>
  <si>
    <t>Jaraíz de la Vera</t>
  </si>
  <si>
    <t>DAXYS</t>
  </si>
  <si>
    <t>Distribuidora De Ediciones</t>
  </si>
  <si>
    <t>IFS Applications Iberica</t>
  </si>
  <si>
    <t>Sweden</t>
  </si>
  <si>
    <t>Linköping</t>
  </si>
  <si>
    <t>Global Registry Services Limited</t>
  </si>
  <si>
    <t>Gibraltar</t>
  </si>
  <si>
    <t>Enimbos</t>
  </si>
  <si>
    <t>Bolsas y mercados españoles</t>
  </si>
  <si>
    <t>Corinthia Hotels</t>
  </si>
  <si>
    <t>LISBOA</t>
  </si>
  <si>
    <t>TODOCOLECCION.NET</t>
  </si>
  <si>
    <t>TR US</t>
  </si>
  <si>
    <t>Alcalá de Henares</t>
  </si>
  <si>
    <t>28-10-2022</t>
  </si>
  <si>
    <t>17-11-2022</t>
  </si>
  <si>
    <t>Telefonica International Wholesale Services II S.L.</t>
  </si>
  <si>
    <t>TPTI</t>
  </si>
  <si>
    <t>Senado de Espana</t>
  </si>
  <si>
    <t>14-02-2022</t>
  </si>
  <si>
    <t>Zafiro Hotels</t>
  </si>
  <si>
    <t>Gamma Solutions</t>
  </si>
  <si>
    <t>Cáceres</t>
  </si>
  <si>
    <t>24-11-2021</t>
  </si>
  <si>
    <t>Expertus</t>
  </si>
  <si>
    <t>Eurofred SA</t>
  </si>
  <si>
    <t>BuleVip</t>
  </si>
  <si>
    <t>Broker Luxury Yacht</t>
  </si>
  <si>
    <t>21-02-2023</t>
  </si>
  <si>
    <t>Altran CIS</t>
  </si>
  <si>
    <t>Amadeus IT Group SA</t>
  </si>
  <si>
    <t>Universitat Politècnica de Cataluny</t>
  </si>
  <si>
    <t>SICO</t>
  </si>
  <si>
    <t>Vortal</t>
  </si>
  <si>
    <t>Bodaclick</t>
  </si>
  <si>
    <t>Patatas Bonet S.A.</t>
  </si>
  <si>
    <t>24-12-2021</t>
  </si>
  <si>
    <t>Murtra</t>
  </si>
  <si>
    <t>Granollers</t>
  </si>
  <si>
    <t>Dronas 2002 S.L.U</t>
  </si>
  <si>
    <t>Sant Andreu De La Barca</t>
  </si>
  <si>
    <t>CEMI_Ayuntamiento de Málaga</t>
  </si>
  <si>
    <t>77Agency Ltd - SWEDEN</t>
  </si>
  <si>
    <t>MILANO</t>
  </si>
  <si>
    <t>CIVIR</t>
  </si>
  <si>
    <t>Pozuelo</t>
  </si>
  <si>
    <t>A Bola</t>
  </si>
  <si>
    <t>23-05-2022</t>
  </si>
  <si>
    <t>Arnaiz-Urbimatica</t>
  </si>
  <si>
    <t>ORO DIRECT SALE SL</t>
  </si>
  <si>
    <t>VALENCIA</t>
  </si>
  <si>
    <t>Best Hotels</t>
  </si>
  <si>
    <t>Salou</t>
  </si>
  <si>
    <t>FarmaIndustria</t>
  </si>
  <si>
    <t>Elogos S.L.</t>
  </si>
  <si>
    <t>EUNASA ELECTRONICA SL</t>
  </si>
  <si>
    <t>IT-LATINO.NET</t>
  </si>
  <si>
    <t>GRUPO FARMASIERRA S.L.</t>
  </si>
  <si>
    <t>Espana SA Seguros</t>
  </si>
  <si>
    <t>ADE</t>
  </si>
  <si>
    <t>Nurun Crazy Labs</t>
  </si>
  <si>
    <t>MARCH-JLT CORREDURIA DE SEGUROS Y REASEGUROS SA</t>
  </si>
  <si>
    <t>Casa Del Libro</t>
  </si>
  <si>
    <t>Smartclip</t>
  </si>
  <si>
    <t>Las Rozas</t>
  </si>
  <si>
    <t>Gesintur</t>
  </si>
  <si>
    <t>LogicaNova</t>
  </si>
  <si>
    <t>Roma</t>
  </si>
  <si>
    <t>PARATY HOTELES SLFranz</t>
  </si>
  <si>
    <t>22-08-2021</t>
  </si>
  <si>
    <t>Buy Vip SL</t>
  </si>
  <si>
    <t>Pozuelo de Alarcon</t>
  </si>
  <si>
    <t>Weblogs S.L</t>
  </si>
  <si>
    <t>tsys cursos</t>
  </si>
  <si>
    <t>Logroño</t>
  </si>
  <si>
    <t>ALMACENES NUMERO 1</t>
  </si>
  <si>
    <t>La Laguna</t>
  </si>
  <si>
    <t>Xplain</t>
  </si>
  <si>
    <t>ISASTUR SERVICIOS</t>
  </si>
  <si>
    <t>Asturias</t>
  </si>
  <si>
    <t>CCOO de Catalunya</t>
  </si>
  <si>
    <t>T-Systems Italia S.p.A.</t>
  </si>
  <si>
    <t>Assago</t>
  </si>
  <si>
    <t>24-10-2022</t>
  </si>
  <si>
    <t>Adveo</t>
  </si>
  <si>
    <t>Ricon Group</t>
  </si>
  <si>
    <t>Telefonica Cuenta Agregada 2 Public Sector</t>
  </si>
  <si>
    <t>Buckerbook</t>
  </si>
  <si>
    <t>modalia.com</t>
  </si>
  <si>
    <t>ORIHUELA</t>
  </si>
  <si>
    <t>Actiu Berbegal Y Formas Sa</t>
  </si>
  <si>
    <t>Castalla</t>
  </si>
  <si>
    <t>13-12-2022</t>
  </si>
  <si>
    <t>Mascoteros</t>
  </si>
  <si>
    <t>Sermicro</t>
  </si>
  <si>
    <t>Barcelona Turisme</t>
  </si>
  <si>
    <t>Indra Elecciones Arg</t>
  </si>
  <si>
    <t>Nectar</t>
  </si>
  <si>
    <t>Mr.Wonderful</t>
  </si>
  <si>
    <t>Interxion Espana S.L.</t>
  </si>
  <si>
    <t>La Ciudad Interactiva S.A.</t>
  </si>
  <si>
    <t>remsa</t>
  </si>
  <si>
    <t>Instituto de Empresa S.L.</t>
  </si>
  <si>
    <t>16-09-2021</t>
  </si>
  <si>
    <t>Minube</t>
  </si>
  <si>
    <t>Alcorcón - Madrid</t>
  </si>
  <si>
    <t>Indra Elecciones Pais Vasco</t>
  </si>
  <si>
    <t>Catalonia Hotels &amp; Resorts</t>
  </si>
  <si>
    <t>Parlamento de Galicia</t>
  </si>
  <si>
    <t>Santiago de Compostela</t>
  </si>
  <si>
    <t>13-02-2022</t>
  </si>
  <si>
    <t>23-02-2022</t>
  </si>
  <si>
    <t>Unipost S.A.</t>
  </si>
  <si>
    <t>Redsys España</t>
  </si>
  <si>
    <t>Hoteles Viva</t>
  </si>
  <si>
    <t>ALCUDIA</t>
  </si>
  <si>
    <t>EDISA SISTEMAS DE INFORMACION S.A.</t>
  </si>
  <si>
    <t>Caja de Ingenieros</t>
  </si>
  <si>
    <t>Brac Saajan Spain</t>
  </si>
  <si>
    <t>Sata</t>
  </si>
  <si>
    <t>PONTA DELGADA</t>
  </si>
  <si>
    <t>Ticket Bureau</t>
  </si>
  <si>
    <t>25-11-2022</t>
  </si>
  <si>
    <t>E Shop - Granada</t>
  </si>
  <si>
    <t>JobisJob S.L.</t>
  </si>
  <si>
    <t>SANT CUGAT DEL VALLES</t>
  </si>
  <si>
    <t>Philips</t>
  </si>
  <si>
    <t>Soppiday</t>
  </si>
  <si>
    <t>KUKA Iberia S.A.U.</t>
  </si>
  <si>
    <t>ANACOM</t>
  </si>
  <si>
    <t>Lisbon</t>
  </si>
  <si>
    <t>Indra Elecciones Municipales</t>
  </si>
  <si>
    <t>Evolution Iberica</t>
  </si>
  <si>
    <t>13-03-2023</t>
  </si>
  <si>
    <t>Grupalia Internet S.A.</t>
  </si>
  <si>
    <t>ALSA</t>
  </si>
  <si>
    <t>28-09-2022</t>
  </si>
  <si>
    <t>INFUN GROUP</t>
  </si>
  <si>
    <t>SANT VICENC DELS HORTS</t>
  </si>
  <si>
    <t>AlterKeys</t>
  </si>
  <si>
    <t>Tous</t>
  </si>
  <si>
    <t>MANRESA</t>
  </si>
  <si>
    <t>Jaso Equipos de Obras y Cnes. S.L.</t>
  </si>
  <si>
    <t>Indra TI</t>
  </si>
  <si>
    <t>MTNG Experience (MUSTANG)</t>
  </si>
  <si>
    <t>ELCHE</t>
  </si>
  <si>
    <t>Sagaci Research</t>
  </si>
  <si>
    <t>Eurest Colectividades Sl</t>
  </si>
  <si>
    <t>13-04-2023</t>
  </si>
  <si>
    <t>AMC GRUPO ALIMENTACION FRESCO Y ZUMOS S.A.</t>
  </si>
  <si>
    <t>Espinardo</t>
  </si>
  <si>
    <t>Eurekakids</t>
  </si>
  <si>
    <t>RIUDELLOTS DE LA SELVA</t>
  </si>
  <si>
    <t>13-04-2022</t>
  </si>
  <si>
    <t>Napptilus Tech Labs</t>
  </si>
  <si>
    <t>Ministerio de Educación Cultura y Deporte</t>
  </si>
  <si>
    <t>Alestis Aerospace</t>
  </si>
  <si>
    <t>ATLANTIC COPPER S.L.U.</t>
  </si>
  <si>
    <t>HUELVA</t>
  </si>
  <si>
    <t>AMICHI</t>
  </si>
  <si>
    <t>CASE on IT</t>
  </si>
  <si>
    <t>Ontecnia</t>
  </si>
  <si>
    <t>Digital You</t>
  </si>
  <si>
    <t>Ilunion</t>
  </si>
  <si>
    <t>Tolsa SA</t>
  </si>
  <si>
    <t>Miquel Alimentacio Grup</t>
  </si>
  <si>
    <t>Vilamalla</t>
  </si>
  <si>
    <t>NAE Comunicacions</t>
  </si>
  <si>
    <t>UniqueGate</t>
  </si>
  <si>
    <t>24-05-2022</t>
  </si>
  <si>
    <t>ABAMOBILE SOLUTIONS SLU</t>
  </si>
  <si>
    <t>LLANERA</t>
  </si>
  <si>
    <t>DISTRICENTER S.A.</t>
  </si>
  <si>
    <t>FUERTE HOTELES</t>
  </si>
  <si>
    <t>Marbella</t>
  </si>
  <si>
    <t>16-10-2022</t>
  </si>
  <si>
    <t>Addilate</t>
  </si>
  <si>
    <t>13-05-2022</t>
  </si>
  <si>
    <t>MEDIABIT EVENT SL</t>
  </si>
  <si>
    <t>VALDEPENAS</t>
  </si>
  <si>
    <t>Everpross S.L.</t>
  </si>
  <si>
    <t>Nice People At Work</t>
  </si>
  <si>
    <t>SAN PATRICK S.L</t>
  </si>
  <si>
    <t>EL PRAT DE LLOBREGAT</t>
  </si>
  <si>
    <t>Grupo Visabeira</t>
  </si>
  <si>
    <t>Viseu</t>
  </si>
  <si>
    <t>Eulen S.A.</t>
  </si>
  <si>
    <t>GENERAL OPTICA S.A.</t>
  </si>
  <si>
    <t>Amtega Xunta de Galicia</t>
  </si>
  <si>
    <t>Sada</t>
  </si>
  <si>
    <t>United Nations Data Cenre</t>
  </si>
  <si>
    <t>ARAG</t>
  </si>
  <si>
    <t>BlaBlaCar</t>
  </si>
  <si>
    <t>CESPA</t>
  </si>
  <si>
    <t>de martina</t>
  </si>
  <si>
    <t>SEVILLA</t>
  </si>
  <si>
    <t>080 webs</t>
  </si>
  <si>
    <t>Lanidor</t>
  </si>
  <si>
    <t>PORTO</t>
  </si>
  <si>
    <t>The Stikets Company</t>
  </si>
  <si>
    <t>Fergus Hotels</t>
  </si>
  <si>
    <t>Vallstein</t>
  </si>
  <si>
    <t>SKUNKFUNK</t>
  </si>
  <si>
    <t>GERNIKA</t>
  </si>
  <si>
    <t>Cajasur</t>
  </si>
  <si>
    <t>INFOSERNT</t>
  </si>
  <si>
    <t>BeFactory</t>
  </si>
  <si>
    <t>Buywins</t>
  </si>
  <si>
    <t>Elche</t>
  </si>
  <si>
    <t>Inforges</t>
  </si>
  <si>
    <t>Power8</t>
  </si>
  <si>
    <t>Juniper</t>
  </si>
  <si>
    <t>Palma de Mallorca</t>
  </si>
  <si>
    <t>Investing PROFit Wisely</t>
  </si>
  <si>
    <t>Arcadja</t>
  </si>
  <si>
    <t>BRESCIA</t>
  </si>
  <si>
    <t>Digital Studio Tratamiento digital de la imagen S.A.</t>
  </si>
  <si>
    <t>San Sebastian</t>
  </si>
  <si>
    <t>Aao Optico Sa.</t>
  </si>
  <si>
    <t>Fagor Electrodomesticos S.Coop.</t>
  </si>
  <si>
    <t>Basauri</t>
  </si>
  <si>
    <t>LINPAC PLASTICS PRAVIA (TERPLA) S.A.</t>
  </si>
  <si>
    <t>Pravia</t>
  </si>
  <si>
    <t>Outletic</t>
  </si>
  <si>
    <t>Marriott International Inc. Spain</t>
  </si>
  <si>
    <t>BERGE Y CIA S.A (BERGE Y COMPAÑÍA)</t>
  </si>
  <si>
    <t>Aernnova</t>
  </si>
  <si>
    <t>23-06-2022</t>
  </si>
  <si>
    <t>Doctoralia</t>
  </si>
  <si>
    <t>TIREA</t>
  </si>
  <si>
    <t>Party Fiesta</t>
  </si>
  <si>
    <t>Visualforma-Forma</t>
  </si>
  <si>
    <t>FARO</t>
  </si>
  <si>
    <t>La Suite Comunicación</t>
  </si>
  <si>
    <t>Grupauto</t>
  </si>
  <si>
    <t>Kaizen Networks</t>
  </si>
  <si>
    <t>URIACH-AQUILEA OTC S.L. (ESPA?OL)</t>
  </si>
  <si>
    <t>Club La Costa Spain</t>
  </si>
  <si>
    <t>Asociación Nacional Emprender en España</t>
  </si>
  <si>
    <t>Eelp!</t>
  </si>
  <si>
    <t>Autodescuento.es</t>
  </si>
  <si>
    <t>Ohlala Mobile SL</t>
  </si>
  <si>
    <t>Carnes Selectas 2000 S.A</t>
  </si>
  <si>
    <t>Burgos</t>
  </si>
  <si>
    <t>Fotoprix</t>
  </si>
  <si>
    <t>SEDAL S.A.</t>
  </si>
  <si>
    <t>MOLINS DE REI</t>
  </si>
  <si>
    <t>Grandcloset</t>
  </si>
  <si>
    <t>Diputacion Provincial de la Coruna</t>
  </si>
  <si>
    <t>Credito y Caucion</t>
  </si>
  <si>
    <t>Roland Iberia Sl</t>
  </si>
  <si>
    <t>Loger S.a.</t>
  </si>
  <si>
    <t>Castello De La Plana</t>
  </si>
  <si>
    <t>Instituciones Penitenciarias</t>
  </si>
  <si>
    <t>Narada Robotics</t>
  </si>
  <si>
    <t>FREEPIK</t>
  </si>
  <si>
    <t>26-09-2022</t>
  </si>
  <si>
    <t>IFEMA</t>
  </si>
  <si>
    <t>Aprendetec</t>
  </si>
  <si>
    <t>WEALTH SA</t>
  </si>
  <si>
    <t>MHP Servicios de Control</t>
  </si>
  <si>
    <t>Las Palmas De Gran Canaria</t>
  </si>
  <si>
    <t>CORPORACION BORGES</t>
  </si>
  <si>
    <t>REUS</t>
  </si>
  <si>
    <t>Solutex</t>
  </si>
  <si>
    <t>MALLEN</t>
  </si>
  <si>
    <t>AnfiGROUP</t>
  </si>
  <si>
    <t>MR. BOHO</t>
  </si>
  <si>
    <t>OPTICA SALAS S.L.</t>
  </si>
  <si>
    <t>Dinamic Comunicació</t>
  </si>
  <si>
    <t>LeasePlan</t>
  </si>
  <si>
    <t>Premium Ingredients</t>
  </si>
  <si>
    <t>El taller</t>
  </si>
  <si>
    <t>PRIORITY SOLUTIONS</t>
  </si>
  <si>
    <t>SOCIEDAD ANÓNIMA INDUSTRIAS CELULOSA ARAGONESA - SAICA</t>
  </si>
  <si>
    <t>EL BURGO DE EBRO</t>
  </si>
  <si>
    <t>Top Rural</t>
  </si>
  <si>
    <t>Universidad de Cordoba</t>
  </si>
  <si>
    <t>Cordoba</t>
  </si>
  <si>
    <t>Entersoftweb</t>
  </si>
  <si>
    <t>Fundacion Marq. Comunidad Valenciana</t>
  </si>
  <si>
    <t>Alicante</t>
  </si>
  <si>
    <t>Neck Child SA</t>
  </si>
  <si>
    <t>SAN FERNANDO DE HENARES</t>
  </si>
  <si>
    <t>Fomento De Centros De Ensenanza S.A</t>
  </si>
  <si>
    <t>MANTENIMIENTOS AYUDA EXPLOTACION |Y SERVICIOS SA</t>
  </si>
  <si>
    <t>CRISTIAN LAY SA</t>
  </si>
  <si>
    <t>JEREZ DE LOS CABALLEROS</t>
  </si>
  <si>
    <t>UNIVERSITAT DE BARCELONA</t>
  </si>
  <si>
    <t>CONFIRMA SISTEMAS</t>
  </si>
  <si>
    <t>TRES CANTOS</t>
  </si>
  <si>
    <t>Capside</t>
  </si>
  <si>
    <t>Invent Farma</t>
  </si>
  <si>
    <t>MC2I GROUPE - CONSEIL EN SYSTEMES D'INFORMATION</t>
  </si>
  <si>
    <t>Paris</t>
  </si>
  <si>
    <t>Smartcommerce</t>
  </si>
  <si>
    <t>CRUZ ROJA ESPAÑOLA</t>
  </si>
  <si>
    <t>Animalear</t>
  </si>
  <si>
    <t>UX is Ready</t>
  </si>
  <si>
    <t>24-06-2022</t>
  </si>
  <si>
    <t>ASEI</t>
  </si>
  <si>
    <t>Zarautz</t>
  </si>
  <si>
    <t>Webs Catalunya</t>
  </si>
  <si>
    <t>ZANKYOU VENTURES</t>
  </si>
  <si>
    <t>IES Beatriz Galindo</t>
  </si>
  <si>
    <t>Koloxo</t>
  </si>
  <si>
    <t>Via directa</t>
  </si>
  <si>
    <t>Web Security Auditors</t>
  </si>
  <si>
    <t>Porto</t>
  </si>
  <si>
    <t>Clemente Gomez De Zamora S.A.</t>
  </si>
  <si>
    <t>Ferrovial</t>
  </si>
  <si>
    <t>16-06-2022</t>
  </si>
  <si>
    <t>Shoppydoo SL</t>
  </si>
  <si>
    <t>KPMG Spain</t>
  </si>
  <si>
    <t>13-06-2022</t>
  </si>
  <si>
    <t>C.E.M.I CTRO.MUNICIPAL INFORMAT. MALAG.</t>
  </si>
  <si>
    <t>SERVINFORM SA</t>
  </si>
  <si>
    <t>Mairena del Aljarafe</t>
  </si>
  <si>
    <t>29-09-2022</t>
  </si>
  <si>
    <t>Grupo El Arbol S. A.</t>
  </si>
  <si>
    <t>MIQUEL Y COSTAS &amp; MIQUEL SA</t>
  </si>
  <si>
    <t>AECID</t>
  </si>
  <si>
    <t>UPCNET SL</t>
  </si>
  <si>
    <t>MMT Seguros</t>
  </si>
  <si>
    <t>Able Consultores</t>
  </si>
  <si>
    <t>Ayuntamiento de Alcobendas</t>
  </si>
  <si>
    <t>Ttsistemas</t>
  </si>
  <si>
    <t>Pingui</t>
  </si>
  <si>
    <t>MICHELIN ESPANA PORTUGAL S.A.</t>
  </si>
  <si>
    <t>Cheto Corporation SA</t>
  </si>
  <si>
    <t>Escuela Universitaria De Estudios</t>
  </si>
  <si>
    <t>Bilbo</t>
  </si>
  <si>
    <t>MIRTO</t>
  </si>
  <si>
    <t>MABAR</t>
  </si>
  <si>
    <t>Soria</t>
  </si>
  <si>
    <t>KW España</t>
  </si>
  <si>
    <t>Lenceria Emi</t>
  </si>
  <si>
    <t>Zaragoza</t>
  </si>
  <si>
    <t>familiafacil.es</t>
  </si>
  <si>
    <t>Empresarios Agrupados</t>
  </si>
  <si>
    <t>Parc Sanitari Sant Joan de Déu</t>
  </si>
  <si>
    <t>Roca Sanitario S.A.</t>
  </si>
  <si>
    <t>Gava</t>
  </si>
  <si>
    <t>Bull Hotels</t>
  </si>
  <si>
    <t>Las Palmas</t>
  </si>
  <si>
    <t>APSL.NET</t>
  </si>
  <si>
    <t>Secretaria Geral da PR</t>
  </si>
  <si>
    <t>15-06-2022</t>
  </si>
  <si>
    <t>Laboratorios Normon</t>
  </si>
  <si>
    <t>fitnesspowerfood</t>
  </si>
  <si>
    <t>General Dynamic Santa Barbara Sistemas S.A.</t>
  </si>
  <si>
    <t>GRANADA</t>
  </si>
  <si>
    <t>UVA UNIVERSIDAD DE VALLADOLID RECTORADO</t>
  </si>
  <si>
    <t>MR HOUSTON TECH SOLUTIONS</t>
  </si>
  <si>
    <t>MVAgusta</t>
  </si>
  <si>
    <t>Varese</t>
  </si>
  <si>
    <t>CNP Partners</t>
  </si>
  <si>
    <t>Vilalúa</t>
  </si>
  <si>
    <t>La Oca</t>
  </si>
  <si>
    <t>Diputación de Granada</t>
  </si>
  <si>
    <t>Santi Lorenzo Photography</t>
  </si>
  <si>
    <t>ARMERÍA ÁLVAREZ S.L.</t>
  </si>
  <si>
    <t>A Coruña</t>
  </si>
  <si>
    <t>EDUCAEDU BUSINESS SOCIEDAD LIMITADA</t>
  </si>
  <si>
    <t>Kiuwan</t>
  </si>
  <si>
    <t>Majadahonda</t>
  </si>
  <si>
    <t>JIG Internet Consulting</t>
  </si>
  <si>
    <t>Brother Iberia S.L.U.</t>
  </si>
  <si>
    <t>SUPERMERCADO SANCHEZ ROMERO SL</t>
  </si>
  <si>
    <t>Electrocosto</t>
  </si>
  <si>
    <t>JESUITES EDUCACIO</t>
  </si>
  <si>
    <t>BLISSBOOKER</t>
  </si>
  <si>
    <t>Megavista Online</t>
  </si>
  <si>
    <t>MOTHERCARE IBERIA</t>
  </si>
  <si>
    <t>Inycom</t>
  </si>
  <si>
    <t>expohotels.com</t>
  </si>
  <si>
    <t>Joinso</t>
  </si>
  <si>
    <t>Sabadell</t>
  </si>
  <si>
    <t>Globalred</t>
  </si>
  <si>
    <t>Universidad Zaragoza</t>
  </si>
  <si>
    <t>Gonvarri Industrial S.L.</t>
  </si>
  <si>
    <t>lookyourfashion</t>
  </si>
  <si>
    <t>Progreso Analytics</t>
  </si>
  <si>
    <t>MTI</t>
  </si>
  <si>
    <t>Bilbao</t>
  </si>
  <si>
    <t>NOTEGES</t>
  </si>
  <si>
    <t>BMC</t>
  </si>
  <si>
    <t>Availpro SA Spain</t>
  </si>
  <si>
    <t>Parque Isla Mágica S.A.</t>
  </si>
  <si>
    <t>Sevilla</t>
  </si>
  <si>
    <t>Instituto Politécnico de Tomar (IPT)</t>
  </si>
  <si>
    <t>Tomar</t>
  </si>
  <si>
    <t>European Food Safety Authority</t>
  </si>
  <si>
    <t>Parma</t>
  </si>
  <si>
    <t>TIER 1</t>
  </si>
  <si>
    <t>Agriconsa</t>
  </si>
  <si>
    <t>Xpcamd</t>
  </si>
  <si>
    <t>Openwebinars</t>
  </si>
  <si>
    <t>Seville</t>
  </si>
  <si>
    <t>Camino a Casa</t>
  </si>
  <si>
    <t>Fuenlabrada</t>
  </si>
  <si>
    <t>IntroRed</t>
  </si>
  <si>
    <t>Paterna</t>
  </si>
  <si>
    <t>Familia JGP</t>
  </si>
  <si>
    <t>Albalat De La Ribera</t>
  </si>
  <si>
    <t>Futuver</t>
  </si>
  <si>
    <t>Paperam</t>
  </si>
  <si>
    <t>Castello</t>
  </si>
  <si>
    <t>ICP Logistica</t>
  </si>
  <si>
    <t>MECO</t>
  </si>
  <si>
    <t>Rastreator.com</t>
  </si>
  <si>
    <t>Oliva Nova Golf</t>
  </si>
  <si>
    <t>Oliva</t>
  </si>
  <si>
    <t>UNIVERSIDAD DE SALAMANCA</t>
  </si>
  <si>
    <t>Salamanca</t>
  </si>
  <si>
    <t>COMPRACTICA</t>
  </si>
  <si>
    <t>Indra Elecciones El Salvador</t>
  </si>
  <si>
    <t>Supermercados Sabeco S.A.</t>
  </si>
  <si>
    <t>Villanueva De Gallego</t>
  </si>
  <si>
    <t>CIUDADANOS</t>
  </si>
  <si>
    <t>HOFMANN S.L.U</t>
  </si>
  <si>
    <t>TERMINAL CATALUNYA SA</t>
  </si>
  <si>
    <t>DECIMAS</t>
  </si>
  <si>
    <t>Universidad de Granada</t>
  </si>
  <si>
    <t>juguettos</t>
  </si>
  <si>
    <t>Hdeprada Web Design</t>
  </si>
  <si>
    <t>León</t>
  </si>
  <si>
    <t>Diemer SL C</t>
  </si>
  <si>
    <t>derecho.com</t>
  </si>
  <si>
    <t>Adolfo Dominguez</t>
  </si>
  <si>
    <t>SAN CIBRAO DAS VINAS</t>
  </si>
  <si>
    <t>22-10-2022</t>
  </si>
  <si>
    <t>Desguaces Gil</t>
  </si>
  <si>
    <t>Cabral</t>
  </si>
  <si>
    <t>SHIELD DOMAIN S.A.</t>
  </si>
  <si>
    <t>soysuper</t>
  </si>
  <si>
    <t>Castañer - Claudio Coello</t>
  </si>
  <si>
    <t>OpenCmsHispano</t>
  </si>
  <si>
    <t>ROIBACK / GLOBAL OBI</t>
  </si>
  <si>
    <t>Palma</t>
  </si>
  <si>
    <t>Tutellus</t>
  </si>
  <si>
    <t>Grupo Casa Viva</t>
  </si>
  <si>
    <t>13-07-2022</t>
  </si>
  <si>
    <t>PC COMPONENTES Y MULTIMEDIA SL</t>
  </si>
  <si>
    <t>Alhama de Murcia</t>
  </si>
  <si>
    <t>INNOVA-TSN</t>
  </si>
  <si>
    <t>Refer Telecom</t>
  </si>
  <si>
    <t>PWC españa</t>
  </si>
  <si>
    <t>DIRECTO A CASA</t>
  </si>
  <si>
    <t>DAGANZO DE ARRIBA</t>
  </si>
  <si>
    <t>Lavinia</t>
  </si>
  <si>
    <t>Universidad Publica De Navarra</t>
  </si>
  <si>
    <t>PAMPLONA/IRUÑA</t>
  </si>
  <si>
    <t>Doctor Madera</t>
  </si>
  <si>
    <t>Moventia</t>
  </si>
  <si>
    <t>Agapea.com</t>
  </si>
  <si>
    <t>Seidor</t>
  </si>
  <si>
    <t>Miebach Spain</t>
  </si>
  <si>
    <t>LABORATORIOS LETI S.L.</t>
  </si>
  <si>
    <t>UCI</t>
  </si>
  <si>
    <t>habitaclia</t>
  </si>
  <si>
    <t>IRTA</t>
  </si>
  <si>
    <t>NEUGEST 1957</t>
  </si>
  <si>
    <t>Mundivia SA</t>
  </si>
  <si>
    <t>Indra Sistemas S.A.</t>
  </si>
  <si>
    <t>FitnessBit SL</t>
  </si>
  <si>
    <t>VITORIA-GASTEIZ</t>
  </si>
  <si>
    <t>Ayuntamiento de zagoza</t>
  </si>
  <si>
    <t>Kling</t>
  </si>
  <si>
    <t>CONNECTIS</t>
  </si>
  <si>
    <t>FICOSA INTERNATIONAL S.A.</t>
  </si>
  <si>
    <t>Honeywell Movilizer</t>
  </si>
  <si>
    <t>Aurora Blockchain S.L</t>
  </si>
  <si>
    <t>IriWorldwide Spain</t>
  </si>
  <si>
    <t>23-03-2023</t>
  </si>
  <si>
    <t>Fnmt Rcm</t>
  </si>
  <si>
    <t>XOTELS</t>
  </si>
  <si>
    <t>MerkaMueble</t>
  </si>
  <si>
    <t>Abb Sistemas Industriales S.A.</t>
  </si>
  <si>
    <t>Sant Quirze Del Valles</t>
  </si>
  <si>
    <t>Fersa Bearings S.A.</t>
  </si>
  <si>
    <t>Grupo Yorga</t>
  </si>
  <si>
    <t>PATERNA</t>
  </si>
  <si>
    <t>31-10-2022</t>
  </si>
  <si>
    <t>tuexperto.com</t>
  </si>
  <si>
    <t>Futbol Emotion</t>
  </si>
  <si>
    <t>Arte y Naturaleza Gespart SL</t>
  </si>
  <si>
    <t>Emdep</t>
  </si>
  <si>
    <t>GENESIS MOBILE S.L.</t>
  </si>
  <si>
    <t>Ricoh Espana</t>
  </si>
  <si>
    <t>GFI INFORMATIQUE SPAIN</t>
  </si>
  <si>
    <t>Marketingcom</t>
  </si>
  <si>
    <t>Apser</t>
  </si>
  <si>
    <t>Juan Fornes Fornes S.A.</t>
  </si>
  <si>
    <t>Pedreguer</t>
  </si>
  <si>
    <t>Indra Elecciones Comunidad de Madrid</t>
  </si>
  <si>
    <t>Grupo Samca</t>
  </si>
  <si>
    <t>Pikolín</t>
  </si>
  <si>
    <t>Bebitus</t>
  </si>
  <si>
    <t>CleverTask</t>
  </si>
  <si>
    <t>ADP Spain</t>
  </si>
  <si>
    <t>Switch Digital Consulting</t>
  </si>
  <si>
    <t>Eurecat - Technology Centre of Catalonia</t>
  </si>
  <si>
    <t>European Union Intellectual Property Office (EUIPO)</t>
  </si>
  <si>
    <t>Deltanet</t>
  </si>
  <si>
    <t>THB Hotels</t>
  </si>
  <si>
    <t>Ca?n Picafort</t>
  </si>
  <si>
    <t>Jumari S.A.</t>
  </si>
  <si>
    <t>SON SERVERA</t>
  </si>
  <si>
    <t>Consorcio de Aguas Bilbao Bizkaia</t>
  </si>
  <si>
    <t>Ingeteam</t>
  </si>
  <si>
    <t>Zamudio</t>
  </si>
  <si>
    <t>AEMET</t>
  </si>
  <si>
    <t>Xcentra</t>
  </si>
  <si>
    <t>jonnyrapp.com</t>
  </si>
  <si>
    <t>Mallorca</t>
  </si>
  <si>
    <t>Portucel Soporcel group</t>
  </si>
  <si>
    <t>LAVOS</t>
  </si>
  <si>
    <t>Ackcent Cybersecurity</t>
  </si>
  <si>
    <t>RandomControl SLU</t>
  </si>
  <si>
    <t>CUNEXT COPPER INDUSTRIES</t>
  </si>
  <si>
    <t>CORDOBA</t>
  </si>
  <si>
    <t>Interface Safeaccess SL</t>
  </si>
  <si>
    <t>Primavera BSS</t>
  </si>
  <si>
    <t>Braga</t>
  </si>
  <si>
    <t>Alcampo S.A.</t>
  </si>
  <si>
    <t>15-03-2022</t>
  </si>
  <si>
    <t>14-04-2022</t>
  </si>
  <si>
    <t>Cortizo</t>
  </si>
  <si>
    <t>Padron</t>
  </si>
  <si>
    <t>INDRA_elecciones argentinas</t>
  </si>
  <si>
    <t>Odisseias</t>
  </si>
  <si>
    <t>ADISSEO</t>
  </si>
  <si>
    <t>Agencia Best</t>
  </si>
  <si>
    <t>Software Estrategico</t>
  </si>
  <si>
    <t>Medellin</t>
  </si>
  <si>
    <t>ACCIÓ - Agència per la Competitivitat de l'Empresa</t>
  </si>
  <si>
    <t>British Council</t>
  </si>
  <si>
    <t>TABLEROS DE FIBRAS</t>
  </si>
  <si>
    <t>Lindt Spain</t>
  </si>
  <si>
    <t>World Duty Free Group Spain</t>
  </si>
  <si>
    <t>23-12-2021</t>
  </si>
  <si>
    <t>Aon Gil Y Carvajal S.A.</t>
  </si>
  <si>
    <t>22-11-2022</t>
  </si>
  <si>
    <t>Castro Electronica</t>
  </si>
  <si>
    <t>EsDemarca</t>
  </si>
  <si>
    <t>Mr Informatica</t>
  </si>
  <si>
    <t>Colorize Media</t>
  </si>
  <si>
    <t>Odivelas</t>
  </si>
  <si>
    <t>GPS Imagen y Comunicación</t>
  </si>
  <si>
    <t>Nibble Group</t>
  </si>
  <si>
    <t>MAWERSA S.A.</t>
  </si>
  <si>
    <t>Sage Spain</t>
  </si>
  <si>
    <t>VIAS Y CONSTRUCCIONES</t>
  </si>
  <si>
    <t>APWG:EU</t>
  </si>
  <si>
    <t>Carmina Shoemaker</t>
  </si>
  <si>
    <t>Inca</t>
  </si>
  <si>
    <t>Aramark Servicios De Catering S.L.</t>
  </si>
  <si>
    <t>Divisa iT</t>
  </si>
  <si>
    <t>SISTEMAS LORENTE &amp; ARÁN S.L.</t>
  </si>
  <si>
    <t>PUIG</t>
  </si>
  <si>
    <t>Kiabi.es</t>
  </si>
  <si>
    <t>Port of Algeciras</t>
  </si>
  <si>
    <t>ALGECIRAS</t>
  </si>
  <si>
    <t>Ailanthus Advance</t>
  </si>
  <si>
    <t>Quenti Tech</t>
  </si>
  <si>
    <t>A&amp;G Banca Privada</t>
  </si>
  <si>
    <t>OWENS CORNING FIBERGLAS ESPA A S.L.</t>
  </si>
  <si>
    <t>Aristocrazy Grupo Suárez</t>
  </si>
  <si>
    <t>APM</t>
  </si>
  <si>
    <t>Distribuciones Froiz</t>
  </si>
  <si>
    <t>Poio</t>
  </si>
  <si>
    <t>Bridgestone S.A</t>
  </si>
  <si>
    <t>BASAURI</t>
  </si>
  <si>
    <t>Area Metropolitana de Barcelona</t>
  </si>
  <si>
    <t>Ayuntamiento de Ribarroja del Túria</t>
  </si>
  <si>
    <t>RIBA-ROJA DE TURIA</t>
  </si>
  <si>
    <t>Perfume's Club</t>
  </si>
  <si>
    <t>cabify</t>
  </si>
  <si>
    <t>StockCrowd</t>
  </si>
  <si>
    <t>IQ-Pass</t>
  </si>
  <si>
    <t>GoNetFPI</t>
  </si>
  <si>
    <t>Barrabes</t>
  </si>
  <si>
    <t>Canal de Isabel II SA</t>
  </si>
  <si>
    <t>Round Earth Consulting</t>
  </si>
  <si>
    <t>Druni</t>
  </si>
  <si>
    <t>Carlet</t>
  </si>
  <si>
    <t>Mayoral Moda Infantil SA</t>
  </si>
  <si>
    <t>ok rent a car</t>
  </si>
  <si>
    <t>HombreCosmo</t>
  </si>
  <si>
    <t>Tiendeo</t>
  </si>
  <si>
    <t>Planeta Huerto</t>
  </si>
  <si>
    <t>Pisamonas</t>
  </si>
  <si>
    <t>Montecarmelo</t>
  </si>
  <si>
    <t>Givaudan</t>
  </si>
  <si>
    <t>TRAVENTIA</t>
  </si>
  <si>
    <t>29-10-2022</t>
  </si>
  <si>
    <t>APTOIDE S.A.</t>
  </si>
  <si>
    <t>EVORA</t>
  </si>
  <si>
    <t>PANGEA</t>
  </si>
  <si>
    <t>Ibericar</t>
  </si>
  <si>
    <t>G's España</t>
  </si>
  <si>
    <t>Torre Pacheco</t>
  </si>
  <si>
    <t>Loqr</t>
  </si>
  <si>
    <t>Inesdi</t>
  </si>
  <si>
    <t>PANAREHA</t>
  </si>
  <si>
    <t>SUNSUNDEGUI</t>
  </si>
  <si>
    <t>Alsasua</t>
  </si>
  <si>
    <t>Queralto Ortopedia</t>
  </si>
  <si>
    <t>TEXTURA INTERIORS</t>
  </si>
  <si>
    <t>bodas.net (grupo intercom)</t>
  </si>
  <si>
    <t>Sant Cugat del Vallès</t>
  </si>
  <si>
    <t>Wotrant SLU</t>
  </si>
  <si>
    <t>Deliberry</t>
  </si>
  <si>
    <t>PAGINADOTCOM SA</t>
  </si>
  <si>
    <t>Matosinhos</t>
  </si>
  <si>
    <t>Balms Galicia</t>
  </si>
  <si>
    <t>Hijos de Luis Rodríguez Supermercados Masymas</t>
  </si>
  <si>
    <t>Llanera</t>
  </si>
  <si>
    <t>NEMERTES</t>
  </si>
  <si>
    <t>Mossos d'Esquadra</t>
  </si>
  <si>
    <t>Correos Express</t>
  </si>
  <si>
    <t>Coslada</t>
  </si>
  <si>
    <t>Pixelxen SL</t>
  </si>
  <si>
    <t>Barcelon</t>
  </si>
  <si>
    <t>JTSL - Soluções Técnicas Manutenção Metalomecânica SA</t>
  </si>
  <si>
    <t>Figueira de Lorvão ?</t>
  </si>
  <si>
    <t>23-09-2021</t>
  </si>
  <si>
    <t>Midas España</t>
  </si>
  <si>
    <t>OSPS</t>
  </si>
  <si>
    <t>Grupo Comdifil</t>
  </si>
  <si>
    <t>Volcano Teide</t>
  </si>
  <si>
    <t>28-03-2022</t>
  </si>
  <si>
    <t>17-05-2022</t>
  </si>
  <si>
    <t>Viesgo</t>
  </si>
  <si>
    <t>MAGNANNI</t>
  </si>
  <si>
    <t>Miquel Rius</t>
  </si>
  <si>
    <t>Parets del Vallès</t>
  </si>
  <si>
    <t>Instituto Médico Estética</t>
  </si>
  <si>
    <t>Minsait</t>
  </si>
  <si>
    <t>Verdecora</t>
  </si>
  <si>
    <t>Pladur Gypsum</t>
  </si>
  <si>
    <t>Juguetilandia</t>
  </si>
  <si>
    <t>Neo Mountain</t>
  </si>
  <si>
    <t>Banco Cooperative Espanol</t>
  </si>
  <si>
    <t>Megasur</t>
  </si>
  <si>
    <t>Escúzar</t>
  </si>
  <si>
    <t>Restaurantes.com</t>
  </si>
  <si>
    <t>Accelya Group</t>
  </si>
  <si>
    <t>Dineo</t>
  </si>
  <si>
    <t>ALVARO MORENO SL</t>
  </si>
  <si>
    <t>OSUNA</t>
  </si>
  <si>
    <t>DVBlab Communiocation SL</t>
  </si>
  <si>
    <t>Scalpers</t>
  </si>
  <si>
    <t>Nice Things</t>
  </si>
  <si>
    <t>Rosa Clará</t>
  </si>
  <si>
    <t>Promod Spain</t>
  </si>
  <si>
    <t>Funidelia</t>
  </si>
  <si>
    <t>Huesca</t>
  </si>
  <si>
    <t>17-09-2022</t>
  </si>
  <si>
    <t>Imesapi</t>
  </si>
  <si>
    <t>megasur</t>
  </si>
  <si>
    <t>Superficies de Alimentación</t>
  </si>
  <si>
    <t>BRICOMART</t>
  </si>
  <si>
    <t>Leganes</t>
  </si>
  <si>
    <t>MADISON</t>
  </si>
  <si>
    <t>Sareb....</t>
  </si>
  <si>
    <t>Sociedad de Prevención de Fremap</t>
  </si>
  <si>
    <t>LAS ROZAS DE MADRID</t>
  </si>
  <si>
    <t>Bodegas Torres</t>
  </si>
  <si>
    <t>Transportes Municipales de Barcelona</t>
  </si>
  <si>
    <t>chicfy</t>
  </si>
  <si>
    <t>CICE Professional School of New Technologies</t>
  </si>
  <si>
    <t>L'Agabe</t>
  </si>
  <si>
    <t>NORTHGATE ESPANA RENTING FLEXIBLE S.A.</t>
  </si>
  <si>
    <t>GETAFE</t>
  </si>
  <si>
    <t>Unicaja Banco</t>
  </si>
  <si>
    <t>Eckes-Granini Ibérica S.A Granini</t>
  </si>
  <si>
    <t>Estilia Sport</t>
  </si>
  <si>
    <t>EIT Tecnologías de la información S.A.</t>
  </si>
  <si>
    <t>DIA Corporate</t>
  </si>
  <si>
    <t>By Hours</t>
  </si>
  <si>
    <t>Worten España</t>
  </si>
  <si>
    <t>El Caballo</t>
  </si>
  <si>
    <t>Agencia Espanola De Proteccion De Datos</t>
  </si>
  <si>
    <t>Gesacan</t>
  </si>
  <si>
    <t>ImmersivePro</t>
  </si>
  <si>
    <t>LA TIENDA HOME</t>
  </si>
  <si>
    <t>OBZ</t>
  </si>
  <si>
    <t>Dosfarma</t>
  </si>
  <si>
    <t>COMERCIAL QUIMICA MASSO SA</t>
  </si>
  <si>
    <t>Adwen</t>
  </si>
  <si>
    <t>University of Helsinki Department of Computer Science</t>
  </si>
  <si>
    <t>Finland</t>
  </si>
  <si>
    <t>Helsinki</t>
  </si>
  <si>
    <t>Juvasa S.L.</t>
  </si>
  <si>
    <t>Dos Hermanas</t>
  </si>
  <si>
    <t>Casas Real</t>
  </si>
  <si>
    <t>VISION TECH LAB</t>
  </si>
  <si>
    <t>OCIOHOTELES</t>
  </si>
  <si>
    <t>ASTELLAS S.A.</t>
  </si>
  <si>
    <t>Be Live Hotels</t>
  </si>
  <si>
    <t>Llucmajor</t>
  </si>
  <si>
    <t>Badi</t>
  </si>
  <si>
    <t>Domopor</t>
  </si>
  <si>
    <t>CSUC</t>
  </si>
  <si>
    <t>Barcelona de Serveis Municipals S.A</t>
  </si>
  <si>
    <t>Guillaume Rostand</t>
  </si>
  <si>
    <t>SuperSol Supermercados</t>
  </si>
  <si>
    <t>Zeltia S.A.</t>
  </si>
  <si>
    <t>Fenix Directo</t>
  </si>
  <si>
    <t>Nextel</t>
  </si>
  <si>
    <t>Aviva Grupo Corporativo S.L.</t>
  </si>
  <si>
    <t>Ubesol S. L.</t>
  </si>
  <si>
    <t>Areas</t>
  </si>
  <si>
    <t>BANCO CETELEM S.A</t>
  </si>
  <si>
    <t>Oxygen</t>
  </si>
  <si>
    <t>Waynabox</t>
  </si>
  <si>
    <t>Cargill S.L.U</t>
  </si>
  <si>
    <t>Martorell</t>
  </si>
  <si>
    <t>Voxelscope</t>
  </si>
  <si>
    <t>Fontestad</t>
  </si>
  <si>
    <t>Museros</t>
  </si>
  <si>
    <t>SEITECH Software</t>
  </si>
  <si>
    <t>Quental</t>
  </si>
  <si>
    <t>Digital Ink</t>
  </si>
  <si>
    <t>?Falck SCI S.A.</t>
  </si>
  <si>
    <t>Sercotel</t>
  </si>
  <si>
    <t>CLINICA CEMTRO</t>
  </si>
  <si>
    <t>Dtakers</t>
  </si>
  <si>
    <t>31-01-2022</t>
  </si>
  <si>
    <t>Camper S.L.</t>
  </si>
  <si>
    <t>Inca (Mallorca)</t>
  </si>
  <si>
    <t>ASIENTOS DE GALICIA S L</t>
  </si>
  <si>
    <t>BEADE</t>
  </si>
  <si>
    <t>AbbVie Spain S.L.U.</t>
  </si>
  <si>
    <t>RibeSalat</t>
  </si>
  <si>
    <t>barcelona</t>
  </si>
  <si>
    <t>Mecalux SA</t>
  </si>
  <si>
    <t>Cornellà</t>
  </si>
  <si>
    <t>26-03-2022</t>
  </si>
  <si>
    <t>Deloitte Asesores Tributarios S.L.</t>
  </si>
  <si>
    <t>N2S</t>
  </si>
  <si>
    <t>CARGLASS BV Sucursal en Espana</t>
  </si>
  <si>
    <t>Mollet del Valles</t>
  </si>
  <si>
    <t>Indra Elecciones de Septiembre</t>
  </si>
  <si>
    <t>Mota-Egil Group</t>
  </si>
  <si>
    <t>City time</t>
  </si>
  <si>
    <t>IMQ</t>
  </si>
  <si>
    <t>Hutchinson Port Best</t>
  </si>
  <si>
    <t>WeTek</t>
  </si>
  <si>
    <t>Giesecke+Devrient Spain</t>
  </si>
  <si>
    <t>22-09-2021</t>
  </si>
  <si>
    <t>Free Technologies Excom SL</t>
  </si>
  <si>
    <t>Casares</t>
  </si>
  <si>
    <t>Tuc Tuc</t>
  </si>
  <si>
    <t>PRISMICA S.L.</t>
  </si>
  <si>
    <t>Mytheresa</t>
  </si>
  <si>
    <t>Losan</t>
  </si>
  <si>
    <t>Zatro</t>
  </si>
  <si>
    <t>HOWLANDERS</t>
  </si>
  <si>
    <t>ASISPA</t>
  </si>
  <si>
    <t>Regalos JC</t>
  </si>
  <si>
    <t>Floraqueen.com</t>
  </si>
  <si>
    <t>Roche Diagnostics GmbH</t>
  </si>
  <si>
    <t>Kaityu Bonolam</t>
  </si>
  <si>
    <t>Germany</t>
  </si>
  <si>
    <t>Mannheim</t>
  </si>
  <si>
    <t>22-07-2022</t>
  </si>
  <si>
    <t>20-09-2022</t>
  </si>
  <si>
    <t>Deutsche Automobil Treuhand GmbH</t>
  </si>
  <si>
    <t>Ostfildern</t>
  </si>
  <si>
    <t>22-02-2022</t>
  </si>
  <si>
    <t>Walbusch Walter Busch GmbH</t>
  </si>
  <si>
    <t>Solingen</t>
  </si>
  <si>
    <t>17-02-2022</t>
  </si>
  <si>
    <t>Westwing Group GmbH</t>
  </si>
  <si>
    <t>Munchen</t>
  </si>
  <si>
    <t>World Television (Switzerland) Ltd.</t>
  </si>
  <si>
    <t>United Kingdom</t>
  </si>
  <si>
    <t>London</t>
  </si>
  <si>
    <t>17-04-2022</t>
  </si>
  <si>
    <t>AMP-IT Consulting</t>
  </si>
  <si>
    <t>Delticom AG</t>
  </si>
  <si>
    <t>Hannover</t>
  </si>
  <si>
    <t>e35 Shop</t>
  </si>
  <si>
    <t>Austria</t>
  </si>
  <si>
    <t>Vienna</t>
  </si>
  <si>
    <t>Global Blue SA</t>
  </si>
  <si>
    <t>Switzerland</t>
  </si>
  <si>
    <t>Eysins</t>
  </si>
  <si>
    <t>benuta GmbH</t>
  </si>
  <si>
    <t>Bonn</t>
  </si>
  <si>
    <t>21-05-2022</t>
  </si>
  <si>
    <t>20-06-2022</t>
  </si>
  <si>
    <t>AOE media GmbH</t>
  </si>
  <si>
    <t>Wiesbaden</t>
  </si>
  <si>
    <t>SIGNA HOLDING GMBH</t>
  </si>
  <si>
    <t>MIC Datenverarbeitung GmbH</t>
  </si>
  <si>
    <t>Linz</t>
  </si>
  <si>
    <t>s.Oliver Bernd Freier GmbH &amp; Co. KG</t>
  </si>
  <si>
    <t>Rottendorf</t>
  </si>
  <si>
    <t>Flottweg SE</t>
  </si>
  <si>
    <t>Vilsbiburg</t>
  </si>
  <si>
    <t>DKV Mobility Services Business Center GmbH + Co. KG</t>
  </si>
  <si>
    <t>Ratingen</t>
  </si>
  <si>
    <t>Contentful GmbH</t>
  </si>
  <si>
    <t>Berlin</t>
  </si>
  <si>
    <t>26-10-2022</t>
  </si>
  <si>
    <t>Voycer AG</t>
  </si>
  <si>
    <t>Groz-Beckert KG</t>
  </si>
  <si>
    <t>Albstadt</t>
  </si>
  <si>
    <t>Decathlon Deutschland SE &amp; Co.KG</t>
  </si>
  <si>
    <t>Plochingen</t>
  </si>
  <si>
    <t>Teamnet GmbH</t>
  </si>
  <si>
    <t>Paderborn</t>
  </si>
  <si>
    <t>20-03-2022</t>
  </si>
  <si>
    <t>Recaro Aircraft Seating GmbH &amp; Co.KG</t>
  </si>
  <si>
    <t>Schwaebisch Hall</t>
  </si>
  <si>
    <t>we.CONECT Global Leaders GmbH</t>
  </si>
  <si>
    <t>Brose Fahrzeugteile GmbH &amp; Co. KG</t>
  </si>
  <si>
    <t>Coburg</t>
  </si>
  <si>
    <t>Vaillant Group Business Services GmbH</t>
  </si>
  <si>
    <t>Remscheid</t>
  </si>
  <si>
    <t>26-12-2021</t>
  </si>
  <si>
    <t>hamburg.de GmbH &amp; Co. KG</t>
  </si>
  <si>
    <t>20-12-2021</t>
  </si>
  <si>
    <t>KYOCERA Document Solutions Europe B.V.</t>
  </si>
  <si>
    <t>Meerbusch</t>
  </si>
  <si>
    <t>Moevenpick Hotels &amp; Resorts</t>
  </si>
  <si>
    <t>Glattbrugg</t>
  </si>
  <si>
    <t>Arvato Digital Services LLC.</t>
  </si>
  <si>
    <t>USA</t>
  </si>
  <si>
    <t>27-02-2022</t>
  </si>
  <si>
    <t>PrintPlanet GmbH</t>
  </si>
  <si>
    <t>Garbsen</t>
  </si>
  <si>
    <t>20-08-2022</t>
  </si>
  <si>
    <t>Pixnetiq GmbH</t>
  </si>
  <si>
    <t>SSI Schaefer Shop GmbH</t>
  </si>
  <si>
    <t>Betzdorf</t>
  </si>
  <si>
    <t>Leuze electronic GmbH + Co. KG</t>
  </si>
  <si>
    <t>Owen</t>
  </si>
  <si>
    <t>Kistler Instrumente AG</t>
  </si>
  <si>
    <t>Winterthur</t>
  </si>
  <si>
    <t>NEES-REISEN GmbH</t>
  </si>
  <si>
    <t>Krombach</t>
  </si>
  <si>
    <t>16-09-2022</t>
  </si>
  <si>
    <t>Interroll Schweiz AG</t>
  </si>
  <si>
    <t>Sant'Antonino</t>
  </si>
  <si>
    <t>LEDVANCE GmbH</t>
  </si>
  <si>
    <t>Garching</t>
  </si>
  <si>
    <t>RF360 Europe GmbH</t>
  </si>
  <si>
    <t>München</t>
  </si>
  <si>
    <t>Market Logic Software AG</t>
  </si>
  <si>
    <t>14-01-2022</t>
  </si>
  <si>
    <t>Gema Switzerland GmbH</t>
  </si>
  <si>
    <t>ST. GALLEN</t>
  </si>
  <si>
    <t>Adler Modemarkte AG</t>
  </si>
  <si>
    <t>Haibach</t>
  </si>
  <si>
    <t>27-11-2022</t>
  </si>
  <si>
    <t>17-12-2022</t>
  </si>
  <si>
    <t>QuestBack GmbH</t>
  </si>
  <si>
    <t>Köln</t>
  </si>
  <si>
    <t>17-07-2022</t>
  </si>
  <si>
    <t>4flow AG</t>
  </si>
  <si>
    <t>K - Mail Order GmbH &amp; Co. KG</t>
  </si>
  <si>
    <t>Pforzheim</t>
  </si>
  <si>
    <t>15-05-2022</t>
  </si>
  <si>
    <t>14-06-2022</t>
  </si>
  <si>
    <t>Buerkert Werke GmbH &amp; Co. KG</t>
  </si>
  <si>
    <t>Ingelfingen</t>
  </si>
  <si>
    <t>Bonprix Sp. z o.o.</t>
  </si>
  <si>
    <t>Poland</t>
  </si>
  <si>
    <t>Lodz</t>
  </si>
  <si>
    <t>DAKOSY Datenkommunikationssystem AG</t>
  </si>
  <si>
    <t>Hamburg</t>
  </si>
  <si>
    <t>Jumio Software Development GmbH</t>
  </si>
  <si>
    <t>Fressnapf Tiernahrungs GmbH</t>
  </si>
  <si>
    <t>Krefeld</t>
  </si>
  <si>
    <t>VERIMI GmbH</t>
  </si>
  <si>
    <t>etracker GmbH</t>
  </si>
  <si>
    <t>24-02-2022</t>
  </si>
  <si>
    <t>Yareto GmbH</t>
  </si>
  <si>
    <t>Neuss</t>
  </si>
  <si>
    <t>15-12-2021</t>
  </si>
  <si>
    <t>Saint-Gobain Building Distribution Deutschland GmbH</t>
  </si>
  <si>
    <t>Offenbach am Main</t>
  </si>
  <si>
    <t>Cyando AG</t>
  </si>
  <si>
    <t>Wollerau</t>
  </si>
  <si>
    <t>20-01-2022</t>
  </si>
  <si>
    <t>BELIMO Automation AG</t>
  </si>
  <si>
    <t>Hinwil</t>
  </si>
  <si>
    <t>30-10-2022</t>
  </si>
  <si>
    <t>oneCorp</t>
  </si>
  <si>
    <t>ratioform Verpackungen GmbH</t>
  </si>
  <si>
    <t>Pliening</t>
  </si>
  <si>
    <t>26-01-2022</t>
  </si>
  <si>
    <t>OEKO-TEX Association</t>
  </si>
  <si>
    <t>Zürich</t>
  </si>
  <si>
    <t>27-02-2023</t>
  </si>
  <si>
    <t>Marktplatz GmbH</t>
  </si>
  <si>
    <t>Lüneburg</t>
  </si>
  <si>
    <t>28-01-2022</t>
  </si>
  <si>
    <t>innovation mecom GmbH</t>
  </si>
  <si>
    <t>Fulda</t>
  </si>
  <si>
    <t>MUSIC STORE professional GmbH</t>
  </si>
  <si>
    <t>25-10-2021</t>
  </si>
  <si>
    <t>kidsroom.de GmbH &amp; Co. KG</t>
  </si>
  <si>
    <t>Bad Salzungen / OT Langenfeld</t>
  </si>
  <si>
    <t>18-10-2022</t>
  </si>
  <si>
    <t>The Unbelievable Machine Company</t>
  </si>
  <si>
    <t>18-11-2022</t>
  </si>
  <si>
    <t>17-01-2023</t>
  </si>
  <si>
    <t>K.A. Schmersal GmbH &amp; Co. KG</t>
  </si>
  <si>
    <t>Wuppertal</t>
  </si>
  <si>
    <t>Mahr GmbH (Carl Mahr)</t>
  </si>
  <si>
    <t>Gæ´´ingen</t>
  </si>
  <si>
    <t>17-12-2021</t>
  </si>
  <si>
    <t>Hansgrohe SE</t>
  </si>
  <si>
    <t>Awinta Gmbh</t>
  </si>
  <si>
    <t>Bietigheim-Bissingen</t>
  </si>
  <si>
    <t>Trelleborg Sealing Solutions</t>
  </si>
  <si>
    <t>Stuttgart</t>
  </si>
  <si>
    <t>28-01-2023</t>
  </si>
  <si>
    <t>17-02-2023</t>
  </si>
  <si>
    <t>Foliencenter24</t>
  </si>
  <si>
    <t>Eppendorf AG</t>
  </si>
  <si>
    <t>Duravit AG</t>
  </si>
  <si>
    <t>Hornberg</t>
  </si>
  <si>
    <t>BIOTRONIK SE &amp; Co. KG</t>
  </si>
  <si>
    <t>RedTecLab GmbH</t>
  </si>
  <si>
    <t>14-08-2022</t>
  </si>
  <si>
    <t>Trusted Shops GmbH</t>
  </si>
  <si>
    <t>Koln</t>
  </si>
  <si>
    <t>30-08-2022</t>
  </si>
  <si>
    <t>SICK AG</t>
  </si>
  <si>
    <t>Waldkirch</t>
  </si>
  <si>
    <t>SGS Group Management Ltd</t>
  </si>
  <si>
    <t>Dorai Kumar</t>
  </si>
  <si>
    <t>GENÈVE</t>
  </si>
  <si>
    <t>Realisaprint.com</t>
  </si>
  <si>
    <t>Nice</t>
  </si>
  <si>
    <t>GIE Avions Transport Regional</t>
  </si>
  <si>
    <t>BLAGNAC CEDEX</t>
  </si>
  <si>
    <t>25-01-2023</t>
  </si>
  <si>
    <t>14-02-2023</t>
  </si>
  <si>
    <t>ROCHE SAS</t>
  </si>
  <si>
    <t>Neuilly sur Seine Cedex</t>
  </si>
  <si>
    <t>Genymobile</t>
  </si>
  <si>
    <t>CHASSIS BRAKES INTERNATIONAL</t>
  </si>
  <si>
    <t>Groupe Atlantic</t>
  </si>
  <si>
    <t>LA ROCHE-SUR- YON</t>
  </si>
  <si>
    <t>TCS</t>
  </si>
  <si>
    <t>Oakland</t>
  </si>
  <si>
    <t>Suez Group</t>
  </si>
  <si>
    <t>HEF Groupe</t>
  </si>
  <si>
    <t>MANUF FRANC PNEUMATIQ MICHELIN</t>
  </si>
  <si>
    <t>EPC Groupe</t>
  </si>
  <si>
    <t>Verallia</t>
  </si>
  <si>
    <t>Laposte</t>
  </si>
  <si>
    <t>DMLT - Investment Cafe LLC</t>
  </si>
  <si>
    <t>Arturia</t>
  </si>
  <si>
    <t>GACD</t>
  </si>
  <si>
    <t>Actility</t>
  </si>
  <si>
    <t>Lannion</t>
  </si>
  <si>
    <t>SensioLabs</t>
  </si>
  <si>
    <t>Petit Forestier</t>
  </si>
  <si>
    <t>Villepinte</t>
  </si>
  <si>
    <t>Sage</t>
  </si>
  <si>
    <t>Centre Hospitalier de Royan</t>
  </si>
  <si>
    <t>Vaux-sur-Mer</t>
  </si>
  <si>
    <t>Holding Mademoiselle Desserts</t>
  </si>
  <si>
    <t>Montigny le Bretonneux</t>
  </si>
  <si>
    <t>Groupe Chimirec</t>
  </si>
  <si>
    <t>DUGNY</t>
  </si>
  <si>
    <t>crc-international.org</t>
  </si>
  <si>
    <t>La Plaine</t>
  </si>
  <si>
    <t>TARKETT</t>
  </si>
  <si>
    <t>SEDAN CEDEX</t>
  </si>
  <si>
    <t>iBanFirst</t>
  </si>
  <si>
    <t>Mersen</t>
  </si>
  <si>
    <t>Gambetta</t>
  </si>
  <si>
    <t>Oodrive</t>
  </si>
  <si>
    <t>Faroutsolutions</t>
  </si>
  <si>
    <t>TAMPA</t>
  </si>
  <si>
    <t>Exoe</t>
  </si>
  <si>
    <t>Curie Institute</t>
  </si>
  <si>
    <t>Kiabi SAS</t>
  </si>
  <si>
    <t>ROUBAIX</t>
  </si>
  <si>
    <t>Steelcase France</t>
  </si>
  <si>
    <t>AIRBUS HELICOPTERS SAS</t>
  </si>
  <si>
    <t>Marignane</t>
  </si>
  <si>
    <t>DIAC RCI BANQUE</t>
  </si>
  <si>
    <t>NOISY LE GRAND CEDEX</t>
  </si>
  <si>
    <t>Centre Hospitalier de Bretagne Sud</t>
  </si>
  <si>
    <t>Cryostar</t>
  </si>
  <si>
    <t>Decathlon Pro</t>
  </si>
  <si>
    <t>Villeneuve d'ascq</t>
  </si>
  <si>
    <t>TALAN</t>
  </si>
  <si>
    <t>Credifil</t>
  </si>
  <si>
    <t>Ordre de Malte France</t>
  </si>
  <si>
    <t>Partedis Chauffage Sanitaire</t>
  </si>
  <si>
    <t>Viaccess-Orca</t>
  </si>
  <si>
    <t>Oetker Collection</t>
  </si>
  <si>
    <t>USM U. Schärer Fils SA France</t>
  </si>
  <si>
    <t>Tokheim</t>
  </si>
  <si>
    <t>My Coach</t>
  </si>
  <si>
    <t>Nice Cedex 3</t>
  </si>
  <si>
    <t>Groupe Vivalto Sant?</t>
  </si>
  <si>
    <t>Advanced Accelerator Applications</t>
  </si>
  <si>
    <t>Securitas Direct France</t>
  </si>
  <si>
    <t>PARIS CEDEX 15</t>
  </si>
  <si>
    <t>ORPEA</t>
  </si>
  <si>
    <t>Neo Center Est.</t>
  </si>
  <si>
    <t>Woippy</t>
  </si>
  <si>
    <t>Johnson Screens</t>
  </si>
  <si>
    <t>Guerbet</t>
  </si>
  <si>
    <t>Vatonce</t>
  </si>
  <si>
    <t>DAF Trucks NV France</t>
  </si>
  <si>
    <t>Roissy</t>
  </si>
  <si>
    <t>22-04-2023</t>
  </si>
  <si>
    <t>Horoquartz</t>
  </si>
  <si>
    <t>Tikehau Capital</t>
  </si>
  <si>
    <t>AIRBUS SAS</t>
  </si>
  <si>
    <t>TOULOUSE</t>
  </si>
  <si>
    <t>FEDERAL EXPRESS FEDE</t>
  </si>
  <si>
    <t>ROISSY CDG CEDEX</t>
  </si>
  <si>
    <t>Petzl</t>
  </si>
  <si>
    <t>CellProthera</t>
  </si>
  <si>
    <t>MULHOUSE</t>
  </si>
  <si>
    <t>OLLY GAN</t>
  </si>
  <si>
    <t>Aix-en-Provence</t>
  </si>
  <si>
    <t>Comptoir d Exportation de France</t>
  </si>
  <si>
    <t>CARPENTRAS</t>
  </si>
  <si>
    <t>13-05-2023</t>
  </si>
  <si>
    <t>Groupe Pitney Bowes</t>
  </si>
  <si>
    <t>Gunvor International</t>
  </si>
  <si>
    <t>Geneva</t>
  </si>
  <si>
    <t>Thorn</t>
  </si>
  <si>
    <t>AT Internet</t>
  </si>
  <si>
    <t>Mérignac</t>
  </si>
  <si>
    <t>Touyard Vehicules Industriels</t>
  </si>
  <si>
    <t>Millesoixantequatre</t>
  </si>
  <si>
    <t>joada</t>
  </si>
  <si>
    <t>Bordeaux</t>
  </si>
  <si>
    <t>ECOLE ELEC PROD METHODES INDUSTRIELLES</t>
  </si>
  <si>
    <t>CERGY PONTOISE</t>
  </si>
  <si>
    <t>EMC Corporation</t>
  </si>
  <si>
    <t>Centre Hospitalier Gérontologique</t>
  </si>
  <si>
    <t>LA FERE</t>
  </si>
  <si>
    <t>24-12-2022</t>
  </si>
  <si>
    <t>Wilo SE France</t>
  </si>
  <si>
    <t>General Electric France</t>
  </si>
  <si>
    <t>Humancraft</t>
  </si>
  <si>
    <t>Itelios</t>
  </si>
  <si>
    <t>Centre Hospitalier Region de Saint-Omer</t>
  </si>
  <si>
    <t>Saint-Omer</t>
  </si>
  <si>
    <t>42 Consulting</t>
  </si>
  <si>
    <t>INSTITUT ESTHEDERM FRANCE</t>
  </si>
  <si>
    <t>Agence 71</t>
  </si>
  <si>
    <t>Mauleon</t>
  </si>
  <si>
    <t>Visteon Corporation France</t>
  </si>
  <si>
    <t>Sergic</t>
  </si>
  <si>
    <t>Pierre Fabre SA</t>
  </si>
  <si>
    <t>Castres</t>
  </si>
  <si>
    <t>30-06-2022</t>
  </si>
  <si>
    <t>Valmont France SAS</t>
  </si>
  <si>
    <t>Charmeil</t>
  </si>
  <si>
    <t>Marymount International School Paris</t>
  </si>
  <si>
    <t>UNDIZ</t>
  </si>
  <si>
    <t>GROUPE SNEF</t>
  </si>
  <si>
    <t>Marseille</t>
  </si>
  <si>
    <t>Albinet</t>
  </si>
  <si>
    <t>CE RATP - COMITÉ D'ENTREPRISE RATP</t>
  </si>
  <si>
    <t>Bagnolet</t>
  </si>
  <si>
    <t>Ideal Standard</t>
  </si>
  <si>
    <t>iXBlue SAS</t>
  </si>
  <si>
    <t>Saint-Germain-en-Laye</t>
  </si>
  <si>
    <t>VMcom</t>
  </si>
  <si>
    <t>MaxiCoffee</t>
  </si>
  <si>
    <t>SPEEDY France SAS</t>
  </si>
  <si>
    <t>LA CIOTAT</t>
  </si>
  <si>
    <t>Data Dog`</t>
  </si>
  <si>
    <t>Publidée</t>
  </si>
  <si>
    <t>Sarbacane</t>
  </si>
  <si>
    <t>Caly Vape</t>
  </si>
  <si>
    <t>Draveil</t>
  </si>
  <si>
    <t>AHNAC Group</t>
  </si>
  <si>
    <t>ividence</t>
  </si>
  <si>
    <t>Markem-Imaje SAS</t>
  </si>
  <si>
    <t>Bourg-Les-Valence</t>
  </si>
  <si>
    <t>Malt</t>
  </si>
  <si>
    <t>Rochechouart</t>
  </si>
  <si>
    <t>Colt</t>
  </si>
  <si>
    <t>INSERM</t>
  </si>
  <si>
    <t>Legoupil Industrie</t>
  </si>
  <si>
    <t>Arc Holdings</t>
  </si>
  <si>
    <t>ARQUES</t>
  </si>
  <si>
    <t>Mutex SA</t>
  </si>
  <si>
    <t>Chatillon</t>
  </si>
  <si>
    <t>OVR Performances</t>
  </si>
  <si>
    <t>Ingeliance</t>
  </si>
  <si>
    <t>Approsine</t>
  </si>
  <si>
    <t>Mulhouse</t>
  </si>
  <si>
    <t>Utocat</t>
  </si>
  <si>
    <t>Lille</t>
  </si>
  <si>
    <t>SumiRiko Industry France S.A.S.</t>
  </si>
  <si>
    <t>Decize</t>
  </si>
  <si>
    <t>23-08-2021</t>
  </si>
  <si>
    <t>Salesforce</t>
  </si>
  <si>
    <t>Objectif Tendance - SL Waypoint</t>
  </si>
  <si>
    <t>Carcans</t>
  </si>
  <si>
    <t>Paul Hastings</t>
  </si>
  <si>
    <t>MSC Mediterranean Shipping Company S.A.</t>
  </si>
  <si>
    <t>Sames Kremlin</t>
  </si>
  <si>
    <t>PROSERVIA (France)</t>
  </si>
  <si>
    <t>AGENCE REGIONALE DE SANTE</t>
  </si>
  <si>
    <t>AGCO SA</t>
  </si>
  <si>
    <t>EasyTeam</t>
  </si>
  <si>
    <t>Edicom Group</t>
  </si>
  <si>
    <t>Saegus</t>
  </si>
  <si>
    <t>Centre Hospitalier Intercommunal Elbeuf Louviers Va de Reuil</t>
  </si>
  <si>
    <t>Saint-Aubin-les-Elbeuf</t>
  </si>
  <si>
    <t>YouScribe SAS</t>
  </si>
  <si>
    <t>Autobiz</t>
  </si>
  <si>
    <t>PNY</t>
  </si>
  <si>
    <t>Core Us</t>
  </si>
  <si>
    <t>AsceNTIC (SASU)</t>
  </si>
  <si>
    <t>LACROIX SA</t>
  </si>
  <si>
    <t>Rosewood Luxury Hotels</t>
  </si>
  <si>
    <t>Frais d'Ici</t>
  </si>
  <si>
    <t>Groupe Logement Francais</t>
  </si>
  <si>
    <t>22-06-2021</t>
  </si>
  <si>
    <t>Héliantis</t>
  </si>
  <si>
    <t>Enedis</t>
  </si>
  <si>
    <t>EPSA Groupe</t>
  </si>
  <si>
    <t>Honeywell</t>
  </si>
  <si>
    <t>JBL Consultants</t>
  </si>
  <si>
    <t>SARL Passion Origami</t>
  </si>
  <si>
    <t>Okta Inc. France</t>
  </si>
  <si>
    <t>Pathé Evreux Cinema</t>
  </si>
  <si>
    <t>CH BLOIS</t>
  </si>
  <si>
    <t>CEDEX</t>
  </si>
  <si>
    <t>Apave</t>
  </si>
  <si>
    <t>To Do Today</t>
  </si>
  <si>
    <t>Les Hôpitaux du Léman</t>
  </si>
  <si>
    <t>Acep TryLive</t>
  </si>
  <si>
    <t>PrestaShop</t>
  </si>
  <si>
    <t>Niwanet</t>
  </si>
  <si>
    <t>hybster</t>
  </si>
  <si>
    <t>Tours</t>
  </si>
  <si>
    <t>Cadre de Vie</t>
  </si>
  <si>
    <t>Neotion</t>
  </si>
  <si>
    <t>APHP</t>
  </si>
  <si>
    <t>CS</t>
  </si>
  <si>
    <t>MUTUELLES DU SOLEIL</t>
  </si>
  <si>
    <t>Hyatt</t>
  </si>
  <si>
    <t>IFP Atlantique</t>
  </si>
  <si>
    <t>Groupe Agrica</t>
  </si>
  <si>
    <t>Promostyl</t>
  </si>
  <si>
    <t>Trdev</t>
  </si>
  <si>
    <t>PredictSpring</t>
  </si>
  <si>
    <t>Flight Safety International France</t>
  </si>
  <si>
    <t>institut esthederm</t>
  </si>
  <si>
    <t>Sound Test</t>
  </si>
  <si>
    <t>Fédération des SCOP de la Communication</t>
  </si>
  <si>
    <t>Socomec</t>
  </si>
  <si>
    <t>DARVA</t>
  </si>
  <si>
    <t>Chauray</t>
  </si>
  <si>
    <t>Volvo Trucks</t>
  </si>
  <si>
    <t>VAT SYSTEMS</t>
  </si>
  <si>
    <t>Service Départemental d'Incendie et de Secours de Maine-et-Loire</t>
  </si>
  <si>
    <t>Stago</t>
  </si>
  <si>
    <t>Asnières sur seine</t>
  </si>
  <si>
    <t>Sutter Mills</t>
  </si>
  <si>
    <t>COVENTYA HOLDING SAS</t>
  </si>
  <si>
    <t>Renov'smile</t>
  </si>
  <si>
    <t>CESIN</t>
  </si>
  <si>
    <t>PICTIME GROUPE</t>
  </si>
  <si>
    <t>Provence-alpes-cote d'azur</t>
  </si>
  <si>
    <t>GIE IPECA GESTION</t>
  </si>
  <si>
    <t>ADP GSI France SAS</t>
  </si>
  <si>
    <t>Nanterre cedex</t>
  </si>
  <si>
    <t>A.S. Watson Group - Marionnaud</t>
  </si>
  <si>
    <t>Volvo</t>
  </si>
  <si>
    <t>Avios Group</t>
  </si>
  <si>
    <t>IRT SystemX</t>
  </si>
  <si>
    <t>Graham Packaging Company Europe</t>
  </si>
  <si>
    <t>21-01-2022</t>
  </si>
  <si>
    <t>University of Strasbourg</t>
  </si>
  <si>
    <t>Grenoble</t>
  </si>
  <si>
    <t>AstraZeneca France</t>
  </si>
  <si>
    <t>Courbevoie</t>
  </si>
  <si>
    <t>International Agency for Research on Cancer</t>
  </si>
  <si>
    <t>Lyon</t>
  </si>
  <si>
    <t>Création innovation Cité</t>
  </si>
  <si>
    <t>Eliga</t>
  </si>
  <si>
    <t>Rousseau</t>
  </si>
  <si>
    <t>VIAVI Solutions France SAS</t>
  </si>
  <si>
    <t>Plaisir</t>
  </si>
  <si>
    <t>B+ Equipment</t>
  </si>
  <si>
    <t>SECTRONIC</t>
  </si>
  <si>
    <t>Paris &amp; Co.</t>
  </si>
  <si>
    <t>Sur le chemin du Succès</t>
  </si>
  <si>
    <t>Allied Telesis</t>
  </si>
  <si>
    <t>IQVIA France</t>
  </si>
  <si>
    <t>La Défense</t>
  </si>
  <si>
    <t>Citywizz</t>
  </si>
  <si>
    <t>Geismar</t>
  </si>
  <si>
    <t>In Extenso</t>
  </si>
  <si>
    <t>OppScience</t>
  </si>
  <si>
    <t>Hospital Center of Dracénie</t>
  </si>
  <si>
    <t>Mobilis</t>
  </si>
  <si>
    <t>Fédération nationale des Caisses d'Epargne</t>
  </si>
  <si>
    <t>METTLER-TOLEDO INTERNATIONAL INC</t>
  </si>
  <si>
    <t>Armis</t>
  </si>
  <si>
    <t>Money Globe</t>
  </si>
  <si>
    <t>CFAO Group</t>
  </si>
  <si>
    <t>Voyci</t>
  </si>
  <si>
    <t>Animaute</t>
  </si>
  <si>
    <t>Siyour</t>
  </si>
  <si>
    <t>Datafirst</t>
  </si>
  <si>
    <t>Maif</t>
  </si>
  <si>
    <t>BWC</t>
  </si>
  <si>
    <t>Vias</t>
  </si>
  <si>
    <t>Le Centre hospitalier Camille Claudel</t>
  </si>
  <si>
    <t>Eleven Labs</t>
  </si>
  <si>
    <t>André</t>
  </si>
  <si>
    <t>HTL Ottakring</t>
  </si>
  <si>
    <t>Centre Hospitalier de Dax-Côte d'Argent</t>
  </si>
  <si>
    <t>Dax</t>
  </si>
  <si>
    <t>Teezily</t>
  </si>
  <si>
    <t>MySam</t>
  </si>
  <si>
    <t>Albi</t>
  </si>
  <si>
    <t>Daher</t>
  </si>
  <si>
    <t>LANXESS S.A.S.</t>
  </si>
  <si>
    <t>Courbevoie Cedex</t>
  </si>
  <si>
    <t>Qos Energy</t>
  </si>
  <si>
    <t>Adents High Tech International</t>
  </si>
  <si>
    <t>Sofidel France Sas</t>
  </si>
  <si>
    <t>Frouard</t>
  </si>
  <si>
    <t>Les Petits Débrouillards</t>
  </si>
  <si>
    <t>Hilton</t>
  </si>
  <si>
    <t>Kids and crea</t>
  </si>
  <si>
    <t>Ile-de-France</t>
  </si>
  <si>
    <t>Socara E.LeClerc</t>
  </si>
  <si>
    <t>Duqueine</t>
  </si>
  <si>
    <t>KEPLER CHEUVREUX</t>
  </si>
  <si>
    <t>LONDON</t>
  </si>
  <si>
    <t>Sampleo</t>
  </si>
  <si>
    <t>IFIVE</t>
  </si>
  <si>
    <t>Bewide</t>
  </si>
  <si>
    <t>OffiSanté</t>
  </si>
  <si>
    <t>Arelis</t>
  </si>
  <si>
    <t>Alloga France</t>
  </si>
  <si>
    <t>Opticeo</t>
  </si>
  <si>
    <t>Crouzet</t>
  </si>
  <si>
    <t>Exalog</t>
  </si>
  <si>
    <t>GS2E</t>
  </si>
  <si>
    <t>Monshowroom</t>
  </si>
  <si>
    <t>Mediaco</t>
  </si>
  <si>
    <t>Marché Privé</t>
  </si>
  <si>
    <t>Cisbio Bioassays SAS</t>
  </si>
  <si>
    <t>Codolet</t>
  </si>
  <si>
    <t>Freenet AG</t>
  </si>
  <si>
    <t>Ben Usioka</t>
  </si>
  <si>
    <t>Duesseldorf</t>
  </si>
  <si>
    <t>Netscreens</t>
  </si>
  <si>
    <t>Karlruhe</t>
  </si>
  <si>
    <t>25-10-2022</t>
  </si>
  <si>
    <t>onOffice GmbH</t>
  </si>
  <si>
    <t>Aachen</t>
  </si>
  <si>
    <t>21-09-2022</t>
  </si>
  <si>
    <t>Veridos GmbH</t>
  </si>
  <si>
    <t>Festo AG &amp; Co. KG</t>
  </si>
  <si>
    <t>Esslingen</t>
  </si>
  <si>
    <t>18-09-2022</t>
  </si>
  <si>
    <t>Mercura GmbH</t>
  </si>
  <si>
    <t>Wil</t>
  </si>
  <si>
    <t>B. Braun Melsungen AG</t>
  </si>
  <si>
    <t>Melsungen</t>
  </si>
  <si>
    <t>EPCOS AG</t>
  </si>
  <si>
    <t>Munich</t>
  </si>
  <si>
    <t>Sonova AG</t>
  </si>
  <si>
    <t>Stäfa</t>
  </si>
  <si>
    <t>Endress+Hauser InfoServe GmbH + Co. KG</t>
  </si>
  <si>
    <t>Weil am Rhein</t>
  </si>
  <si>
    <t>18-08-2022</t>
  </si>
  <si>
    <t>17-10-2022</t>
  </si>
  <si>
    <t>NOTEBOOKSBILLIGER.DE AG</t>
  </si>
  <si>
    <t>Sarstedt</t>
  </si>
  <si>
    <t>TecAlliance GmbH</t>
  </si>
  <si>
    <t>BYK-Gardner GmbH</t>
  </si>
  <si>
    <t>Geretsried</t>
  </si>
  <si>
    <t>umlaut communications GmbH</t>
  </si>
  <si>
    <t>Continum AG</t>
  </si>
  <si>
    <t>Freiburg im Breisgau</t>
  </si>
  <si>
    <t>Giesecke &amp; Devrient GmbH</t>
  </si>
  <si>
    <t>Muenchen</t>
  </si>
  <si>
    <t>KRONES AG</t>
  </si>
  <si>
    <t>Neutraubling</t>
  </si>
  <si>
    <t>Giesecke+Devrient Professional Services GmbH</t>
  </si>
  <si>
    <t>18-05-2022</t>
  </si>
  <si>
    <t>OTTO Office GmbH &amp; Co KG</t>
  </si>
  <si>
    <t>Viessmann IT Service GmbH</t>
  </si>
  <si>
    <t>Allendorf (Eder)</t>
  </si>
  <si>
    <t>Berner SE</t>
  </si>
  <si>
    <t>Künzelsau</t>
  </si>
  <si>
    <t>Steinberg Media Technologies GmbH</t>
  </si>
  <si>
    <t>28-12-2022</t>
  </si>
  <si>
    <t>Altova GmbH</t>
  </si>
  <si>
    <t>Wien</t>
  </si>
  <si>
    <t>Osram GmbH</t>
  </si>
  <si>
    <t>Detlev Louis Motorradvertriebs GmbH</t>
  </si>
  <si>
    <t>25-07-2021</t>
  </si>
  <si>
    <t>13-09-2021</t>
  </si>
  <si>
    <t>Doka GmbH</t>
  </si>
  <si>
    <t>Amstetten</t>
  </si>
  <si>
    <t>SEW-EURODRIVE GmbH &amp; Co KG</t>
  </si>
  <si>
    <t>Bruchsal</t>
  </si>
  <si>
    <t>Andritz AG</t>
  </si>
  <si>
    <t>Graz</t>
  </si>
  <si>
    <t>Julius Blum GmbH</t>
  </si>
  <si>
    <t>Hoechst</t>
  </si>
  <si>
    <t>14-10-2022</t>
  </si>
  <si>
    <t>Wirecard Technologies AG</t>
  </si>
  <si>
    <t>Aschheim</t>
  </si>
  <si>
    <t>26-05-2022</t>
  </si>
  <si>
    <t>50Hertz Transmission GmbH</t>
  </si>
  <si>
    <t>Getriebebau NORD GmbH &amp; Co. KG</t>
  </si>
  <si>
    <t>Bargteheide</t>
  </si>
  <si>
    <t>Berentzen-Gruppe AG</t>
  </si>
  <si>
    <t>Ban Roamer</t>
  </si>
  <si>
    <t>Haselünne</t>
  </si>
  <si>
    <t>Pretty Nail Shop 24 GmbH</t>
  </si>
  <si>
    <t>Tangstedt</t>
  </si>
  <si>
    <t>EWR AG</t>
  </si>
  <si>
    <t>Hugendubel Digital GmbH &amp; Co.</t>
  </si>
  <si>
    <t>Gebr. Rochling</t>
  </si>
  <si>
    <t>Eurocres</t>
  </si>
  <si>
    <t>Enviro Pack GmbH</t>
  </si>
  <si>
    <t>Haiger</t>
  </si>
  <si>
    <t>Berlin Brandburg Flughafen GmbH</t>
  </si>
  <si>
    <t>Schæ®¥feld</t>
  </si>
  <si>
    <t>EPCOS AG - Duplicate</t>
  </si>
  <si>
    <t>24-03-2023</t>
  </si>
  <si>
    <t>City of Bayreuth</t>
  </si>
  <si>
    <t>Bayreuth</t>
  </si>
  <si>
    <t>Stadt Wien ? Wiener Krankenanstaltenverbund</t>
  </si>
  <si>
    <t>EISMANN</t>
  </si>
  <si>
    <t>Postnord Logistics GmbH</t>
  </si>
  <si>
    <t>Lübeck-Travemünde</t>
  </si>
  <si>
    <t>Handelsgruppe Service GmbH &amp; Co. KG</t>
  </si>
  <si>
    <t>Siegburg</t>
  </si>
  <si>
    <t>Liebherr-International Deutschland GmbH</t>
  </si>
  <si>
    <t>Biberach an der Riss</t>
  </si>
  <si>
    <t>Siewert &amp; Kau Computertechnik GmbH</t>
  </si>
  <si>
    <t>Bergheim</t>
  </si>
  <si>
    <t>Knauf Gips KG</t>
  </si>
  <si>
    <t>Iphofen</t>
  </si>
  <si>
    <t>Frontline GmbH</t>
  </si>
  <si>
    <t>ag.supply GmbH</t>
  </si>
  <si>
    <t>City Velbert</t>
  </si>
  <si>
    <t>Velbert</t>
  </si>
  <si>
    <t>omx.ch</t>
  </si>
  <si>
    <t>easyfeedback GmbH</t>
  </si>
  <si>
    <t>Koblenz</t>
  </si>
  <si>
    <t>Head HTM Sport- und Freizeitgeraete AG</t>
  </si>
  <si>
    <t>SCHWECHAT</t>
  </si>
  <si>
    <t>GAXWEB E-COMMERCE + CROSS COMMUNICATIONS</t>
  </si>
  <si>
    <t>Karlsruhe</t>
  </si>
  <si>
    <t>ADVA Optical Networking SE</t>
  </si>
  <si>
    <t>Martinsried/Munich</t>
  </si>
  <si>
    <t>Eurofighter Jagdflugzeug GmbH</t>
  </si>
  <si>
    <t>Hallbergmoos</t>
  </si>
  <si>
    <t>24-11-2022</t>
  </si>
  <si>
    <t>A-Z GartenHaus GmbH</t>
  </si>
  <si>
    <t>Rollei GmbH &amp; Co. KG</t>
  </si>
  <si>
    <t>Norderstedt</t>
  </si>
  <si>
    <t>Escapio GmbH</t>
  </si>
  <si>
    <t>Bewotec GmbH</t>
  </si>
  <si>
    <t>Rösrath</t>
  </si>
  <si>
    <t>IBENA Textilwerke GmbH</t>
  </si>
  <si>
    <t>Rhede</t>
  </si>
  <si>
    <t>GÖDE Holding GmbH &amp; Co. KG</t>
  </si>
  <si>
    <t>Waldaschaff</t>
  </si>
  <si>
    <t>Hess Natur -Textilien GmbH</t>
  </si>
  <si>
    <t>Butzbach</t>
  </si>
  <si>
    <t>Bottomline Technologies Inc. Switzerland</t>
  </si>
  <si>
    <t>Generva</t>
  </si>
  <si>
    <t>Cobana Fruchtring GmbH &amp; Co. KG</t>
  </si>
  <si>
    <t>Losinger Marazzi</t>
  </si>
  <si>
    <t>Bern</t>
  </si>
  <si>
    <t>Flughafen Stuttgart Gesellschaft mit beschränkter Haftung</t>
  </si>
  <si>
    <t>AUCOTEAM</t>
  </si>
  <si>
    <t>Gourmondo GmbH</t>
  </si>
  <si>
    <t>Schwalmstadt - Trutzhain</t>
  </si>
  <si>
    <t>Carl Zeiss AG</t>
  </si>
  <si>
    <t>Oberkochen</t>
  </si>
  <si>
    <t>29-01-2022</t>
  </si>
  <si>
    <t>Amundi Pioneer</t>
  </si>
  <si>
    <t>Cheops Informatik AG</t>
  </si>
  <si>
    <t>Itellium Systems &amp; Services GmbH</t>
  </si>
  <si>
    <t>Essen</t>
  </si>
  <si>
    <t>HolzLand GmbH</t>
  </si>
  <si>
    <t>Dortmund</t>
  </si>
  <si>
    <t>Bühler Barth GmbH</t>
  </si>
  <si>
    <t>Freiberg am Neckar</t>
  </si>
  <si>
    <t>KION GROUP GmbH</t>
  </si>
  <si>
    <t>Your Secure Cloud GmbH</t>
  </si>
  <si>
    <t>Nürnberg</t>
  </si>
  <si>
    <t>Haribo GmbH &amp; Co KG</t>
  </si>
  <si>
    <t>BRITA GmbH</t>
  </si>
  <si>
    <t>Taunusstein</t>
  </si>
  <si>
    <t>Schott AG</t>
  </si>
  <si>
    <t>Mainz</t>
  </si>
  <si>
    <t>27-08-2022</t>
  </si>
  <si>
    <t>Veritas AG</t>
  </si>
  <si>
    <t>Gelnhausen</t>
  </si>
  <si>
    <t>Philipps-Universität Marburg</t>
  </si>
  <si>
    <t>Marburg</t>
  </si>
  <si>
    <t>Regio Energie Solothurn</t>
  </si>
  <si>
    <t>Solothurn</t>
  </si>
  <si>
    <t>HAHN+KOLB Werkzeuge GmbH</t>
  </si>
  <si>
    <t>Ludwigsburg</t>
  </si>
  <si>
    <t>IBZ</t>
  </si>
  <si>
    <t>Design3000</t>
  </si>
  <si>
    <t>Erbach</t>
  </si>
  <si>
    <t>Radisson Blu</t>
  </si>
  <si>
    <t>Ulla Popken GmbH</t>
  </si>
  <si>
    <t>Rastede</t>
  </si>
  <si>
    <t>CASIO Europe GmbH</t>
  </si>
  <si>
    <t>BAA Boysen exhaust systems Achim GmbH &amp; Co. KG</t>
  </si>
  <si>
    <t>Achim</t>
  </si>
  <si>
    <t>Habermaass GmbH</t>
  </si>
  <si>
    <t>Bad Rodach</t>
  </si>
  <si>
    <t>GAZPROM Germania GmbH</t>
  </si>
  <si>
    <t>LR Health &amp; Beauty Systems</t>
  </si>
  <si>
    <t>G DATA CyberDefense AG</t>
  </si>
  <si>
    <t>Bochum</t>
  </si>
  <si>
    <t>KSB SE &amp; Co. KGaA</t>
  </si>
  <si>
    <t>Frankenthal (Pfalz)</t>
  </si>
  <si>
    <t>23-04-2023</t>
  </si>
  <si>
    <t>Komax AG</t>
  </si>
  <si>
    <t>Dierikon</t>
  </si>
  <si>
    <t>Harro Höfliger Verpackungsmaschinen GmbH</t>
  </si>
  <si>
    <t>Allmersbach im Tal</t>
  </si>
  <si>
    <t>University of Lausanne</t>
  </si>
  <si>
    <t>Dehn &amp; Sãohne Gmbh &amp; Co.Kg.</t>
  </si>
  <si>
    <t>Neumarkt i.d.OPf.</t>
  </si>
  <si>
    <t>Snipes SE</t>
  </si>
  <si>
    <t>Fraport AG</t>
  </si>
  <si>
    <t>Frankfurt am Main</t>
  </si>
  <si>
    <t>Kinopolis Management Multiplex GmbH</t>
  </si>
  <si>
    <t>Darmstadt</t>
  </si>
  <si>
    <t>AHT Fashion GmbH</t>
  </si>
  <si>
    <t>Xanten</t>
  </si>
  <si>
    <t>Fleurop AG</t>
  </si>
  <si>
    <t>FernUniversität in Hagen</t>
  </si>
  <si>
    <t>Hagen</t>
  </si>
  <si>
    <t>Wien Energie GmbH</t>
  </si>
  <si>
    <t>mobile.de GmbH</t>
  </si>
  <si>
    <t>Kleinmachnow-Dreilinden</t>
  </si>
  <si>
    <t>SOS Doctors Geneva</t>
  </si>
  <si>
    <t>Verpackung24 GmbH</t>
  </si>
  <si>
    <t>Reutlingen</t>
  </si>
  <si>
    <t>GC Großhandels Contor GmbH</t>
  </si>
  <si>
    <t>Bremen</t>
  </si>
  <si>
    <t>Marabu GmbH &amp; Co. KG</t>
  </si>
  <si>
    <t>Tamm</t>
  </si>
  <si>
    <t>Aktiv-Schuh Handelsgesellschaft mbH</t>
  </si>
  <si>
    <t>ÖBB-Business Competence Center GmbH</t>
  </si>
  <si>
    <t>University of Basel</t>
  </si>
  <si>
    <t>Hans Kupfer &amp; Sohn Gmbh &amp; Co. Kg</t>
  </si>
  <si>
    <t>Heilsbronn</t>
  </si>
  <si>
    <t>Energie AG Oberösterreich</t>
  </si>
  <si>
    <t>Landeshauptstadt Wiesbaden</t>
  </si>
  <si>
    <t>ZGONC Handel GmbH</t>
  </si>
  <si>
    <t>STEAG GmbH</t>
  </si>
  <si>
    <t>Hewlett Packard (Schweiz) GmbH</t>
  </si>
  <si>
    <t>Duebendorf</t>
  </si>
  <si>
    <t>Ampegon</t>
  </si>
  <si>
    <t>Vector Informatik GmbH</t>
  </si>
  <si>
    <t>huelsta-werke Huels GmbH &amp; Co. KG</t>
  </si>
  <si>
    <t>Stadtlohn</t>
  </si>
  <si>
    <t>Bedag Informatik AG</t>
  </si>
  <si>
    <t>FH JOANNEUM Graz</t>
  </si>
  <si>
    <t>Jenoptik AG</t>
  </si>
  <si>
    <t>Jena</t>
  </si>
  <si>
    <t>Keller Sports GmbH</t>
  </si>
  <si>
    <t>Lensspirit GmbH</t>
  </si>
  <si>
    <t>Leipzig</t>
  </si>
  <si>
    <t>Carl Zeiss Jena GmbH</t>
  </si>
  <si>
    <t>Versandhaus Walz GmbH</t>
  </si>
  <si>
    <t>Bad Waldsee</t>
  </si>
  <si>
    <t>14-05-2022</t>
  </si>
  <si>
    <t>FraSec Fraport Security Services GmbH</t>
  </si>
  <si>
    <t>HelmholtzZentrum munchen</t>
  </si>
  <si>
    <t>Oberschleißheim</t>
  </si>
  <si>
    <t>Kempinski AG</t>
  </si>
  <si>
    <t>Communicate IT Services SA</t>
  </si>
  <si>
    <t>H. Kemper GmbH &amp; Co. KG</t>
  </si>
  <si>
    <t>Nortrup</t>
  </si>
  <si>
    <t>Chrono24 GmbH</t>
  </si>
  <si>
    <t>Zenhomes GmbH</t>
  </si>
  <si>
    <t>University of Munich</t>
  </si>
  <si>
    <t>AirTies Austria</t>
  </si>
  <si>
    <t>DianaKlinik</t>
  </si>
  <si>
    <t>Bad Bevensen</t>
  </si>
  <si>
    <t>Infosys Consulting GmbH</t>
  </si>
  <si>
    <t>Garching bei Muenchen</t>
  </si>
  <si>
    <t>UDG Cross GmbH</t>
  </si>
  <si>
    <t>Luwigsburg</t>
  </si>
  <si>
    <t>Justus-Liebig-Universität Gießen</t>
  </si>
  <si>
    <t>Giessen</t>
  </si>
  <si>
    <t>DERTICKETSERVICE.DE GmbH &amp; Co. KG</t>
  </si>
  <si>
    <t>Liesegang &amp; Partner mbB</t>
  </si>
  <si>
    <t>Frankfurt</t>
  </si>
  <si>
    <t>Kolding Municipality</t>
  </si>
  <si>
    <t>Denmark</t>
  </si>
  <si>
    <t>Kolding</t>
  </si>
  <si>
    <t>Idiap Research Institute</t>
  </si>
  <si>
    <t>Martigny</t>
  </si>
  <si>
    <t>GINA LAURA GmbH &amp; Co. KG</t>
  </si>
  <si>
    <t>Daimani AG</t>
  </si>
  <si>
    <t>Zurich</t>
  </si>
  <si>
    <t>GLOCK Ges.m.b.H.</t>
  </si>
  <si>
    <t>Deutsch Wagram</t>
  </si>
  <si>
    <t>REHAU AG Co</t>
  </si>
  <si>
    <t>Rehau</t>
  </si>
  <si>
    <t>Viessmann Werke GmbH &amp; Co KG</t>
  </si>
  <si>
    <t>University of Fribourg</t>
  </si>
  <si>
    <t>Fribourg</t>
  </si>
  <si>
    <t>REALTECH AG</t>
  </si>
  <si>
    <t>Walldorf</t>
  </si>
  <si>
    <t>Cinram GmbH</t>
  </si>
  <si>
    <t>Alsdorf</t>
  </si>
  <si>
    <t>swisspro AG</t>
  </si>
  <si>
    <t>ZÜRICH</t>
  </si>
  <si>
    <t>KIDOH in der Verlagsgruppe Weltbild GmbH - kidoh.de</t>
  </si>
  <si>
    <t>Augsburg</t>
  </si>
  <si>
    <t>Gries Deco Company GmbH</t>
  </si>
  <si>
    <t>Niedernberg</t>
  </si>
  <si>
    <t>noline.ch GmbH</t>
  </si>
  <si>
    <t>Buus</t>
  </si>
  <si>
    <t>Deutsche Reiterliche Vereinigung e.V.</t>
  </si>
  <si>
    <t>Warendorf</t>
  </si>
  <si>
    <t>Van Doorn &amp; Becker KG</t>
  </si>
  <si>
    <t>Mülheim an der Ruhr</t>
  </si>
  <si>
    <t>JAKO-O GmbH</t>
  </si>
  <si>
    <t>Bulthaup GmbH &amp; Co. KG</t>
  </si>
  <si>
    <t>Bodenkirchen</t>
  </si>
  <si>
    <t>HSL Informatik AG</t>
  </si>
  <si>
    <t>Liechtenstein</t>
  </si>
  <si>
    <t>Balzers</t>
  </si>
  <si>
    <t>Ibbenburen</t>
  </si>
  <si>
    <t>Ibbenbüren</t>
  </si>
  <si>
    <t>Leder &amp; Schuh AG</t>
  </si>
  <si>
    <t>BORSIG GmbH</t>
  </si>
  <si>
    <t>Happy Size Versand GmbH &amp; Co. KG</t>
  </si>
  <si>
    <t>kutscher.TEC GmbH</t>
  </si>
  <si>
    <t>Braunschweig</t>
  </si>
  <si>
    <t>AKD Inflatables GmbH</t>
  </si>
  <si>
    <t>Blumberger dam</t>
  </si>
  <si>
    <t>CKW</t>
  </si>
  <si>
    <t>Luzern</t>
  </si>
  <si>
    <t>awinta DUMMY ACCOUNT</t>
  </si>
  <si>
    <t>University Of Basel</t>
  </si>
  <si>
    <t>net.DE AG</t>
  </si>
  <si>
    <t>Atos</t>
  </si>
  <si>
    <t>BEO GmbH</t>
  </si>
  <si>
    <t>Endingen</t>
  </si>
  <si>
    <t>MEDION AG</t>
  </si>
  <si>
    <t>ehorses GmbH &amp; Co. KG</t>
  </si>
  <si>
    <t>Georgsmarienhütte</t>
  </si>
  <si>
    <t>artvera GmbH &amp; Co. KG</t>
  </si>
  <si>
    <t>24-10-2021</t>
  </si>
  <si>
    <t>Herz-Zentrum Bad Krozingen</t>
  </si>
  <si>
    <t>Brauerei C. &amp; A. Veltins GmbH &amp; Co. KG</t>
  </si>
  <si>
    <t>Meschede-Grevenstein</t>
  </si>
  <si>
    <t>Christoph Kroschke GmbH Germany</t>
  </si>
  <si>
    <t>Ahrensburg</t>
  </si>
  <si>
    <t>Gerhard D. Wempe KG</t>
  </si>
  <si>
    <t>ip.labs GmbH</t>
  </si>
  <si>
    <t>Event Hospitality Management Holding GmbH &amp; Co KG</t>
  </si>
  <si>
    <t>SSI International GmbH</t>
  </si>
  <si>
    <t>Wendelstein</t>
  </si>
  <si>
    <t>A.S. Ceation Tapeten AG</t>
  </si>
  <si>
    <t>Gummersbach</t>
  </si>
  <si>
    <t>KW Automotive GmbH</t>
  </si>
  <si>
    <t>Fichtenberg</t>
  </si>
  <si>
    <t>LÜSCHER informatik</t>
  </si>
  <si>
    <t>Brunegg</t>
  </si>
  <si>
    <t>Berndt GMBH</t>
  </si>
  <si>
    <t>Oberding</t>
  </si>
  <si>
    <t>Messe Duesseldorf GmbH</t>
  </si>
  <si>
    <t>Düsseldorf</t>
  </si>
  <si>
    <t>DailyDeal GmbH</t>
  </si>
  <si>
    <t>Caritas Trägergesellschaft Saarbrücken mbH (cts)</t>
  </si>
  <si>
    <t>Saarbrücken</t>
  </si>
  <si>
    <t>LLOYD Shoes GmbH</t>
  </si>
  <si>
    <t>Sulingen</t>
  </si>
  <si>
    <t>CATALINA DEUTSCHLAND GMBH</t>
  </si>
  <si>
    <t>Bad Homburg</t>
  </si>
  <si>
    <t>AMAG Group AG</t>
  </si>
  <si>
    <t>Cham</t>
  </si>
  <si>
    <t>VNG ? Verbundnetz Gas Aktiengesellschaft</t>
  </si>
  <si>
    <t>synalis GmbH &amp; Co. KG</t>
  </si>
  <si>
    <t>Questionmark GmbH</t>
  </si>
  <si>
    <t>Brent Dorsch</t>
  </si>
  <si>
    <t>Oklahoma City</t>
  </si>
  <si>
    <t>Compass Group Deutschland GmbH</t>
  </si>
  <si>
    <t>Eschborn</t>
  </si>
  <si>
    <t>Thalia Holding GmbH / Standort Muenster</t>
  </si>
  <si>
    <t>MUENSTER</t>
  </si>
  <si>
    <t>Secretariat of the Basel Rotterdam and Stockholm Conventions</t>
  </si>
  <si>
    <t>Châtelaine</t>
  </si>
  <si>
    <t>Inselspital Universitätsspital Bern</t>
  </si>
  <si>
    <t>Humbaur GmbH</t>
  </si>
  <si>
    <t>Gersthofen</t>
  </si>
  <si>
    <t>eprimo GmbH</t>
  </si>
  <si>
    <t>Neu-Isenburg</t>
  </si>
  <si>
    <t>KÖNIG GmbH &amp; Co KG</t>
  </si>
  <si>
    <t>Moringen</t>
  </si>
  <si>
    <t>TUI Cruises GmbH</t>
  </si>
  <si>
    <t>Dialog Semiconductor GmbH</t>
  </si>
  <si>
    <t>Kirchheim</t>
  </si>
  <si>
    <t>Lenze SE</t>
  </si>
  <si>
    <t>Aerzen</t>
  </si>
  <si>
    <t>Berlin Tourismus &amp; Kongress GmbH</t>
  </si>
  <si>
    <t>ALPINE Bau GmbH</t>
  </si>
  <si>
    <t>Wals bei Salzburg</t>
  </si>
  <si>
    <t>Fahrrad-XXL.de GmbH &amp; Co. KG</t>
  </si>
  <si>
    <t>Pcaide</t>
  </si>
  <si>
    <t>Keller &amp; Kalmbach GmbH</t>
  </si>
  <si>
    <t>Unterschleißheim</t>
  </si>
  <si>
    <t>HELBLING NETWORK CONSULTING</t>
  </si>
  <si>
    <t>JAB Anstoetz KG</t>
  </si>
  <si>
    <t>Bielefeld</t>
  </si>
  <si>
    <t>Busch-Jaeger Elektro GmbH</t>
  </si>
  <si>
    <t>Lüdenscheid</t>
  </si>
  <si>
    <t>Schmetterling International GmbH &amp; Co. KG</t>
  </si>
  <si>
    <t>Obertrubach-Geschwand</t>
  </si>
  <si>
    <t>Bit AG fur Informationstechnologien</t>
  </si>
  <si>
    <t>Rapperswil-Jona</t>
  </si>
  <si>
    <t>Ameropa</t>
  </si>
  <si>
    <t>Hans Geis GmbH + Co KG Internationale Spedition</t>
  </si>
  <si>
    <t>Bad Neustadt</t>
  </si>
  <si>
    <t>btf GmbH</t>
  </si>
  <si>
    <t>Fujitsu Technology Solutions GmbH</t>
  </si>
  <si>
    <t>Landverein fur Innere Mission in der Pfalz e.V.</t>
  </si>
  <si>
    <t>Bad Dürkheim</t>
  </si>
  <si>
    <t>Endress+Hauser Wetzer GmbH+Co.KG</t>
  </si>
  <si>
    <t>Nesselwang</t>
  </si>
  <si>
    <t>commercetools GmbH</t>
  </si>
  <si>
    <t>Datamars SA</t>
  </si>
  <si>
    <t>Lamone</t>
  </si>
  <si>
    <t>SinusQuadrat GmbH</t>
  </si>
  <si>
    <t>Offenburg</t>
  </si>
  <si>
    <t>Belenus LOB Informatic GmbH</t>
  </si>
  <si>
    <t>17-07-2021</t>
  </si>
  <si>
    <t>16-08-2021</t>
  </si>
  <si>
    <t>Smaser AG</t>
  </si>
  <si>
    <t>HairGroup GmbH</t>
  </si>
  <si>
    <t>Leineweber GmbH &amp; Co. KG</t>
  </si>
  <si>
    <t>Herford</t>
  </si>
  <si>
    <t>KabelScheune</t>
  </si>
  <si>
    <t>Foodexplorer Fine Food GmbH</t>
  </si>
  <si>
    <t>Pascoe pharmazeutische Präparate GmbH</t>
  </si>
  <si>
    <t>FS eCommerce GmbH</t>
  </si>
  <si>
    <t>parfuemerie.de beauty alliance GmbH &amp; Co. KG</t>
  </si>
  <si>
    <t>ELCH</t>
  </si>
  <si>
    <t>Guenthart GmbH &amp; Co. KG</t>
  </si>
  <si>
    <t>Hohentengen am Hochrhein</t>
  </si>
  <si>
    <t>Daenisches Bettenlager GmbH &amp; Co. KG</t>
  </si>
  <si>
    <t>Handewitt</t>
  </si>
  <si>
    <t>Crem Solutions GmbH &amp; Co. KG</t>
  </si>
  <si>
    <t>Geigar &amp; Haas GmbH</t>
  </si>
  <si>
    <t>Rottenburg</t>
  </si>
  <si>
    <t>Jacques' Wein-Depot Wein-Einzelhandel GmbH</t>
  </si>
  <si>
    <t>Iselasticum Services Ltd.</t>
  </si>
  <si>
    <t>Zug</t>
  </si>
  <si>
    <t>Beuth Verlag GmbH</t>
  </si>
  <si>
    <t>energis GmbH</t>
  </si>
  <si>
    <t>DaDi EDV GmbH</t>
  </si>
  <si>
    <t>Rösch Fashion GmbH &amp; Co. KG</t>
  </si>
  <si>
    <t>Tübingen</t>
  </si>
  <si>
    <t>Unstrut Saale Güterlogistik GmbH</t>
  </si>
  <si>
    <t>E. Breuninger GmbH &amp; Co.</t>
  </si>
  <si>
    <t>GKN Aftermarket Operations GKN Service International GmbH</t>
  </si>
  <si>
    <t>Rosrath</t>
  </si>
  <si>
    <t>Schroders</t>
  </si>
  <si>
    <t>Amann Informatik AG</t>
  </si>
  <si>
    <t>Reinach</t>
  </si>
  <si>
    <t>Atelco Computer AG</t>
  </si>
  <si>
    <t>Möhnesee</t>
  </si>
  <si>
    <t>KUNERT FASHION GmbH</t>
  </si>
  <si>
    <t>Immenstadt</t>
  </si>
  <si>
    <t>Wiener Festwochen Gesellschaft m.b.H.</t>
  </si>
  <si>
    <t>WINGAS GmbH &amp; Co. KG</t>
  </si>
  <si>
    <t>Kassel</t>
  </si>
  <si>
    <t>Hi-Media Deutschland AG</t>
  </si>
  <si>
    <t>Goodyear Dunlop Tires Germany GmbH</t>
  </si>
  <si>
    <t>Hanau</t>
  </si>
  <si>
    <t>bett1.de GmbH</t>
  </si>
  <si>
    <t>MTC-Grossenbacher</t>
  </si>
  <si>
    <t>Konolfingen</t>
  </si>
  <si>
    <t>Avaloq</t>
  </si>
  <si>
    <t>CeTris GmBh</t>
  </si>
  <si>
    <t>baby-walz GmbH</t>
  </si>
  <si>
    <t>Seven Principles AG</t>
  </si>
  <si>
    <t>mediaBEAM GmbH</t>
  </si>
  <si>
    <t>Ahaus</t>
  </si>
  <si>
    <t>EGLO LEUCHTEN GMBH</t>
  </si>
  <si>
    <t>PILL</t>
  </si>
  <si>
    <t>energy &amp; meteo systems GmbH</t>
  </si>
  <si>
    <t>Oldenburg</t>
  </si>
  <si>
    <t>Optonet AG</t>
  </si>
  <si>
    <t>Walchwil</t>
  </si>
  <si>
    <t>Blickle Räder+Rollen GmbH u. Co. KG</t>
  </si>
  <si>
    <t>Rosenfeld</t>
  </si>
  <si>
    <t>dahme spreewald.d</t>
  </si>
  <si>
    <t>Lampenwelt GmbH &amp; Co KG</t>
  </si>
  <si>
    <t>Schlitz</t>
  </si>
  <si>
    <t>CLICKCONCEPTS GmbH</t>
  </si>
  <si>
    <t>Ellwangen</t>
  </si>
  <si>
    <t>JAGO AG</t>
  </si>
  <si>
    <t>Hans Soldan GmbH</t>
  </si>
  <si>
    <t>Metrohm</t>
  </si>
  <si>
    <t>Herisau</t>
  </si>
  <si>
    <t>Schulthess Clinic</t>
  </si>
  <si>
    <t>HIAG Data</t>
  </si>
  <si>
    <t>Triaz GmbH</t>
  </si>
  <si>
    <t>Freiburg</t>
  </si>
  <si>
    <t>Leopold Kostal GmbH &amp; Co. KG</t>
  </si>
  <si>
    <t>ams AG</t>
  </si>
  <si>
    <t>Premstaetten</t>
  </si>
  <si>
    <t>ADM Germany GmbH</t>
  </si>
  <si>
    <t>AVL LIST GMBH</t>
  </si>
  <si>
    <t>GRAZ</t>
  </si>
  <si>
    <t>Fronius International GmbH</t>
  </si>
  <si>
    <t>Wels</t>
  </si>
  <si>
    <t>Stadtwerke Gießen AG</t>
  </si>
  <si>
    <t>ebm-papst Mulfingen GmbH &amp; Co. KG</t>
  </si>
  <si>
    <t>Mulfingen</t>
  </si>
  <si>
    <t>HUBER+SUHNER</t>
  </si>
  <si>
    <t>A + E Informatik GmbH</t>
  </si>
  <si>
    <t>Hamburg Messe und Congress GmbH</t>
  </si>
  <si>
    <t>Tectake Gmbh</t>
  </si>
  <si>
    <t>Igersheim</t>
  </si>
  <si>
    <t>Curated Shopping GmbH</t>
  </si>
  <si>
    <t>Krombacher Brauerei B. Schadeberg GmbH &amp; Co.KG</t>
  </si>
  <si>
    <t>Kreuztal</t>
  </si>
  <si>
    <t>Elster GmbH</t>
  </si>
  <si>
    <t>Mainz-Kastel</t>
  </si>
  <si>
    <t>Landkreis Celle</t>
  </si>
  <si>
    <t>Celle</t>
  </si>
  <si>
    <t>hagebau IT GmbH</t>
  </si>
  <si>
    <t>Soltau</t>
  </si>
  <si>
    <t>Centre hospitalier universitaire vaudois</t>
  </si>
  <si>
    <t>Deloitte &amp; Touche Corporate Finance GmbH</t>
  </si>
  <si>
    <t>ELV Elektronik AG</t>
  </si>
  <si>
    <t>Leer</t>
  </si>
  <si>
    <t>Holz-Richter GmbH</t>
  </si>
  <si>
    <t>Lindlar</t>
  </si>
  <si>
    <t>Hela Gewürzwerk Hermann Laue GmbH</t>
  </si>
  <si>
    <t>itnetx</t>
  </si>
  <si>
    <t>Berlin Institute for Population and Development</t>
  </si>
  <si>
    <t>Kiddy GmbH</t>
  </si>
  <si>
    <t>Hof</t>
  </si>
  <si>
    <t>Valentins GmbH</t>
  </si>
  <si>
    <t>Moerfelden-Walldorf</t>
  </si>
  <si>
    <t>Kölner Verkehrs-Betriebe AG</t>
  </si>
  <si>
    <t>MiRO Mineral oil refinery Oberrhein GmbH &amp; Co. KG</t>
  </si>
  <si>
    <t>TimoCom Soft- und Hardware GmbH</t>
  </si>
  <si>
    <t>13-07-2021</t>
  </si>
  <si>
    <t>Prym Consumer Europe GmbH</t>
  </si>
  <si>
    <t>Stolberg</t>
  </si>
  <si>
    <t>MeinAuto GmbH</t>
  </si>
  <si>
    <t>SH Telekommunikation Deutschland GmbH</t>
  </si>
  <si>
    <t>MKS (Switzerland) SA</t>
  </si>
  <si>
    <t>Leica Geosystems AG</t>
  </si>
  <si>
    <t>Brüder Schlau GmbH &amp; Co. KG</t>
  </si>
  <si>
    <t>Porta Westfalica</t>
  </si>
  <si>
    <t>Christian Goldschmiede AG</t>
  </si>
  <si>
    <t>BUTLERS GmbH &amp; Co. KG</t>
  </si>
  <si>
    <t>European Energy Exchange AG</t>
  </si>
  <si>
    <t>AnyDesk Software GmbH</t>
  </si>
  <si>
    <t>Braas Alles Gut Bedacht</t>
  </si>
  <si>
    <t>Stadtgemeinde Leonding</t>
  </si>
  <si>
    <t>Leonding</t>
  </si>
  <si>
    <t>B·A·D Gesundheitsvorsorge und Sicherheitstechnik GmbH</t>
  </si>
  <si>
    <t>Landesärztekammer Hessen</t>
  </si>
  <si>
    <t>BIKE &amp; OUTDOOR COMPANY GmbH &amp; Co. KG</t>
  </si>
  <si>
    <t>die.interaktiven GmbH &amp; Co. KG</t>
  </si>
  <si>
    <t>Siegfried AG</t>
  </si>
  <si>
    <t>Zofingen</t>
  </si>
  <si>
    <t>EFG International</t>
  </si>
  <si>
    <t>Diringer &amp; Scheidel Gmbh</t>
  </si>
  <si>
    <t>Kamps</t>
  </si>
  <si>
    <t>UDG United Digital Group GmbH</t>
  </si>
  <si>
    <t>Herrenberg</t>
  </si>
  <si>
    <t>regio iT gesellschaft für informationstechnologie mbh</t>
  </si>
  <si>
    <t>23-05-2021</t>
  </si>
  <si>
    <t>Kreisverwaltung Unna</t>
  </si>
  <si>
    <t>Unna</t>
  </si>
  <si>
    <t>Senvion GmbH</t>
  </si>
  <si>
    <t>Blume 2000 new media ag</t>
  </si>
  <si>
    <t>DOK SYSTEME</t>
  </si>
  <si>
    <t>Hans Segmüller Polstermöbelfabrik GmbH &amp; Co. KG</t>
  </si>
  <si>
    <t>Friedberg</t>
  </si>
  <si>
    <t>OOEV</t>
  </si>
  <si>
    <t>Erich NETZSCH GmbH &amp; Co. Holding KG</t>
  </si>
  <si>
    <t>Selb</t>
  </si>
  <si>
    <t>KHS GmbH</t>
  </si>
  <si>
    <t>eCom Logistik GmbH &amp; Co. KG</t>
  </si>
  <si>
    <t>Falkensee</t>
  </si>
  <si>
    <t>Ankerkraut GmbH</t>
  </si>
  <si>
    <t>Jesteburg</t>
  </si>
  <si>
    <t>Cotecna</t>
  </si>
  <si>
    <t>Keramik Keramische Werke GmbH</t>
  </si>
  <si>
    <t>Ev. Krankenhausgemeinschaft Herne-Castrop-Rauxel</t>
  </si>
  <si>
    <t>Herne</t>
  </si>
  <si>
    <t>E/D/E ? Einkaufsbüro Deutscher Eisenhändler</t>
  </si>
  <si>
    <t>CHRIST Juweliere und Uhrmacher seit 1863 GmbH</t>
  </si>
  <si>
    <t>item Industrietechnik GmbH</t>
  </si>
  <si>
    <t>EBF-EDV Beratung Föllmer GmbH</t>
  </si>
  <si>
    <t>HTBLA Traun</t>
  </si>
  <si>
    <t>TRAUN</t>
  </si>
  <si>
    <t>NORDSEE GmbH</t>
  </si>
  <si>
    <t>Bremerhaven</t>
  </si>
  <si>
    <t>SVA System Vertrieb Alexander GmbH</t>
  </si>
  <si>
    <t>Büromarkt Böttcher AG</t>
  </si>
  <si>
    <t>Degussa Goldhandel GmbH</t>
  </si>
  <si>
    <t>Lapado Handelsgesellschaft mbH</t>
  </si>
  <si>
    <t>Potsdam</t>
  </si>
  <si>
    <t>Mekra</t>
  </si>
  <si>
    <t>erfal GmbH &amp; Co. KG</t>
  </si>
  <si>
    <t>Falkenstein</t>
  </si>
  <si>
    <t>SDV Vergabe GmbH</t>
  </si>
  <si>
    <t>Dresden</t>
  </si>
  <si>
    <t>Ernst Dello GmbH &amp; Co. KG</t>
  </si>
  <si>
    <t>GöTel GmbH</t>
  </si>
  <si>
    <t>Göttingen</t>
  </si>
  <si>
    <t>DER Fuchs GmbH</t>
  </si>
  <si>
    <t>Bad Fallingbos</t>
  </si>
  <si>
    <t>CPC Unternehmensmanagement AG</t>
  </si>
  <si>
    <t>Springlane GmbH</t>
  </si>
  <si>
    <t>Reichelt Elektronik GmbH &amp; Co. KG</t>
  </si>
  <si>
    <t>Sande</t>
  </si>
  <si>
    <t>SCHUNK GmbH &amp; Co. KG</t>
  </si>
  <si>
    <t>Lauffen/Neckar</t>
  </si>
  <si>
    <t>Roast Market GmbH</t>
  </si>
  <si>
    <t>Handelshaus Wagner GmbH</t>
  </si>
  <si>
    <t>Nidda</t>
  </si>
  <si>
    <t>RatePAY GmbH</t>
  </si>
  <si>
    <t>25-12-2021</t>
  </si>
  <si>
    <t>Neopoly GmbH</t>
  </si>
  <si>
    <t>KAISER+KRAFT GmbH</t>
  </si>
  <si>
    <t>Fielmann AG</t>
  </si>
  <si>
    <t>26-04-2022</t>
  </si>
  <si>
    <t>KATAG AG</t>
  </si>
  <si>
    <t>Caseking GmbH</t>
  </si>
  <si>
    <t>RIEDEL Communications GmbH &amp; Co. KG</t>
  </si>
  <si>
    <t>MONACOR INTERNATIONAL GmbH &amp; Co. KG</t>
  </si>
  <si>
    <t>UTM Muellergroup</t>
  </si>
  <si>
    <t>Freising</t>
  </si>
  <si>
    <t>Futurways GmbH</t>
  </si>
  <si>
    <t>bc GmbH &amp; Co.</t>
  </si>
  <si>
    <t>Würselen</t>
  </si>
  <si>
    <t>ATP Auto-Teile-Pöllath Handels GmbH</t>
  </si>
  <si>
    <t>Pressath</t>
  </si>
  <si>
    <t>GetYourGuide AG</t>
  </si>
  <si>
    <t>BOA Group</t>
  </si>
  <si>
    <t>Tilburg</t>
  </si>
  <si>
    <t>Bausch+Ströbel</t>
  </si>
  <si>
    <t>WERU GmbH</t>
  </si>
  <si>
    <t>Rudersberg</t>
  </si>
  <si>
    <t>Schecker GmbH</t>
  </si>
  <si>
    <t>Südbrookmerland</t>
  </si>
  <si>
    <t>Evangelische Perthes-Stiftung eV</t>
  </si>
  <si>
    <t>Münster</t>
  </si>
  <si>
    <t>M+W Group GmbH</t>
  </si>
  <si>
    <t>CureVac AG</t>
  </si>
  <si>
    <t>KHD Humboldt Wedag International AG</t>
  </si>
  <si>
    <t>Cologne</t>
  </si>
  <si>
    <t>Information Service Center WBF ISCeco</t>
  </si>
  <si>
    <t>Miele &amp; Cie. KG</t>
  </si>
  <si>
    <t>Gütersloh</t>
  </si>
  <si>
    <t>GEFRO-Reformversand Frommlet KG - gefro.de</t>
  </si>
  <si>
    <t>Memmingen/ Allgäu</t>
  </si>
  <si>
    <t>Symrise AG</t>
  </si>
  <si>
    <t>Holzminden</t>
  </si>
  <si>
    <t>Picanova GmbH</t>
  </si>
  <si>
    <t>Koeln</t>
  </si>
  <si>
    <t>Neuspur</t>
  </si>
  <si>
    <t>Corden Pharma</t>
  </si>
  <si>
    <t>EPAM Systems GmbH</t>
  </si>
  <si>
    <t>Triple A Marketing GmbH</t>
  </si>
  <si>
    <t>Herrenknecht AG</t>
  </si>
  <si>
    <t>Schwanau</t>
  </si>
  <si>
    <t>LAYER-Grosshandel GmbH &amp; Co. KG</t>
  </si>
  <si>
    <t>Tettnang</t>
  </si>
  <si>
    <t>23-12-2022</t>
  </si>
  <si>
    <t>Flightright GmbH</t>
  </si>
  <si>
    <t>Helen of Troy</t>
  </si>
  <si>
    <t>Riedel Networks GmbH &amp; Co. KG</t>
  </si>
  <si>
    <t>Getec Energie</t>
  </si>
  <si>
    <t>Einrichtungshaus Ostermann GmbH &amp; Co.KG</t>
  </si>
  <si>
    <t>Witten</t>
  </si>
  <si>
    <t>Last Minute Tours - Reisen in letzter Minute Flugticket - und Restplatzbörse Ges.m.b.H.</t>
  </si>
  <si>
    <t>energis GmbH+</t>
  </si>
  <si>
    <t>Mikron</t>
  </si>
  <si>
    <t>Boudry</t>
  </si>
  <si>
    <t>Widder Hotel</t>
  </si>
  <si>
    <t>Buchbinder Rent-a-car</t>
  </si>
  <si>
    <t>Duisburg</t>
  </si>
  <si>
    <t>Valartis Group AG</t>
  </si>
  <si>
    <t>Park Hyatt Zurich</t>
  </si>
  <si>
    <t>Giesswein Walkwaren AG</t>
  </si>
  <si>
    <t>Brixlegg</t>
  </si>
  <si>
    <t>3tre</t>
  </si>
  <si>
    <t>Gebrüder Martin GmbH &amp; Co. KG</t>
  </si>
  <si>
    <t>Tuttlingen</t>
  </si>
  <si>
    <t>Tirendo Holding GmbH</t>
  </si>
  <si>
    <t>BBVA</t>
  </si>
  <si>
    <t>Kral AG</t>
  </si>
  <si>
    <t>Lustenau</t>
  </si>
  <si>
    <t>Cineplex Deutschland GmbH &amp; Co. KG</t>
  </si>
  <si>
    <t>WIR Bank Cooperative</t>
  </si>
  <si>
    <t>Basel</t>
  </si>
  <si>
    <t>zPDC GmbH</t>
  </si>
  <si>
    <t>KUKA AG</t>
  </si>
  <si>
    <t>Kanton Zug</t>
  </si>
  <si>
    <t>Schumacher GmbH</t>
  </si>
  <si>
    <t>Seal One AG</t>
  </si>
  <si>
    <t>J.Wagner GmbH</t>
  </si>
  <si>
    <t>Markdorf</t>
  </si>
  <si>
    <t>ZWILLING J. A. Henckels AG</t>
  </si>
  <si>
    <t>Dieffenbacher GmbH &amp; Co. KG</t>
  </si>
  <si>
    <t>Eppingen</t>
  </si>
  <si>
    <t>Meteomatics AG</t>
  </si>
  <si>
    <t>St. Gallen</t>
  </si>
  <si>
    <t>TEKFOR Holding GmbH</t>
  </si>
  <si>
    <t>METRO International AG</t>
  </si>
  <si>
    <t>Baar</t>
  </si>
  <si>
    <t>Von Roll</t>
  </si>
  <si>
    <t>Oryx Energies</t>
  </si>
  <si>
    <t>Axians GNS AG</t>
  </si>
  <si>
    <t>Kepler Cheuvreux</t>
  </si>
  <si>
    <t>Bertschi AG</t>
  </si>
  <si>
    <t>Dürrenäsch</t>
  </si>
  <si>
    <t>Hoppe AG</t>
  </si>
  <si>
    <t>CPNV</t>
  </si>
  <si>
    <t>La Mobiliere</t>
  </si>
  <si>
    <t>Senn</t>
  </si>
  <si>
    <t>First Sensor AG</t>
  </si>
  <si>
    <t>EBS Sp. z o.o.</t>
  </si>
  <si>
    <t>Rinika Oprah</t>
  </si>
  <si>
    <t>Warszawa</t>
  </si>
  <si>
    <t>Trading 212 LTD</t>
  </si>
  <si>
    <t>Bulgaria</t>
  </si>
  <si>
    <t>Sofia</t>
  </si>
  <si>
    <t>15-02-2022</t>
  </si>
  <si>
    <t>17-03-2022</t>
  </si>
  <si>
    <t>S.C WEEGOO E-VOLVE S.R.L.</t>
  </si>
  <si>
    <t>Romania</t>
  </si>
  <si>
    <t>Bucharest</t>
  </si>
  <si>
    <t>Graphisoft SE</t>
  </si>
  <si>
    <t>Hungary</t>
  </si>
  <si>
    <t>Budapest</t>
  </si>
  <si>
    <t>Solarity</t>
  </si>
  <si>
    <t>Czech Republic</t>
  </si>
  <si>
    <t>Prague</t>
  </si>
  <si>
    <t>SIIX EMS Slovakia s.r.o.</t>
  </si>
  <si>
    <t>Slovakia</t>
  </si>
  <si>
    <t>Nitra</t>
  </si>
  <si>
    <t>26-01-2023</t>
  </si>
  <si>
    <t>Gedecom</t>
  </si>
  <si>
    <t>Josh Bolton</t>
  </si>
  <si>
    <t>Carros</t>
  </si>
  <si>
    <t>VPG</t>
  </si>
  <si>
    <t>Aix en Provence</t>
  </si>
  <si>
    <t>Boardriders Inc - Na Pali</t>
  </si>
  <si>
    <t>Saint Jean de Luz</t>
  </si>
  <si>
    <t>28-12-2021</t>
  </si>
  <si>
    <t>SAS Clarins Fragrance Group OU CFG</t>
  </si>
  <si>
    <t>Selectour</t>
  </si>
  <si>
    <t>Tereos</t>
  </si>
  <si>
    <t>ORIGNY STE BENOITE</t>
  </si>
  <si>
    <t>One2team</t>
  </si>
  <si>
    <t>NEUILLY SUR SEINE</t>
  </si>
  <si>
    <t>Afibel</t>
  </si>
  <si>
    <t>Villeneuve d'Ascq</t>
  </si>
  <si>
    <t>SOFTTHINKS SAS</t>
  </si>
  <si>
    <t>Villeneuve d'Acsq</t>
  </si>
  <si>
    <t>Paris Inn Group</t>
  </si>
  <si>
    <t>MILIBOO.COM</t>
  </si>
  <si>
    <t>PRINGY</t>
  </si>
  <si>
    <t>Elle &amp; Vire</t>
  </si>
  <si>
    <t>VIROFLAY</t>
  </si>
  <si>
    <t>Sonovente</t>
  </si>
  <si>
    <t>Palaiseau</t>
  </si>
  <si>
    <t>Fifty Five</t>
  </si>
  <si>
    <t>Fioulmarket</t>
  </si>
  <si>
    <t>Rueil-Malmaison</t>
  </si>
  <si>
    <t>MADE IN DESIGN SAS</t>
  </si>
  <si>
    <t>ECHIROLLES</t>
  </si>
  <si>
    <t>Ship24</t>
  </si>
  <si>
    <t>Momindum</t>
  </si>
  <si>
    <t>15-10-2022</t>
  </si>
  <si>
    <t>NOUVELLES FRONTIERES</t>
  </si>
  <si>
    <t>Montreuil</t>
  </si>
  <si>
    <t>Brico Prive</t>
  </si>
  <si>
    <t>L'union</t>
  </si>
  <si>
    <t>DFi Service SA</t>
  </si>
  <si>
    <t>PLAN-LES-OUATES</t>
  </si>
  <si>
    <t>Team Vitality</t>
  </si>
  <si>
    <t>Vivescia</t>
  </si>
  <si>
    <t>REIMS</t>
  </si>
  <si>
    <t>CHRISTOFLE</t>
  </si>
  <si>
    <t>Matelsom</t>
  </si>
  <si>
    <t>CHAURAY</t>
  </si>
  <si>
    <t>Weekendesk</t>
  </si>
  <si>
    <t>LEVALLOIS PERRET</t>
  </si>
  <si>
    <t>CELIO</t>
  </si>
  <si>
    <t>SAINT OUEN</t>
  </si>
  <si>
    <t>ETAM</t>
  </si>
  <si>
    <t>CLICHY</t>
  </si>
  <si>
    <t>INTERPLAST FITT</t>
  </si>
  <si>
    <t>MONACO</t>
  </si>
  <si>
    <t>Unowhy</t>
  </si>
  <si>
    <t>Neuilly-sur-Seine</t>
  </si>
  <si>
    <t>INTERSPORT LA HUTT</t>
  </si>
  <si>
    <t>LONGJUMEAU CEDEX</t>
  </si>
  <si>
    <t>Oogarden</t>
  </si>
  <si>
    <t>Amberieu En Bugey</t>
  </si>
  <si>
    <t>Vivaticket</t>
  </si>
  <si>
    <t>Chasseneuil du Poitou</t>
  </si>
  <si>
    <t>Fleetward</t>
  </si>
  <si>
    <t>Monaco</t>
  </si>
  <si>
    <t>Groupe Vivarte</t>
  </si>
  <si>
    <t>PARIS CEDEX 19</t>
  </si>
  <si>
    <t>Bestwestern France</t>
  </si>
  <si>
    <t>Colombes</t>
  </si>
  <si>
    <t>European Society of Cardiology</t>
  </si>
  <si>
    <t>Sophia Antipolis</t>
  </si>
  <si>
    <t>19-05-2022</t>
  </si>
  <si>
    <t>VSC Technologies</t>
  </si>
  <si>
    <t>PUTEAUX</t>
  </si>
  <si>
    <t>14-09-2022</t>
  </si>
  <si>
    <t>Clarins SA</t>
  </si>
  <si>
    <t>Ducatillon</t>
  </si>
  <si>
    <t>Cysoing</t>
  </si>
  <si>
    <t>Al Balad</t>
  </si>
  <si>
    <t>Champigny-sur-Marne</t>
  </si>
  <si>
    <t>Quintiles France</t>
  </si>
  <si>
    <t>DOUX</t>
  </si>
  <si>
    <t>CHATEAULIN CEDEX</t>
  </si>
  <si>
    <t>Aéroport de Paris</t>
  </si>
  <si>
    <t>ST JACQUES DE LA LANDE</t>
  </si>
  <si>
    <t>Look voyages</t>
  </si>
  <si>
    <t>IVRY SUR SEINE</t>
  </si>
  <si>
    <t>ACTEAM-IT</t>
  </si>
  <si>
    <t>GROUPE PARTOUCHE SAAD</t>
  </si>
  <si>
    <t>Rentreediscount</t>
  </si>
  <si>
    <t>PECH LAROQUE</t>
  </si>
  <si>
    <t>CHARAL</t>
  </si>
  <si>
    <t>CHOLET</t>
  </si>
  <si>
    <t>SODIAAL</t>
  </si>
  <si>
    <t>JM Bruneau</t>
  </si>
  <si>
    <t>Villebon Sur Yvette</t>
  </si>
  <si>
    <t>DESIGN MARKET SAS</t>
  </si>
  <si>
    <t>Groupe ORIENTIS</t>
  </si>
  <si>
    <t>PARISCITYVISION</t>
  </si>
  <si>
    <t>SAMSE</t>
  </si>
  <si>
    <t>GRENOBLE</t>
  </si>
  <si>
    <t>NOCIBE</t>
  </si>
  <si>
    <t>VILLENEUVE D ASCQ CEDEX</t>
  </si>
  <si>
    <t>PRESTASHOP France</t>
  </si>
  <si>
    <t>23-02-2023</t>
  </si>
  <si>
    <t>BONDUELLE</t>
  </si>
  <si>
    <t>VILLENEUVE D ASCQ</t>
  </si>
  <si>
    <t>SMCP</t>
  </si>
  <si>
    <t>ST DENIS</t>
  </si>
  <si>
    <t>Cora</t>
  </si>
  <si>
    <t>Metz</t>
  </si>
  <si>
    <t>Euralis</t>
  </si>
  <si>
    <t>Perigeux</t>
  </si>
  <si>
    <t>MAISONS DU MONDE</t>
  </si>
  <si>
    <t>VERTOU CEDEX</t>
  </si>
  <si>
    <t>Damart</t>
  </si>
  <si>
    <t>Actimagine</t>
  </si>
  <si>
    <t>PIXID</t>
  </si>
  <si>
    <t>COURBEVOIE</t>
  </si>
  <si>
    <t>Cite des Sciences</t>
  </si>
  <si>
    <t>Commerce BtoC</t>
  </si>
  <si>
    <t>AB Tasty SAS</t>
  </si>
  <si>
    <t>Lagardere Active Digital</t>
  </si>
  <si>
    <t>Levallois Perret</t>
  </si>
  <si>
    <t>Groupe Savencia (Soparind Bongrain)</t>
  </si>
  <si>
    <t>Viroflay</t>
  </si>
  <si>
    <t>Gifi</t>
  </si>
  <si>
    <t>Malaysia</t>
  </si>
  <si>
    <t>Villeneuve sur Lot</t>
  </si>
  <si>
    <t>CAMAIEU INTERNATIONAL</t>
  </si>
  <si>
    <t>Roubaix</t>
  </si>
  <si>
    <t>ALCYON</t>
  </si>
  <si>
    <t>Continental Reifen Deutschland GmbH</t>
  </si>
  <si>
    <t>Nikita Hareigye</t>
  </si>
  <si>
    <t>Goethe-Institut e.V.</t>
  </si>
  <si>
    <t>Claas KGaA mbH</t>
  </si>
  <si>
    <t>Harsewinkel</t>
  </si>
  <si>
    <t>17-01-2022</t>
  </si>
  <si>
    <t>ThurVgG</t>
  </si>
  <si>
    <t>Erfurt</t>
  </si>
  <si>
    <t>Jungheinrich AG</t>
  </si>
  <si>
    <t>Masterpayment GmbH</t>
  </si>
  <si>
    <t>Starnberg</t>
  </si>
  <si>
    <t>13-12-2021</t>
  </si>
  <si>
    <t>Bayerisches Landesamt fuer Steuern</t>
  </si>
  <si>
    <t>PETTENON COSMETICS SPA</t>
  </si>
  <si>
    <t>Naz Ismail</t>
  </si>
  <si>
    <t>San Martino di Lupari</t>
  </si>
  <si>
    <t>MASTROTTO SPA</t>
  </si>
  <si>
    <t>ARZIGNANO</t>
  </si>
  <si>
    <t>Bravofly SA</t>
  </si>
  <si>
    <t>Chiasso</t>
  </si>
  <si>
    <t>A. Testoni SpA</t>
  </si>
  <si>
    <t>Bologna</t>
  </si>
  <si>
    <t>Kedrion SpA</t>
  </si>
  <si>
    <t>Barga</t>
  </si>
  <si>
    <t>AEFFE Fashion group</t>
  </si>
  <si>
    <t>SAN GIOVANNI IN MARIGNANO</t>
  </si>
  <si>
    <t>Jacobacci &amp; Partners</t>
  </si>
  <si>
    <t>Torino</t>
  </si>
  <si>
    <t>Gottardo Spa</t>
  </si>
  <si>
    <t>Campo San Martino</t>
  </si>
  <si>
    <t>chl</t>
  </si>
  <si>
    <t>Firenze</t>
  </si>
  <si>
    <t>Bluindaco - inblu</t>
  </si>
  <si>
    <t>Faetano</t>
  </si>
  <si>
    <t>IREN MERCATO SPA</t>
  </si>
  <si>
    <t>NeroGiardini</t>
  </si>
  <si>
    <t>Monte S.Pietrangeli</t>
  </si>
  <si>
    <t>Admenta Italia SpA</t>
  </si>
  <si>
    <t>Bentivoglio</t>
  </si>
  <si>
    <t>Novamont SpA</t>
  </si>
  <si>
    <t>Novara</t>
  </si>
  <si>
    <t>Axenso srl</t>
  </si>
  <si>
    <t>Milano</t>
  </si>
  <si>
    <t>Preca Brummel</t>
  </si>
  <si>
    <t>Carnago</t>
  </si>
  <si>
    <t>zeroasette</t>
  </si>
  <si>
    <t>Mirano</t>
  </si>
  <si>
    <t>Vega Soc. Coop.</t>
  </si>
  <si>
    <t>San Biagio di Callalta (TV)</t>
  </si>
  <si>
    <t>Softec Spa</t>
  </si>
  <si>
    <t>Prato</t>
  </si>
  <si>
    <t>Comas Srl</t>
  </si>
  <si>
    <t>Miroglio SpA - Vestebene</t>
  </si>
  <si>
    <t>Alba</t>
  </si>
  <si>
    <t>Bennet SpA</t>
  </si>
  <si>
    <t>Montano Lucino</t>
  </si>
  <si>
    <t>Verallia Italia</t>
  </si>
  <si>
    <t>Lonigo</t>
  </si>
  <si>
    <t>Masterwood SpA</t>
  </si>
  <si>
    <t>Rimini</t>
  </si>
  <si>
    <t>European Space Agency</t>
  </si>
  <si>
    <t>EVCO S.p.A.</t>
  </si>
  <si>
    <t>Sedico</t>
  </si>
  <si>
    <t>UBL USED BOTTLING LINES SA</t>
  </si>
  <si>
    <t>Cassarate</t>
  </si>
  <si>
    <t>Nomination Srl</t>
  </si>
  <si>
    <t>SESTO FIORENTINO</t>
  </si>
  <si>
    <t>Progetto Ulisse srl</t>
  </si>
  <si>
    <t>Frette srl</t>
  </si>
  <si>
    <t>Monza</t>
  </si>
  <si>
    <t>Montenegro</t>
  </si>
  <si>
    <t>Zola Predosa</t>
  </si>
  <si>
    <t>Valentini SpA</t>
  </si>
  <si>
    <t>Garofalo Health Care</t>
  </si>
  <si>
    <t>Merlin Wizard</t>
  </si>
  <si>
    <t>Cinisello Balsamo</t>
  </si>
  <si>
    <t>Altea</t>
  </si>
  <si>
    <t>KME Group S.p.A.</t>
  </si>
  <si>
    <t>Streamit Srl</t>
  </si>
  <si>
    <t>Metalcastello SpA</t>
  </si>
  <si>
    <t>Castel di Casio</t>
  </si>
  <si>
    <t>Esseco Group Srl</t>
  </si>
  <si>
    <t>San Martino Trecate</t>
  </si>
  <si>
    <t>Istituto Nazionale di Geofisica e Vulcanologia</t>
  </si>
  <si>
    <t>FARMACIA SANTA RITA DEI DOTTORI TERESA E GUSTAVO VASSALLI S.N.C</t>
  </si>
  <si>
    <t>FOGGIA FG</t>
  </si>
  <si>
    <t>Libera Università di Bolzano</t>
  </si>
  <si>
    <t>Bozen-Bolzano</t>
  </si>
  <si>
    <t>Aquafil SpA</t>
  </si>
  <si>
    <t>Arco di Trento</t>
  </si>
  <si>
    <t>Riva Spa</t>
  </si>
  <si>
    <t>La Spezia</t>
  </si>
  <si>
    <t>EURIZON CAPITAL SGR</t>
  </si>
  <si>
    <t>De Longhi</t>
  </si>
  <si>
    <t>Treviso</t>
  </si>
  <si>
    <t>Tirreno Power</t>
  </si>
  <si>
    <t>QUILIANO</t>
  </si>
  <si>
    <t>CNH Global NV</t>
  </si>
  <si>
    <t>Racine</t>
  </si>
  <si>
    <t>Equita Sim SpA</t>
  </si>
  <si>
    <t>Webgriffe</t>
  </si>
  <si>
    <t>Casalgrande</t>
  </si>
  <si>
    <t>Sibeg Srl</t>
  </si>
  <si>
    <t>Catania</t>
  </si>
  <si>
    <t>Alcantara Spa</t>
  </si>
  <si>
    <t>Guess by Marciano</t>
  </si>
  <si>
    <t>Crevalcore</t>
  </si>
  <si>
    <t>Vegan solutions srl</t>
  </si>
  <si>
    <t>Inglass S.p.A.</t>
  </si>
  <si>
    <t>San Polo Piave</t>
  </si>
  <si>
    <t>29-03-2022</t>
  </si>
  <si>
    <t>Gewiss</t>
  </si>
  <si>
    <t>(BERGAMO) CENATE SOTTO</t>
  </si>
  <si>
    <t>Italcementi</t>
  </si>
  <si>
    <t>Bergamo</t>
  </si>
  <si>
    <t>Askoll Group SpA</t>
  </si>
  <si>
    <t>Povolaro di Dueville</t>
  </si>
  <si>
    <t>Smeg</t>
  </si>
  <si>
    <t>Guastalla</t>
  </si>
  <si>
    <t>Chateau d'Ax SpA</t>
  </si>
  <si>
    <t>Lentate Sul Seveso</t>
  </si>
  <si>
    <t>STAR SHOP DISTRIBUZIONE Srl</t>
  </si>
  <si>
    <t>Perugia</t>
  </si>
  <si>
    <t>Brunello Cucinelli Spa</t>
  </si>
  <si>
    <t>CORCIANO</t>
  </si>
  <si>
    <t>19-11-2021</t>
  </si>
  <si>
    <t>Zignago</t>
  </si>
  <si>
    <t>Fossalta di portogruaro</t>
  </si>
  <si>
    <t>Carel Industries Spa</t>
  </si>
  <si>
    <t>BRUGINE</t>
  </si>
  <si>
    <t>Moncler S.p.A</t>
  </si>
  <si>
    <t>ENERGRID</t>
  </si>
  <si>
    <t>TORINO</t>
  </si>
  <si>
    <t>Anyweb SRL</t>
  </si>
  <si>
    <t>Raccorderie Metalliche SpA</t>
  </si>
  <si>
    <t>Pilastro</t>
  </si>
  <si>
    <t>Angelo Marani Marex Spa</t>
  </si>
  <si>
    <t>CORREGGIO (RE)</t>
  </si>
  <si>
    <t>Oboxo</t>
  </si>
  <si>
    <t>Marcegaglia S.p.A.</t>
  </si>
  <si>
    <t>Gazoldo Ippoliti</t>
  </si>
  <si>
    <t>Dierre SpA</t>
  </si>
  <si>
    <t>Villanova d'Asti</t>
  </si>
  <si>
    <t>CANALI</t>
  </si>
  <si>
    <t>CESSALTO</t>
  </si>
  <si>
    <t>Sambonet</t>
  </si>
  <si>
    <t>Orfengo</t>
  </si>
  <si>
    <t>Food and Agriculture Organization</t>
  </si>
  <si>
    <t>Rome</t>
  </si>
  <si>
    <t>Colussi Group</t>
  </si>
  <si>
    <t>FRIUL INTAGLI INDUSTRIES S.P.A.</t>
  </si>
  <si>
    <t>Villanova di Prata</t>
  </si>
  <si>
    <t>GREEN NETWORK SPA</t>
  </si>
  <si>
    <t>ROMA</t>
  </si>
  <si>
    <t>OPEN Dot Com Spa</t>
  </si>
  <si>
    <t>CUNEO</t>
  </si>
  <si>
    <t>Unigrà srl</t>
  </si>
  <si>
    <t>Conselice</t>
  </si>
  <si>
    <t>ePrice SPA</t>
  </si>
  <si>
    <t>Impulse srl</t>
  </si>
  <si>
    <t>RONCADELLE</t>
  </si>
  <si>
    <t>SMRE</t>
  </si>
  <si>
    <t>Umbertide</t>
  </si>
  <si>
    <t>Unifarm SpA</t>
  </si>
  <si>
    <t>Trento</t>
  </si>
  <si>
    <t>Caleffi Hydronic Solutions SpA</t>
  </si>
  <si>
    <t>Fontaneto D'Agogna</t>
  </si>
  <si>
    <t>Industrie Testi SpA</t>
  </si>
  <si>
    <t>Empoli</t>
  </si>
  <si>
    <t>THE EUROPEAN HOUSE - AMBROSETTI</t>
  </si>
  <si>
    <t>Emarc S.p.A.</t>
  </si>
  <si>
    <t>Vinovo</t>
  </si>
  <si>
    <t>SCHURTER</t>
  </si>
  <si>
    <t>Arese</t>
  </si>
  <si>
    <t>Illa</t>
  </si>
  <si>
    <t>General Logistics Systems Italy S.p.A.</t>
  </si>
  <si>
    <t>Bertinoro</t>
  </si>
  <si>
    <t>ISTITUTO UNIVERSITARIO EUROPEO</t>
  </si>
  <si>
    <t>S.Domenico di Fiesole (FI)</t>
  </si>
  <si>
    <t>European University Institute</t>
  </si>
  <si>
    <t>San Domenico di Fiesole</t>
  </si>
  <si>
    <t>Cinzia Rocca</t>
  </si>
  <si>
    <t>Dello (Brescia)</t>
  </si>
  <si>
    <t>Corepla</t>
  </si>
  <si>
    <t>ITIJ - Instituto das Tecnologias de Informacao na Justica</t>
  </si>
  <si>
    <t>Carpigiani Group</t>
  </si>
  <si>
    <t>ANZOLA DELL'EMILIA</t>
  </si>
  <si>
    <t>Azimut Benetti</t>
  </si>
  <si>
    <t>Viareggio</t>
  </si>
  <si>
    <t>Diasorin SpA</t>
  </si>
  <si>
    <t>Saluggia</t>
  </si>
  <si>
    <t>Bonelli Erede Pappalardo</t>
  </si>
  <si>
    <t>Culligan Italiana S.p.A.</t>
  </si>
  <si>
    <t>Cadriano Di Granarolo dell?Emilia</t>
  </si>
  <si>
    <t>Renergetica SpA</t>
  </si>
  <si>
    <t>Genova</t>
  </si>
  <si>
    <t>eLearnSecurity srl</t>
  </si>
  <si>
    <t>Pisa</t>
  </si>
  <si>
    <t>Signor Prestito SPA</t>
  </si>
  <si>
    <t>Verona</t>
  </si>
  <si>
    <t>Ideal Standard srl</t>
  </si>
  <si>
    <t>Electronics Shopping Center</t>
  </si>
  <si>
    <t>San Marino</t>
  </si>
  <si>
    <t>SAN MARINO DI RSM</t>
  </si>
  <si>
    <t>Università del Salento</t>
  </si>
  <si>
    <t>Lecce</t>
  </si>
  <si>
    <t>Commit Siderurgica SpA</t>
  </si>
  <si>
    <t>Veggiano</t>
  </si>
  <si>
    <t>Martini SpA</t>
  </si>
  <si>
    <t>Coenzo di Sorbolo</t>
  </si>
  <si>
    <t>Abaco SpA</t>
  </si>
  <si>
    <t>Padova</t>
  </si>
  <si>
    <t>Davines Italy</t>
  </si>
  <si>
    <t>ARISTON THERMO</t>
  </si>
  <si>
    <t>FABRIANO</t>
  </si>
  <si>
    <t>Bedeschi SpA</t>
  </si>
  <si>
    <t>Limena</t>
  </si>
  <si>
    <t>Stefanel SpA</t>
  </si>
  <si>
    <t>Ponte di Pave</t>
  </si>
  <si>
    <t>Unes Maxi</t>
  </si>
  <si>
    <t>ATENEO PONTIFICIO REGINA APOSTOLORUM</t>
  </si>
  <si>
    <t>Roberto Demeglio SpA</t>
  </si>
  <si>
    <t>Veneta Cucine SpA</t>
  </si>
  <si>
    <t>Biancade</t>
  </si>
  <si>
    <t>Colmar</t>
  </si>
  <si>
    <t>Monza ? MB</t>
  </si>
  <si>
    <t>Eleonora Bonucci</t>
  </si>
  <si>
    <t>Forma Italiana SpA</t>
  </si>
  <si>
    <t>Azimut Yachts</t>
  </si>
  <si>
    <t>AVIGLIANA</t>
  </si>
  <si>
    <t>Marazzi Group</t>
  </si>
  <si>
    <t>MODENA</t>
  </si>
  <si>
    <t>SAIT Abrasivi SpA</t>
  </si>
  <si>
    <t>Collegno</t>
  </si>
  <si>
    <t>Unico SpA</t>
  </si>
  <si>
    <t>Lainate</t>
  </si>
  <si>
    <t>Marchesini Group S.p.A</t>
  </si>
  <si>
    <t>Pianoro</t>
  </si>
  <si>
    <t>Longino &amp; Cardenal SPA</t>
  </si>
  <si>
    <t>POGLIANO MILANESE</t>
  </si>
  <si>
    <t>GIORGIO FEDON &amp; FIGLI SPA</t>
  </si>
  <si>
    <t>Pieve d'Alpago</t>
  </si>
  <si>
    <t>SCM GROUP Spa</t>
  </si>
  <si>
    <t>20-01-2023</t>
  </si>
  <si>
    <t>Esaote SpA</t>
  </si>
  <si>
    <t>GENOVA</t>
  </si>
  <si>
    <t>GSI Ceramiche</t>
  </si>
  <si>
    <t>GALLESE</t>
  </si>
  <si>
    <t>Rocco Forte &amp; Friends SpA</t>
  </si>
  <si>
    <t>Arriva Italia</t>
  </si>
  <si>
    <t>Praxi</t>
  </si>
  <si>
    <t>Phase Motion control SpA</t>
  </si>
  <si>
    <t>Venchi SpA</t>
  </si>
  <si>
    <t>Catelletto Stura</t>
  </si>
  <si>
    <t>BAXI</t>
  </si>
  <si>
    <t>Saes Getters SpA</t>
  </si>
  <si>
    <t>Mermec SpA</t>
  </si>
  <si>
    <t>Monopoli (BA)</t>
  </si>
  <si>
    <t>UFI FILTERS spa</t>
  </si>
  <si>
    <t>Porto Mantovano</t>
  </si>
  <si>
    <t>CLUB HOUSE ITALIA SPA</t>
  </si>
  <si>
    <t>Forlì</t>
  </si>
  <si>
    <t>Micro Servizi S.A.S.</t>
  </si>
  <si>
    <t>Francofonte</t>
  </si>
  <si>
    <t>Lindt &amp; Sprüngli Italy</t>
  </si>
  <si>
    <t>INDUNO OLONA</t>
  </si>
  <si>
    <t>La Riviera dei Sogni Travels</t>
  </si>
  <si>
    <t>LAVAGNA</t>
  </si>
  <si>
    <t>Halcom ICT</t>
  </si>
  <si>
    <t>Abiogen Pharma SpA</t>
  </si>
  <si>
    <t>Pisa - Loc. Ospedaletto</t>
  </si>
  <si>
    <t>Netstorming SRL</t>
  </si>
  <si>
    <t>GELSIA RETI SRL</t>
  </si>
  <si>
    <t>Seregno</t>
  </si>
  <si>
    <t>Industrie Saleri Italo SpA</t>
  </si>
  <si>
    <t>Lumezzane</t>
  </si>
  <si>
    <t>Cofra Srl</t>
  </si>
  <si>
    <t>Barletta</t>
  </si>
  <si>
    <t>Laminazione Sottile S.p.A.</t>
  </si>
  <si>
    <t>SAN MARCO EVANGELISTA</t>
  </si>
  <si>
    <t>Monnalisa SpA</t>
  </si>
  <si>
    <t>Arezzo</t>
  </si>
  <si>
    <t>STEFANO RICCI S.p.A.</t>
  </si>
  <si>
    <t>ThinkLUX S.r.l.</t>
  </si>
  <si>
    <t>CONNECTIS CMC ITALIA SRL</t>
  </si>
  <si>
    <t>Recordati SpA</t>
  </si>
  <si>
    <t>Consorzio Venezia Nuova</t>
  </si>
  <si>
    <t>Venezia</t>
  </si>
  <si>
    <t>29-03-2023</t>
  </si>
  <si>
    <t>Gruppo Borghi SpA</t>
  </si>
  <si>
    <t>Calderara di Reno</t>
  </si>
  <si>
    <t>Vincenzo Zucchi SpA</t>
  </si>
  <si>
    <t>Rescaldina</t>
  </si>
  <si>
    <t>Pianoforte Holding Spa</t>
  </si>
  <si>
    <t>La Feltrinelli</t>
  </si>
  <si>
    <t>CONSORZIO LATTERIE VIRGILIO</t>
  </si>
  <si>
    <t>MANTOVA</t>
  </si>
  <si>
    <t>Full Spot SpA</t>
  </si>
  <si>
    <t>Campodarsego</t>
  </si>
  <si>
    <t>Marposs S.p.A.</t>
  </si>
  <si>
    <t>GooCity Srl</t>
  </si>
  <si>
    <t>Yeppon</t>
  </si>
  <si>
    <t>Nova Milanese</t>
  </si>
  <si>
    <t>N&amp;W Global vending Spa</t>
  </si>
  <si>
    <t>VALBREMBO</t>
  </si>
  <si>
    <t>Travel Age</t>
  </si>
  <si>
    <t>Beghelli SpA</t>
  </si>
  <si>
    <t>VALSAMOGGIA</t>
  </si>
  <si>
    <t>Servizio Auto Online S.P.A.</t>
  </si>
  <si>
    <t>Lido di Ostia</t>
  </si>
  <si>
    <t>Alfaparf Group SpA</t>
  </si>
  <si>
    <t>Osio Sotto</t>
  </si>
  <si>
    <t>Feedback Italia s.r.l.</t>
  </si>
  <si>
    <t>Moncalieri</t>
  </si>
  <si>
    <t>30-03-2022</t>
  </si>
  <si>
    <t>DPV SPA</t>
  </si>
  <si>
    <t>TOrino</t>
  </si>
  <si>
    <t>Banfi Società Agricola S.R.L.</t>
  </si>
  <si>
    <t>Montalcino</t>
  </si>
  <si>
    <t>Galbusera SpA</t>
  </si>
  <si>
    <t>FEDRIGONI Spa</t>
  </si>
  <si>
    <t>AcomeA SGR SpA</t>
  </si>
  <si>
    <t>API ANONIMA PETROLI ITALIANA SPA</t>
  </si>
  <si>
    <t>Pastificio Rana S.p.a.</t>
  </si>
  <si>
    <t>San Giovanni Lupatoto</t>
  </si>
  <si>
    <t>Atahotels</t>
  </si>
  <si>
    <t>Milan</t>
  </si>
  <si>
    <t>Inticom SpA</t>
  </si>
  <si>
    <t>Gallarate</t>
  </si>
  <si>
    <t>Twin-Set srl</t>
  </si>
  <si>
    <t>Carpi</t>
  </si>
  <si>
    <t>Bonfiglioli Riduttori SpA</t>
  </si>
  <si>
    <t>CARPIANO</t>
  </si>
  <si>
    <t>Merlo SpA</t>
  </si>
  <si>
    <t>S. Defendente di Cervasca</t>
  </si>
  <si>
    <t>Eden Viaggi</t>
  </si>
  <si>
    <t>Pesaro</t>
  </si>
  <si>
    <t>Came SpA</t>
  </si>
  <si>
    <t>Dosson di Casier</t>
  </si>
  <si>
    <t>EGIDIO GALBANI</t>
  </si>
  <si>
    <t>Pizzoli SpA</t>
  </si>
  <si>
    <t>Budrio</t>
  </si>
  <si>
    <t>Fabbrica Italiana Sintetici S.p.A.</t>
  </si>
  <si>
    <t>Montecchio Maggiore</t>
  </si>
  <si>
    <t>FLOS SpA</t>
  </si>
  <si>
    <t>Bovezzo</t>
  </si>
  <si>
    <t>Spidi</t>
  </si>
  <si>
    <t>Sarego</t>
  </si>
  <si>
    <t>Breton Spa</t>
  </si>
  <si>
    <t>Castello di Godego</t>
  </si>
  <si>
    <t>ICIM International SpA</t>
  </si>
  <si>
    <t>Garbagnate Mil.se</t>
  </si>
  <si>
    <t>Isagro SpA</t>
  </si>
  <si>
    <t>Digitalmonkeys snc</t>
  </si>
  <si>
    <t>Zeta Farmaceutici SpA</t>
  </si>
  <si>
    <t>Sandrigo</t>
  </si>
  <si>
    <t>Roncato SpA</t>
  </si>
  <si>
    <t>Italkali Società Italiana Sali Alcalini S.p.a.</t>
  </si>
  <si>
    <t>Palermo</t>
  </si>
  <si>
    <t>Moleskine SpA</t>
  </si>
  <si>
    <t>MUTUIONLINE S.p.A.</t>
  </si>
  <si>
    <t>Savio Spa</t>
  </si>
  <si>
    <t>Pordenone</t>
  </si>
  <si>
    <t>Belron Italia SpA</t>
  </si>
  <si>
    <t>Gruppo Angelini SpA</t>
  </si>
  <si>
    <t>Ancona</t>
  </si>
  <si>
    <t>GDG Srl</t>
  </si>
  <si>
    <t>Fire</t>
  </si>
  <si>
    <t>Repower SpA</t>
  </si>
  <si>
    <t>SGM DISTRIBUZIONE</t>
  </si>
  <si>
    <t>FORLI</t>
  </si>
  <si>
    <t>BDO Spa</t>
  </si>
  <si>
    <t>Gruppo la Serenissima</t>
  </si>
  <si>
    <t>Vicenza</t>
  </si>
  <si>
    <t>Menarini Group</t>
  </si>
  <si>
    <t>OSO STORE Srl</t>
  </si>
  <si>
    <t>San Cesareo</t>
  </si>
  <si>
    <t>Cogne Acciai Speciali s.p.a</t>
  </si>
  <si>
    <t>Aosta</t>
  </si>
  <si>
    <t>Floornature.com Spa</t>
  </si>
  <si>
    <t>Castellarano</t>
  </si>
  <si>
    <t>20-07-2022</t>
  </si>
  <si>
    <t>Costruzioni Linee Ferroviarie SpA</t>
  </si>
  <si>
    <t>Riello Group SpA</t>
  </si>
  <si>
    <t>Legnago</t>
  </si>
  <si>
    <t>Enervit SpA</t>
  </si>
  <si>
    <t>Fly Flot</t>
  </si>
  <si>
    <t>Calvisano</t>
  </si>
  <si>
    <t>COMELIT GROUP SPA</t>
  </si>
  <si>
    <t>Rovetta</t>
  </si>
  <si>
    <t>Melchioni Spa</t>
  </si>
  <si>
    <t>Politecnico di TOrino</t>
  </si>
  <si>
    <t>Grotto S.p.A.</t>
  </si>
  <si>
    <t>Chiuppano</t>
  </si>
  <si>
    <t>Immergas SpA</t>
  </si>
  <si>
    <t>Brescello</t>
  </si>
  <si>
    <t>4tourism srl</t>
  </si>
  <si>
    <t>Navacchio</t>
  </si>
  <si>
    <t>Birsik</t>
  </si>
  <si>
    <t>Bosaro</t>
  </si>
  <si>
    <t>MARCOLIN</t>
  </si>
  <si>
    <t>LONGARONE</t>
  </si>
  <si>
    <t>Meccanica Nova SpA</t>
  </si>
  <si>
    <t>Cereal Docks SpA</t>
  </si>
  <si>
    <t>Camisano Vicentino</t>
  </si>
  <si>
    <t>Salumificio Fratelli Beretta</t>
  </si>
  <si>
    <t>Trezzo Sull'Adda</t>
  </si>
  <si>
    <t>Texa S.p.A</t>
  </si>
  <si>
    <t>MONASTIER DI TREVISO</t>
  </si>
  <si>
    <t>Kiara Bijoux Srl</t>
  </si>
  <si>
    <t>Bassano del Grappa</t>
  </si>
  <si>
    <t>Negozio del vino Srl</t>
  </si>
  <si>
    <t>Mozzate</t>
  </si>
  <si>
    <t>Clinica Veterinaria San Marco</t>
  </si>
  <si>
    <t>27-06-2022</t>
  </si>
  <si>
    <t>FAIVELEY TRANSPORT SPA</t>
  </si>
  <si>
    <t>Piossasco</t>
  </si>
  <si>
    <t>ACR Solutions srl</t>
  </si>
  <si>
    <t>Aci Castello</t>
  </si>
  <si>
    <t>Blutec Srl</t>
  </si>
  <si>
    <t>Rivoli Cascine Vica</t>
  </si>
  <si>
    <t>NATUZZI</t>
  </si>
  <si>
    <t>Santeramo in Colle</t>
  </si>
  <si>
    <t>Bcube</t>
  </si>
  <si>
    <t>Casale Monferrato</t>
  </si>
  <si>
    <t>Antress Industry SpA</t>
  </si>
  <si>
    <t>Costa Group Srl</t>
  </si>
  <si>
    <t>RICCO' DEL GOLFO DI SPEZIA</t>
  </si>
  <si>
    <t>BasicNet S.p.A.</t>
  </si>
  <si>
    <t>Provincia di Ravenna</t>
  </si>
  <si>
    <t>RAVENNA</t>
  </si>
  <si>
    <t>GIGLIO</t>
  </si>
  <si>
    <t>Gruppo Pittini</t>
  </si>
  <si>
    <t>Osoppo</t>
  </si>
  <si>
    <t>Arturai Small Business WAP</t>
  </si>
  <si>
    <t>John Cabot University</t>
  </si>
  <si>
    <t>Vimi Fasteners S.p.A.</t>
  </si>
  <si>
    <t>Novellara</t>
  </si>
  <si>
    <t>TESMEC S.p.A.</t>
  </si>
  <si>
    <t>Grassobbio</t>
  </si>
  <si>
    <t>Duetorrihotels S.p.A.</t>
  </si>
  <si>
    <t>san donato milanese</t>
  </si>
  <si>
    <t>Spea</t>
  </si>
  <si>
    <t>Volpiano</t>
  </si>
  <si>
    <t>F.lli De Cecco Di Filippo Fara San Martino S.p.A.</t>
  </si>
  <si>
    <t>Pescara</t>
  </si>
  <si>
    <t>Fashion Box Spa</t>
  </si>
  <si>
    <t>Asolo</t>
  </si>
  <si>
    <t>Axolight srl</t>
  </si>
  <si>
    <t>Scorzè</t>
  </si>
  <si>
    <t>TEDDY S.p.A.</t>
  </si>
  <si>
    <t>PENNY MARKET ITALIA SRL</t>
  </si>
  <si>
    <t>CERNUSCO SUL NAVIGLIO</t>
  </si>
  <si>
    <t>Medica Srl</t>
  </si>
  <si>
    <t>PORDENONE</t>
  </si>
  <si>
    <t>Difarco Srl</t>
  </si>
  <si>
    <t>Vimercate</t>
  </si>
  <si>
    <t>Domotecnica S.p.A.</t>
  </si>
  <si>
    <t>San Vendemiano (TV)</t>
  </si>
  <si>
    <t>Acerbis Italia SpA</t>
  </si>
  <si>
    <t>Albino</t>
  </si>
  <si>
    <t>WeSchool</t>
  </si>
  <si>
    <t>Effer SpA</t>
  </si>
  <si>
    <t>Minerbio</t>
  </si>
  <si>
    <t>Finproject S.p.A.</t>
  </si>
  <si>
    <t>Morrovalle</t>
  </si>
  <si>
    <t>Mosaico Labs</t>
  </si>
  <si>
    <t>Boggi Milano</t>
  </si>
  <si>
    <t>Renco SpA</t>
  </si>
  <si>
    <t>BAULI</t>
  </si>
  <si>
    <t>CASTEL D'AZZANO</t>
  </si>
  <si>
    <t>Permasteelisa</t>
  </si>
  <si>
    <t>Vittorio Veneto</t>
  </si>
  <si>
    <t>Piazza Hosting Services</t>
  </si>
  <si>
    <t>Abet Laminati SpA</t>
  </si>
  <si>
    <t>Bra</t>
  </si>
  <si>
    <t>MB S.p.A.</t>
  </si>
  <si>
    <t>CASTIGLION FIORENTINO</t>
  </si>
  <si>
    <t>Sorin Group Italia srl</t>
  </si>
  <si>
    <t>Industrie De Nora SpA</t>
  </si>
  <si>
    <t>STE energy</t>
  </si>
  <si>
    <t>FILOBLU SRL</t>
  </si>
  <si>
    <t>SANTA MARIA DI SALA</t>
  </si>
  <si>
    <t>Fornari SpA</t>
  </si>
  <si>
    <t>Civitanova Marche</t>
  </si>
  <si>
    <t>Kerakoll SpA</t>
  </si>
  <si>
    <t>Sassuolo</t>
  </si>
  <si>
    <t>Direzione Generale Opera Don Bosco</t>
  </si>
  <si>
    <t>CHIESI FARMACEUTICI</t>
  </si>
  <si>
    <t>PARMA</t>
  </si>
  <si>
    <t>Rebecca srl</t>
  </si>
  <si>
    <t>Porto Recanati</t>
  </si>
  <si>
    <t>Leggiuno s.p.a.</t>
  </si>
  <si>
    <t>Leggiuno</t>
  </si>
  <si>
    <t>Percassi</t>
  </si>
  <si>
    <t>20-05-2022</t>
  </si>
  <si>
    <t>Thun S.p.A.</t>
  </si>
  <si>
    <t>BOLZANO</t>
  </si>
  <si>
    <t>Guala Closures Group SpA</t>
  </si>
  <si>
    <t>Spinetta M.go</t>
  </si>
  <si>
    <t>Si.TEK Informatica Srl</t>
  </si>
  <si>
    <t>Innovatec SpA</t>
  </si>
  <si>
    <t>Gruppo Pam</t>
  </si>
  <si>
    <t>Spinea</t>
  </si>
  <si>
    <t>Sabaf SpA</t>
  </si>
  <si>
    <t>Ospitaletto</t>
  </si>
  <si>
    <t>Tecla.it Srl</t>
  </si>
  <si>
    <t>Faenza (RA)</t>
  </si>
  <si>
    <t>25-04-2022</t>
  </si>
  <si>
    <t>Gruppo Sutter SpA</t>
  </si>
  <si>
    <t>Borghetto Borbera</t>
  </si>
  <si>
    <t>CONBIPEL</t>
  </si>
  <si>
    <t>COCCONATO</t>
  </si>
  <si>
    <t>CLN spa Coils Lamiere Nastri</t>
  </si>
  <si>
    <t>Caselette</t>
  </si>
  <si>
    <t>Rosetti Marino SpA</t>
  </si>
  <si>
    <t>Ravenna</t>
  </si>
  <si>
    <t>SPAL Automotive</t>
  </si>
  <si>
    <t>systems srl</t>
  </si>
  <si>
    <t>Brunico</t>
  </si>
  <si>
    <t>Vetrocar &amp; Bus SpA</t>
  </si>
  <si>
    <t>FIDIA - FARMACEUTICI</t>
  </si>
  <si>
    <t>ABANO TERME</t>
  </si>
  <si>
    <t>Grissin Bon Spa</t>
  </si>
  <si>
    <t>Sant'Ilario d'Enza</t>
  </si>
  <si>
    <t>Cifa</t>
  </si>
  <si>
    <t>Imolalegno</t>
  </si>
  <si>
    <t>Imola</t>
  </si>
  <si>
    <t>Biancamano SpA</t>
  </si>
  <si>
    <t>Rozzano</t>
  </si>
  <si>
    <t>Alfasigma SpA</t>
  </si>
  <si>
    <t>Bologno</t>
  </si>
  <si>
    <t>POLIFORM</t>
  </si>
  <si>
    <t>INVERIGO</t>
  </si>
  <si>
    <t>Buzzi Unicem SpA</t>
  </si>
  <si>
    <t>Communication Strategies Lab</t>
  </si>
  <si>
    <t>Sogegross SpA</t>
  </si>
  <si>
    <t>E.on Italia SpA</t>
  </si>
  <si>
    <t>A. Loacker S.p.A.</t>
  </si>
  <si>
    <t>Auna di Sotto/Renon</t>
  </si>
  <si>
    <t>SNAIDERO RINO</t>
  </si>
  <si>
    <t>MAJANO</t>
  </si>
  <si>
    <t>Felver Casa Srl</t>
  </si>
  <si>
    <t>Lucrezia di Cartoceto</t>
  </si>
  <si>
    <t>Forte Village Resort</t>
  </si>
  <si>
    <t>PULA</t>
  </si>
  <si>
    <t>C.E.I. S.p.A Costruzione Emiliana Ingranaggi</t>
  </si>
  <si>
    <t>Anzola Emilia</t>
  </si>
  <si>
    <t>Ikonic Srl</t>
  </si>
  <si>
    <t>Jesi</t>
  </si>
  <si>
    <t>Baglietto SpA</t>
  </si>
  <si>
    <t>Italtrans SPA</t>
  </si>
  <si>
    <t>Calcinate</t>
  </si>
  <si>
    <t>P&amp;T Furs</t>
  </si>
  <si>
    <t>Viadana</t>
  </si>
  <si>
    <t>Una Hotels</t>
  </si>
  <si>
    <t>Calenzano</t>
  </si>
  <si>
    <t>STM SpA</t>
  </si>
  <si>
    <t>Lippo di Calderara di Reno</t>
  </si>
  <si>
    <t>Emak SpA</t>
  </si>
  <si>
    <t>Bagnolo in piano</t>
  </si>
  <si>
    <t>Zenit SGR SpA</t>
  </si>
  <si>
    <t>Siram SPA</t>
  </si>
  <si>
    <t>Gruppo Editoriale Spaggiari</t>
  </si>
  <si>
    <t>Coccinelle S.p.A.</t>
  </si>
  <si>
    <t>SALA BAGANZA</t>
  </si>
  <si>
    <t>Alce Nero SpA</t>
  </si>
  <si>
    <t>San Lazzaro di Savena</t>
  </si>
  <si>
    <t>Cembre SpA</t>
  </si>
  <si>
    <t>Brescia</t>
  </si>
  <si>
    <t>Project Automation</t>
  </si>
  <si>
    <t>Vimar Group</t>
  </si>
  <si>
    <t>Marostica</t>
  </si>
  <si>
    <t>Astalegale.net SpA</t>
  </si>
  <si>
    <t>Perugia PG</t>
  </si>
  <si>
    <t>Azienda Servizi Ambientali Spa</t>
  </si>
  <si>
    <t>Livorno</t>
  </si>
  <si>
    <t>Gefran SpA</t>
  </si>
  <si>
    <t>Provaglio d'Iseo</t>
  </si>
  <si>
    <t>Interpump group SpA</t>
  </si>
  <si>
    <t>SANT'ILARIO D'ENZA</t>
  </si>
  <si>
    <t>Imit Control System SRL</t>
  </si>
  <si>
    <t>CASTELLETTO SOPRA TICINO</t>
  </si>
  <si>
    <t>Lago SPA</t>
  </si>
  <si>
    <t>Villa del Conte</t>
  </si>
  <si>
    <t>Metelli Group SpA</t>
  </si>
  <si>
    <t>Indacolab Srl</t>
  </si>
  <si>
    <t>REGGIO EMILIA</t>
  </si>
  <si>
    <t>CareDent Italia srl</t>
  </si>
  <si>
    <t>RIVA FORNI ELETTRICI S.p.A.</t>
  </si>
  <si>
    <t>Cremonini SpA</t>
  </si>
  <si>
    <t>Castelvetro di Modena</t>
  </si>
  <si>
    <t>Udor SpA</t>
  </si>
  <si>
    <t>Rubiera</t>
  </si>
  <si>
    <t>Camozzi Group SpA</t>
  </si>
  <si>
    <t>Franklin and Marshall</t>
  </si>
  <si>
    <t>Felsineo SpA</t>
  </si>
  <si>
    <t>F.LLI Gancia &amp; C. SpA</t>
  </si>
  <si>
    <t>CANELLI</t>
  </si>
  <si>
    <t>Dimar SpA</t>
  </si>
  <si>
    <t>CHERASCO</t>
  </si>
  <si>
    <t>Vittoria Assicurazioni SPA</t>
  </si>
  <si>
    <t>Autovie Venete SpA</t>
  </si>
  <si>
    <t>Trieste</t>
  </si>
  <si>
    <t>Casillo Group</t>
  </si>
  <si>
    <t>Corato</t>
  </si>
  <si>
    <t>Fiac SpA</t>
  </si>
  <si>
    <t>Pontecchio Marconi</t>
  </si>
  <si>
    <t>Bastogi SpA</t>
  </si>
  <si>
    <t>Olivetti SpA</t>
  </si>
  <si>
    <t>Ivrea</t>
  </si>
  <si>
    <t>FERRETTI YACHTS</t>
  </si>
  <si>
    <t>FORLI'</t>
  </si>
  <si>
    <t>S.A. EREDI GNUTTI METALLI S.p.A.</t>
  </si>
  <si>
    <t>Gruppo La Doria</t>
  </si>
  <si>
    <t>Angri</t>
  </si>
  <si>
    <t>3F Filippi SpA</t>
  </si>
  <si>
    <t>Pian di Macina</t>
  </si>
  <si>
    <t>Gruppo Trevi Spa</t>
  </si>
  <si>
    <t>Cesena</t>
  </si>
  <si>
    <t>ITT Italia srl</t>
  </si>
  <si>
    <t>San Martino</t>
  </si>
  <si>
    <t>Provincia di Monza e Brianza</t>
  </si>
  <si>
    <t>BUCCI AUTOMATIONS S.P.A</t>
  </si>
  <si>
    <t>?Ravenna</t>
  </si>
  <si>
    <t>Gruppo Mauro Saviola</t>
  </si>
  <si>
    <t>Sol SpA</t>
  </si>
  <si>
    <t>Fattoria Creativa</t>
  </si>
  <si>
    <t>Eurotranciatura SpA</t>
  </si>
  <si>
    <t>Baranzate</t>
  </si>
  <si>
    <t>LibreriaUniversitaria.it (Webster SRL)</t>
  </si>
  <si>
    <t>Pierrel SpA</t>
  </si>
  <si>
    <t>Capua</t>
  </si>
  <si>
    <t>Segafredo SpA</t>
  </si>
  <si>
    <t>Sesto di Rastignano Pianoro</t>
  </si>
  <si>
    <t>DE ANGELI PRODOTTI</t>
  </si>
  <si>
    <t>Ipermercati IPER</t>
  </si>
  <si>
    <t>Forship SpA</t>
  </si>
  <si>
    <t>Vado Ligure</t>
  </si>
  <si>
    <t>Webster.it (Webster SRL)</t>
  </si>
  <si>
    <t>LIMENA</t>
  </si>
  <si>
    <t>BV Tech SpA</t>
  </si>
  <si>
    <t>Kolinpharma SpA</t>
  </si>
  <si>
    <t>Pandolfo Alluminio SpA</t>
  </si>
  <si>
    <t>Sarmeola</t>
  </si>
  <si>
    <t>Baldinini</t>
  </si>
  <si>
    <t>San Mauro Pascoli</t>
  </si>
  <si>
    <t>Cose Belle D'Italia SpA</t>
  </si>
  <si>
    <t>YouBuy.it</t>
  </si>
  <si>
    <t>Serravalle</t>
  </si>
  <si>
    <t>Palmieri Group SpA</t>
  </si>
  <si>
    <t>Gaggio Montano</t>
  </si>
  <si>
    <t>Sciuker Frames S.p.A.</t>
  </si>
  <si>
    <t>Avellino</t>
  </si>
  <si>
    <t>Develon Srl</t>
  </si>
  <si>
    <t>Altavilla Vicentina</t>
  </si>
  <si>
    <t>AVIO SpA</t>
  </si>
  <si>
    <t>Colleferro</t>
  </si>
  <si>
    <t>Arvedi</t>
  </si>
  <si>
    <t>Cremona</t>
  </si>
  <si>
    <t>Burgo Group</t>
  </si>
  <si>
    <t>Magazzini Gabrielli</t>
  </si>
  <si>
    <t>Ascoli Piceno</t>
  </si>
  <si>
    <t>Gruppo Piazzetta SpA</t>
  </si>
  <si>
    <t>Casella d'Asolo</t>
  </si>
  <si>
    <t>Illumia SpA</t>
  </si>
  <si>
    <t>Guarniflon</t>
  </si>
  <si>
    <t>Tagliuno di Castelli Calepio</t>
  </si>
  <si>
    <t>CEFLA FINISHING GROUP</t>
  </si>
  <si>
    <t>Biolchim SpA</t>
  </si>
  <si>
    <t>Coprob</t>
  </si>
  <si>
    <t>Coswell SpA</t>
  </si>
  <si>
    <t>FunoArgelato</t>
  </si>
  <si>
    <t>Viabizzuno srl</t>
  </si>
  <si>
    <t>Conserve Italia Soc Coop Agricola</t>
  </si>
  <si>
    <t>AFV Acciaierie Beltrame SpA</t>
  </si>
  <si>
    <t>DMO SpA</t>
  </si>
  <si>
    <t>Permumia</t>
  </si>
  <si>
    <t>Valsoia SpA</t>
  </si>
  <si>
    <t>Faac SpA</t>
  </si>
  <si>
    <t>Rekeep S.p.A.</t>
  </si>
  <si>
    <t>Health Italia SpA</t>
  </si>
  <si>
    <t>Bluvacanze S.p.A</t>
  </si>
  <si>
    <t>FATRO S.p.A.</t>
  </si>
  <si>
    <t>Ozzano dell'Emilia</t>
  </si>
  <si>
    <t>G.D SpA</t>
  </si>
  <si>
    <t>Intercantieri Vittadello S.p.A.</t>
  </si>
  <si>
    <t>Berardi Bullonerie</t>
  </si>
  <si>
    <t>Castel Guelfo</t>
  </si>
  <si>
    <t>PALLETWAYS ITALIA S.P.A.</t>
  </si>
  <si>
    <t>Bondioli &amp; Pavesi SpA</t>
  </si>
  <si>
    <t>Suzzara</t>
  </si>
  <si>
    <t>Infinity Boost S.r.l.s</t>
  </si>
  <si>
    <t>Dado Spa</t>
  </si>
  <si>
    <t>Sirmax SpA</t>
  </si>
  <si>
    <t>Cittadella</t>
  </si>
  <si>
    <t>Pharmanutra SpA</t>
  </si>
  <si>
    <t>OFFICINE FACCO &amp; C. Spa</t>
  </si>
  <si>
    <t>Marsango di Campo San Martino</t>
  </si>
  <si>
    <t>22-11-2021</t>
  </si>
  <si>
    <t>San Marco Petroli SpA</t>
  </si>
  <si>
    <t>Venezia-Marghera</t>
  </si>
  <si>
    <t>Costantin srl</t>
  </si>
  <si>
    <t>Santa Margherita d'Adige</t>
  </si>
  <si>
    <t>Gruppo Carraro</t>
  </si>
  <si>
    <t>Unox SpA</t>
  </si>
  <si>
    <t>Somec SpA</t>
  </si>
  <si>
    <t>San Vendemiano</t>
  </si>
  <si>
    <t>Nar Spa</t>
  </si>
  <si>
    <t>Legnaro</t>
  </si>
  <si>
    <t>Parmalat Group</t>
  </si>
  <si>
    <t>Collecchio</t>
  </si>
  <si>
    <t>Chierese Pak Srl</t>
  </si>
  <si>
    <t>Chieri</t>
  </si>
  <si>
    <t>Newron Pharmaceuticals SpA</t>
  </si>
  <si>
    <t>Bresso</t>
  </si>
  <si>
    <t>Ingenico Italia SpA</t>
  </si>
  <si>
    <t>Cernusco Sul Naviglio</t>
  </si>
  <si>
    <t>Explanation</t>
  </si>
  <si>
    <t>Given are the sales data for a COLD ENERGY DRINKX operating business of packaged drinking water</t>
  </si>
  <si>
    <t>They have only one product size bottle costing the same everywhere</t>
  </si>
  <si>
    <t>This set is a list of all prospects that were targetted by the sales team</t>
  </si>
  <si>
    <t>Those prospects that purchased the service, are called out as Active Customer in Account status</t>
  </si>
  <si>
    <t>All lost opportunities are marked "not a customer" in status</t>
  </si>
  <si>
    <t>Potential Business means the total budget prospect/customer had to be spent on drinking water, most customers have multiple vendors, so they receive only a small share of the total market</t>
  </si>
  <si>
    <t>Revenue amount is the total business COLD ENERGY DRINKX received from a certain customer</t>
  </si>
  <si>
    <t>Growth potential tells if the customer will expereince growth as per the Demand analysis</t>
  </si>
  <si>
    <t>Task</t>
  </si>
  <si>
    <t>Answer the Questions from management</t>
  </si>
  <si>
    <t>Compare the sales reps and rank them to be rewarded: Consider following factors and their weightage:</t>
  </si>
  <si>
    <t>Total Sales volume - 50%</t>
  </si>
  <si>
    <t>Effciency of Sales: Revenue Won / Potential Revenue - 30%</t>
  </si>
  <si>
    <t>No. of customers onboarded - 20%</t>
  </si>
  <si>
    <t>Prepare a quarter on Quarter graph for Sales for all business and top 3 countries</t>
  </si>
  <si>
    <t>Which country should we open a new Sales office: consider all possible data</t>
  </si>
  <si>
    <t>Forecast next one year of revenue if :</t>
  </si>
  <si>
    <t>Each sales rep converts 2% of total potential revenue from their prospect accounts(not customer)</t>
  </si>
  <si>
    <t>New customer</t>
  </si>
  <si>
    <t>Repeats all the revenue with current customer</t>
  </si>
  <si>
    <t>Existing</t>
  </si>
  <si>
    <t>&gt;&gt; + 30% growth on each high growth account</t>
  </si>
  <si>
    <t>&gt;&gt;+ 10% growth in each medium growth account</t>
  </si>
  <si>
    <t>&gt;&gt; 0% in No growth segment</t>
  </si>
  <si>
    <t>Instructions</t>
  </si>
  <si>
    <t>Provide a presentation slide format for the answers</t>
  </si>
  <si>
    <t>Excel sheet showing the caluclations should be available for interview process</t>
  </si>
  <si>
    <t>email any questions to RAJDEEP GHOSH keeping your recruiting HR in copy</t>
  </si>
  <si>
    <t>Rep wise sales received YOY</t>
  </si>
  <si>
    <t>Rep wise Potential business YOY</t>
  </si>
  <si>
    <t>Revenue won/Potential rev = Sales effeciency</t>
  </si>
  <si>
    <t>Reps wise customers onboarded - YOY</t>
  </si>
  <si>
    <t>Year</t>
  </si>
  <si>
    <t>Grand Total</t>
  </si>
  <si>
    <t>SUM of Revenue Amount</t>
  </si>
  <si>
    <t>SUM of Potential Business</t>
  </si>
  <si>
    <t>COUNTA of Account Status</t>
  </si>
  <si>
    <t>Ranking based on the Sales received by Rep</t>
  </si>
  <si>
    <t xml:space="preserve">Ranking based on Sales efficiency </t>
  </si>
  <si>
    <t>Ranking based on customer onboarded</t>
  </si>
  <si>
    <t>3 Factor weightage</t>
  </si>
  <si>
    <t>Ranking</t>
  </si>
  <si>
    <t>QOQ Revenue of all 3 years</t>
  </si>
  <si>
    <t>Revenue amount</t>
  </si>
  <si>
    <t>COUNTA of Account Name</t>
  </si>
  <si>
    <t>Sales effeciency - 30%</t>
  </si>
  <si>
    <t>Leads received YOY</t>
  </si>
  <si>
    <t>Active customers</t>
  </si>
  <si>
    <t>Conv %</t>
  </si>
  <si>
    <t>Revenue</t>
  </si>
  <si>
    <t>(All)</t>
  </si>
  <si>
    <t>Total Revenue</t>
  </si>
  <si>
    <t>Total Potential</t>
  </si>
  <si>
    <t>Conversion rate</t>
  </si>
  <si>
    <t>Active Customers</t>
  </si>
  <si>
    <t>Entire -&gt;</t>
  </si>
  <si>
    <t>Quarter and Year wrt Close date</t>
  </si>
  <si>
    <t>Column1</t>
  </si>
  <si>
    <t>Column13</t>
  </si>
  <si>
    <t>Column14</t>
  </si>
  <si>
    <t>Row Labels</t>
  </si>
  <si>
    <t>Q1 2021</t>
  </si>
  <si>
    <t>Q1 2022</t>
  </si>
  <si>
    <t>Q1 2023</t>
  </si>
  <si>
    <t>Q2 2022</t>
  </si>
  <si>
    <t>Q2 2023</t>
  </si>
  <si>
    <t>Q3 2021</t>
  </si>
  <si>
    <t>Q3 2022</t>
  </si>
  <si>
    <t>Q3 2023</t>
  </si>
  <si>
    <t>Q4 2021</t>
  </si>
  <si>
    <t>Q4 2022</t>
  </si>
  <si>
    <t>Sum of Revenue Amount</t>
  </si>
  <si>
    <t>Naz ismail</t>
  </si>
  <si>
    <t>kaityu Bonolam</t>
  </si>
  <si>
    <t>Country Revenue = Germnay</t>
  </si>
  <si>
    <t>Revenue -&gt; Spain</t>
  </si>
  <si>
    <t>Spain -&gt; Accounts</t>
  </si>
  <si>
    <t>Active Customers in Spain</t>
  </si>
  <si>
    <t>Column Labels</t>
  </si>
  <si>
    <t>Sum of Potential Business</t>
  </si>
  <si>
    <t>High Growth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</si>
</sst>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mm\-dd\-yyyy"/>
    <numFmt numFmtId="166" formatCode="m\-d\-yyyy"/>
    <numFmt numFmtId="167" formatCode="0.0%"/>
    <numFmt numFmtId="168" formatCode="#,##0.0"/>
  </numFmts>
  <fonts count="17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</font>
    <font>
      <u/>
      <sz val="11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sz val="9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sz val="9"/>
      <color rgb="FF000000"/>
      <name val="Arial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/>
    <xf numFmtId="0" fontId="1" fillId="0" borderId="2" xfId="0" applyFont="1" applyBorder="1"/>
    <xf numFmtId="0" fontId="3" fillId="0" borderId="0" xfId="0" applyFont="1"/>
    <xf numFmtId="164" fontId="1" fillId="0" borderId="2" xfId="0" applyNumberFormat="1" applyFont="1" applyBorder="1"/>
    <xf numFmtId="0" fontId="1" fillId="0" borderId="2" xfId="0" applyFon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166" fontId="1" fillId="0" borderId="2" xfId="0" applyNumberFormat="1" applyFont="1" applyBorder="1" applyAlignment="1">
      <alignment horizontal="right"/>
    </xf>
    <xf numFmtId="3" fontId="1" fillId="0" borderId="2" xfId="0" applyNumberFormat="1" applyFont="1" applyBorder="1"/>
    <xf numFmtId="4" fontId="1" fillId="0" borderId="2" xfId="0" applyNumberFormat="1" applyFont="1" applyBorder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/>
    <xf numFmtId="0" fontId="6" fillId="0" borderId="0" xfId="0" applyFont="1"/>
    <xf numFmtId="164" fontId="7" fillId="0" borderId="6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8" xfId="0" applyFont="1" applyBorder="1"/>
    <xf numFmtId="0" fontId="3" fillId="0" borderId="13" xfId="0" applyFont="1" applyBorder="1"/>
    <xf numFmtId="9" fontId="8" fillId="0" borderId="0" xfId="0" applyNumberFormat="1" applyFont="1"/>
    <xf numFmtId="0" fontId="8" fillId="0" borderId="0" xfId="0" applyFont="1"/>
    <xf numFmtId="0" fontId="9" fillId="3" borderId="17" xfId="0" applyFont="1" applyFill="1" applyBorder="1"/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3" fillId="4" borderId="17" xfId="0" applyFont="1" applyFill="1" applyBorder="1"/>
    <xf numFmtId="0" fontId="3" fillId="4" borderId="1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0" xfId="0" applyFont="1" applyFill="1"/>
    <xf numFmtId="0" fontId="3" fillId="4" borderId="17" xfId="0" applyFont="1" applyFill="1" applyBorder="1" applyAlignment="1">
      <alignment horizontal="center"/>
    </xf>
    <xf numFmtId="0" fontId="3" fillId="4" borderId="20" xfId="0" applyFont="1" applyFill="1" applyBorder="1"/>
    <xf numFmtId="0" fontId="3" fillId="4" borderId="2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0" xfId="0" applyFont="1" applyBorder="1"/>
    <xf numFmtId="0" fontId="3" fillId="4" borderId="21" xfId="0" applyFont="1" applyFill="1" applyBorder="1"/>
    <xf numFmtId="0" fontId="3" fillId="4" borderId="2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4" xfId="0" applyFont="1" applyFill="1" applyBorder="1"/>
    <xf numFmtId="0" fontId="3" fillId="4" borderId="24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10" fontId="3" fillId="0" borderId="0" xfId="0" applyNumberFormat="1" applyFont="1" applyAlignment="1">
      <alignment horizontal="center" vertical="center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25" xfId="0" pivotButton="1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0" xfId="0" pivotButton="1" applyBorder="1"/>
    <xf numFmtId="0" fontId="11" fillId="0" borderId="0" xfId="0" applyFont="1"/>
    <xf numFmtId="0" fontId="12" fillId="0" borderId="1" xfId="0" applyFont="1" applyBorder="1"/>
    <xf numFmtId="0" fontId="4" fillId="0" borderId="2" xfId="0" applyFont="1" applyBorder="1"/>
    <xf numFmtId="0" fontId="14" fillId="7" borderId="31" xfId="0" applyFont="1" applyFill="1" applyBorder="1"/>
    <xf numFmtId="0" fontId="14" fillId="7" borderId="32" xfId="0" applyFont="1" applyFill="1" applyBorder="1"/>
    <xf numFmtId="0" fontId="14" fillId="0" borderId="31" xfId="0" applyFont="1" applyBorder="1"/>
    <xf numFmtId="0" fontId="14" fillId="0" borderId="32" xfId="0" applyFont="1" applyBorder="1"/>
    <xf numFmtId="0" fontId="16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4" fillId="0" borderId="31" xfId="0" applyFont="1" applyBorder="1" applyAlignment="1">
      <alignment horizontal="right"/>
    </xf>
    <xf numFmtId="0" fontId="13" fillId="0" borderId="33" xfId="0" applyFont="1" applyBorder="1"/>
    <xf numFmtId="0" fontId="14" fillId="8" borderId="31" xfId="0" applyFont="1" applyFill="1" applyBorder="1"/>
    <xf numFmtId="0" fontId="14" fillId="8" borderId="32" xfId="0" applyFont="1" applyFill="1" applyBorder="1"/>
    <xf numFmtId="0" fontId="14" fillId="9" borderId="31" xfId="0" applyFont="1" applyFill="1" applyBorder="1"/>
    <xf numFmtId="0" fontId="15" fillId="9" borderId="32" xfId="0" applyFont="1" applyFill="1" applyBorder="1" applyAlignment="1">
      <alignment horizontal="left" vertical="center" inden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3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3" fillId="0" borderId="3" xfId="0" applyFont="1" applyBorder="1" applyAlignment="1">
      <alignment horizontal="center" wrapText="1"/>
    </xf>
    <xf numFmtId="9" fontId="3" fillId="0" borderId="11" xfId="0" applyNumberFormat="1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5" fillId="0" borderId="15" xfId="0" applyFont="1" applyBorder="1"/>
    <xf numFmtId="0" fontId="5" fillId="0" borderId="16" xfId="0" applyFont="1" applyBorder="1"/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mm\-dd\-yyyy"/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&quot;$&quot;#,##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mm\-dd\-yyyy"/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&quot;$&quot;#,##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[Excel.xlsx]Sheet2!PivotTable2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Q1 2021</c:v>
                </c:pt>
                <c:pt idx="1">
                  <c:v>Q1 2022</c:v>
                </c:pt>
                <c:pt idx="2">
                  <c:v>Q1 2023</c:v>
                </c:pt>
                <c:pt idx="3">
                  <c:v>Q2 2022</c:v>
                </c:pt>
                <c:pt idx="4">
                  <c:v>Q2 2023</c:v>
                </c:pt>
                <c:pt idx="5">
                  <c:v>Q3 2021</c:v>
                </c:pt>
                <c:pt idx="6">
                  <c:v>Q3 2022</c:v>
                </c:pt>
                <c:pt idx="7">
                  <c:v>Q3 2023</c:v>
                </c:pt>
                <c:pt idx="8">
                  <c:v>Q4 2021</c:v>
                </c:pt>
                <c:pt idx="9">
                  <c:v>Q4 2022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0</c:v>
                </c:pt>
                <c:pt idx="1">
                  <c:v>683333</c:v>
                </c:pt>
                <c:pt idx="2">
                  <c:v>350378</c:v>
                </c:pt>
                <c:pt idx="3">
                  <c:v>1517746</c:v>
                </c:pt>
                <c:pt idx="4">
                  <c:v>253426</c:v>
                </c:pt>
                <c:pt idx="5">
                  <c:v>125657</c:v>
                </c:pt>
                <c:pt idx="6">
                  <c:v>1331365</c:v>
                </c:pt>
                <c:pt idx="7">
                  <c:v>54683</c:v>
                </c:pt>
                <c:pt idx="8">
                  <c:v>32392</c:v>
                </c:pt>
                <c:pt idx="9">
                  <c:v>4327919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7-4FFB-BCF4-36C303DF6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932911"/>
        <c:axId val="300934831"/>
      </c:barChart>
      <c:catAx>
        <c:axId val="30093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34831"/>
        <c:crosses val="autoZero"/>
        <c:auto val="1"/>
        <c:lblAlgn val="ctr"/>
        <c:lblOffset val="100"/>
        <c:noMultiLvlLbl val="0"/>
      </c:catAx>
      <c:valAx>
        <c:axId val="30093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3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Quarter on Quarter sales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Table 4'!$K$2:$K$3</c:f>
              <c:strCache>
                <c:ptCount val="2"/>
                <c:pt idx="0">
                  <c:v>Active Customer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'Pivot Table 4'!$J$4:$J$18</c:f>
              <c:strCache>
                <c:ptCount val="15"/>
                <c:pt idx="0">
                  <c:v>Primary Country</c:v>
                </c:pt>
                <c:pt idx="1">
                  <c:v>Germany</c:v>
                </c:pt>
                <c:pt idx="2">
                  <c:v>Spain</c:v>
                </c:pt>
                <c:pt idx="3">
                  <c:v>France</c:v>
                </c:pt>
                <c:pt idx="4">
                  <c:v>Italy</c:v>
                </c:pt>
                <c:pt idx="5">
                  <c:v>Switzerland</c:v>
                </c:pt>
                <c:pt idx="6">
                  <c:v>Austria</c:v>
                </c:pt>
                <c:pt idx="7">
                  <c:v>Poland</c:v>
                </c:pt>
                <c:pt idx="8">
                  <c:v>Romania</c:v>
                </c:pt>
                <c:pt idx="9">
                  <c:v>Portugal</c:v>
                </c:pt>
                <c:pt idx="10">
                  <c:v>Bulgaria</c:v>
                </c:pt>
                <c:pt idx="11">
                  <c:v>Slovakia</c:v>
                </c:pt>
                <c:pt idx="12">
                  <c:v>Hungary</c:v>
                </c:pt>
                <c:pt idx="13">
                  <c:v>USA</c:v>
                </c:pt>
                <c:pt idx="14">
                  <c:v>Czech Republic</c:v>
                </c:pt>
              </c:strCache>
            </c:strRef>
          </c:cat>
          <c:val>
            <c:numRef>
              <c:f>'Pivot Table 4'!$K$4:$K$18</c:f>
              <c:numCache>
                <c:formatCode>General</c:formatCode>
                <c:ptCount val="15"/>
                <c:pt idx="0">
                  <c:v>0</c:v>
                </c:pt>
                <c:pt idx="1">
                  <c:v>4039839</c:v>
                </c:pt>
                <c:pt idx="2">
                  <c:v>1398148</c:v>
                </c:pt>
                <c:pt idx="3">
                  <c:v>1195384</c:v>
                </c:pt>
                <c:pt idx="4">
                  <c:v>1052220</c:v>
                </c:pt>
                <c:pt idx="5">
                  <c:v>442933</c:v>
                </c:pt>
                <c:pt idx="6">
                  <c:v>260699</c:v>
                </c:pt>
                <c:pt idx="7">
                  <c:v>96596</c:v>
                </c:pt>
                <c:pt idx="8">
                  <c:v>50854</c:v>
                </c:pt>
                <c:pt idx="9">
                  <c:v>42984</c:v>
                </c:pt>
                <c:pt idx="10">
                  <c:v>27890</c:v>
                </c:pt>
                <c:pt idx="11">
                  <c:v>25158</c:v>
                </c:pt>
                <c:pt idx="12">
                  <c:v>15999</c:v>
                </c:pt>
                <c:pt idx="13">
                  <c:v>14506</c:v>
                </c:pt>
                <c:pt idx="14">
                  <c:v>9129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65-42FE-8257-43968FB3D79E}"/>
            </c:ext>
          </c:extLst>
        </c:ser>
        <c:ser>
          <c:idx val="1"/>
          <c:order val="1"/>
          <c:tx>
            <c:strRef>
              <c:f>'Pivot Table 4'!$L$2:$L$3</c:f>
              <c:strCache>
                <c:ptCount val="2"/>
                <c:pt idx="0">
                  <c:v>Active Customer</c:v>
                </c:pt>
              </c:strCache>
            </c:strRef>
          </c:tx>
          <c:invertIfNegative val="1"/>
          <c:cat>
            <c:strRef>
              <c:f>'Pivot Table 4'!$J$4:$J$18</c:f>
              <c:strCache>
                <c:ptCount val="15"/>
                <c:pt idx="0">
                  <c:v>Primary Country</c:v>
                </c:pt>
                <c:pt idx="1">
                  <c:v>Germany</c:v>
                </c:pt>
                <c:pt idx="2">
                  <c:v>Spain</c:v>
                </c:pt>
                <c:pt idx="3">
                  <c:v>France</c:v>
                </c:pt>
                <c:pt idx="4">
                  <c:v>Italy</c:v>
                </c:pt>
                <c:pt idx="5">
                  <c:v>Switzerland</c:v>
                </c:pt>
                <c:pt idx="6">
                  <c:v>Austria</c:v>
                </c:pt>
                <c:pt idx="7">
                  <c:v>Poland</c:v>
                </c:pt>
                <c:pt idx="8">
                  <c:v>Romania</c:v>
                </c:pt>
                <c:pt idx="9">
                  <c:v>Portugal</c:v>
                </c:pt>
                <c:pt idx="10">
                  <c:v>Bulgaria</c:v>
                </c:pt>
                <c:pt idx="11">
                  <c:v>Slovakia</c:v>
                </c:pt>
                <c:pt idx="12">
                  <c:v>Hungary</c:v>
                </c:pt>
                <c:pt idx="13">
                  <c:v>USA</c:v>
                </c:pt>
                <c:pt idx="14">
                  <c:v>Czech Republic</c:v>
                </c:pt>
              </c:strCache>
            </c:strRef>
          </c:cat>
          <c:val>
            <c:numRef>
              <c:f>'Pivot Table 4'!$L$4:$L$18</c:f>
            </c:numRef>
          </c:val>
          <c:extLst>
            <c:ext xmlns:c16="http://schemas.microsoft.com/office/drawing/2014/chart" uri="{C3380CC4-5D6E-409C-BE32-E72D297353CC}">
              <c16:uniqueId val="{00000002-6965-42FE-8257-43968FB3D79E}"/>
            </c:ext>
          </c:extLst>
        </c:ser>
        <c:ser>
          <c:idx val="2"/>
          <c:order val="2"/>
          <c:tx>
            <c:strRef>
              <c:f>'Pivot Table 4'!$M$2:$M$3</c:f>
              <c:strCache>
                <c:ptCount val="2"/>
                <c:pt idx="0">
                  <c:v>Active Customer</c:v>
                </c:pt>
              </c:strCache>
            </c:strRef>
          </c:tx>
          <c:invertIfNegative val="1"/>
          <c:cat>
            <c:strRef>
              <c:f>'Pivot Table 4'!$J$4:$J$18</c:f>
              <c:strCache>
                <c:ptCount val="15"/>
                <c:pt idx="0">
                  <c:v>Primary Country</c:v>
                </c:pt>
                <c:pt idx="1">
                  <c:v>Germany</c:v>
                </c:pt>
                <c:pt idx="2">
                  <c:v>Spain</c:v>
                </c:pt>
                <c:pt idx="3">
                  <c:v>France</c:v>
                </c:pt>
                <c:pt idx="4">
                  <c:v>Italy</c:v>
                </c:pt>
                <c:pt idx="5">
                  <c:v>Switzerland</c:v>
                </c:pt>
                <c:pt idx="6">
                  <c:v>Austria</c:v>
                </c:pt>
                <c:pt idx="7">
                  <c:v>Poland</c:v>
                </c:pt>
                <c:pt idx="8">
                  <c:v>Romania</c:v>
                </c:pt>
                <c:pt idx="9">
                  <c:v>Portugal</c:v>
                </c:pt>
                <c:pt idx="10">
                  <c:v>Bulgaria</c:v>
                </c:pt>
                <c:pt idx="11">
                  <c:v>Slovakia</c:v>
                </c:pt>
                <c:pt idx="12">
                  <c:v>Hungary</c:v>
                </c:pt>
                <c:pt idx="13">
                  <c:v>USA</c:v>
                </c:pt>
                <c:pt idx="14">
                  <c:v>Czech Republic</c:v>
                </c:pt>
              </c:strCache>
            </c:strRef>
          </c:cat>
          <c:val>
            <c:numRef>
              <c:f>'Pivot Table 4'!$M$4:$M$18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965-42FE-8257-43968FB3D79E}"/>
            </c:ext>
          </c:extLst>
        </c:ser>
        <c:ser>
          <c:idx val="3"/>
          <c:order val="3"/>
          <c:tx>
            <c:strRef>
              <c:f>'Pivot Table 4'!$N$2:$N$3</c:f>
              <c:strCache>
                <c:ptCount val="2"/>
                <c:pt idx="0">
                  <c:v>Active Customer</c:v>
                </c:pt>
              </c:strCache>
            </c:strRef>
          </c:tx>
          <c:invertIfNegative val="1"/>
          <c:cat>
            <c:strRef>
              <c:f>'Pivot Table 4'!$J$4:$J$18</c:f>
              <c:strCache>
                <c:ptCount val="15"/>
                <c:pt idx="0">
                  <c:v>Primary Country</c:v>
                </c:pt>
                <c:pt idx="1">
                  <c:v>Germany</c:v>
                </c:pt>
                <c:pt idx="2">
                  <c:v>Spain</c:v>
                </c:pt>
                <c:pt idx="3">
                  <c:v>France</c:v>
                </c:pt>
                <c:pt idx="4">
                  <c:v>Italy</c:v>
                </c:pt>
                <c:pt idx="5">
                  <c:v>Switzerland</c:v>
                </c:pt>
                <c:pt idx="6">
                  <c:v>Austria</c:v>
                </c:pt>
                <c:pt idx="7">
                  <c:v>Poland</c:v>
                </c:pt>
                <c:pt idx="8">
                  <c:v>Romania</c:v>
                </c:pt>
                <c:pt idx="9">
                  <c:v>Portugal</c:v>
                </c:pt>
                <c:pt idx="10">
                  <c:v>Bulgaria</c:v>
                </c:pt>
                <c:pt idx="11">
                  <c:v>Slovakia</c:v>
                </c:pt>
                <c:pt idx="12">
                  <c:v>Hungary</c:v>
                </c:pt>
                <c:pt idx="13">
                  <c:v>USA</c:v>
                </c:pt>
                <c:pt idx="14">
                  <c:v>Czech Republic</c:v>
                </c:pt>
              </c:strCache>
            </c:strRef>
          </c:cat>
          <c:val>
            <c:numRef>
              <c:f>'Pivot Table 4'!$N$4:$N$18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6965-42FE-8257-43968FB3D79E}"/>
            </c:ext>
          </c:extLst>
        </c:ser>
        <c:ser>
          <c:idx val="4"/>
          <c:order val="4"/>
          <c:tx>
            <c:strRef>
              <c:f>'Pivot Table 4'!$O$2:$O$3</c:f>
              <c:strCache>
                <c:ptCount val="2"/>
                <c:pt idx="0">
                  <c:v>Active Customer</c:v>
                </c:pt>
              </c:strCache>
            </c:strRef>
          </c:tx>
          <c:invertIfNegative val="1"/>
          <c:cat>
            <c:strRef>
              <c:f>'Pivot Table 4'!$J$4:$J$18</c:f>
              <c:strCache>
                <c:ptCount val="15"/>
                <c:pt idx="0">
                  <c:v>Primary Country</c:v>
                </c:pt>
                <c:pt idx="1">
                  <c:v>Germany</c:v>
                </c:pt>
                <c:pt idx="2">
                  <c:v>Spain</c:v>
                </c:pt>
                <c:pt idx="3">
                  <c:v>France</c:v>
                </c:pt>
                <c:pt idx="4">
                  <c:v>Italy</c:v>
                </c:pt>
                <c:pt idx="5">
                  <c:v>Switzerland</c:v>
                </c:pt>
                <c:pt idx="6">
                  <c:v>Austria</c:v>
                </c:pt>
                <c:pt idx="7">
                  <c:v>Poland</c:v>
                </c:pt>
                <c:pt idx="8">
                  <c:v>Romania</c:v>
                </c:pt>
                <c:pt idx="9">
                  <c:v>Portugal</c:v>
                </c:pt>
                <c:pt idx="10">
                  <c:v>Bulgaria</c:v>
                </c:pt>
                <c:pt idx="11">
                  <c:v>Slovakia</c:v>
                </c:pt>
                <c:pt idx="12">
                  <c:v>Hungary</c:v>
                </c:pt>
                <c:pt idx="13">
                  <c:v>USA</c:v>
                </c:pt>
                <c:pt idx="14">
                  <c:v>Czech Republic</c:v>
                </c:pt>
              </c:strCache>
            </c:strRef>
          </c:cat>
          <c:val>
            <c:numRef>
              <c:f>'Pivot Table 4'!$O$4:$O$18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6965-42FE-8257-43968FB3D79E}"/>
            </c:ext>
          </c:extLst>
        </c:ser>
        <c:ser>
          <c:idx val="5"/>
          <c:order val="5"/>
          <c:tx>
            <c:strRef>
              <c:f>'Pivot Table 4'!$P$2:$P$3</c:f>
              <c:strCache>
                <c:ptCount val="2"/>
                <c:pt idx="0">
                  <c:v>Active Customer</c:v>
                </c:pt>
              </c:strCache>
            </c:strRef>
          </c:tx>
          <c:invertIfNegative val="1"/>
          <c:cat>
            <c:strRef>
              <c:f>'Pivot Table 4'!$J$4:$J$18</c:f>
              <c:strCache>
                <c:ptCount val="15"/>
                <c:pt idx="0">
                  <c:v>Primary Country</c:v>
                </c:pt>
                <c:pt idx="1">
                  <c:v>Germany</c:v>
                </c:pt>
                <c:pt idx="2">
                  <c:v>Spain</c:v>
                </c:pt>
                <c:pt idx="3">
                  <c:v>France</c:v>
                </c:pt>
                <c:pt idx="4">
                  <c:v>Italy</c:v>
                </c:pt>
                <c:pt idx="5">
                  <c:v>Switzerland</c:v>
                </c:pt>
                <c:pt idx="6">
                  <c:v>Austria</c:v>
                </c:pt>
                <c:pt idx="7">
                  <c:v>Poland</c:v>
                </c:pt>
                <c:pt idx="8">
                  <c:v>Romania</c:v>
                </c:pt>
                <c:pt idx="9">
                  <c:v>Portugal</c:v>
                </c:pt>
                <c:pt idx="10">
                  <c:v>Bulgaria</c:v>
                </c:pt>
                <c:pt idx="11">
                  <c:v>Slovakia</c:v>
                </c:pt>
                <c:pt idx="12">
                  <c:v>Hungary</c:v>
                </c:pt>
                <c:pt idx="13">
                  <c:v>USA</c:v>
                </c:pt>
                <c:pt idx="14">
                  <c:v>Czech Republic</c:v>
                </c:pt>
              </c:strCache>
            </c:strRef>
          </c:cat>
          <c:val>
            <c:numRef>
              <c:f>'Pivot Table 4'!$P$4:$P$18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6-6965-42FE-8257-43968FB3D79E}"/>
            </c:ext>
          </c:extLst>
        </c:ser>
        <c:ser>
          <c:idx val="6"/>
          <c:order val="6"/>
          <c:tx>
            <c:strRef>
              <c:f>'Pivot Table 4'!$Q$2:$Q$3</c:f>
              <c:strCache>
                <c:ptCount val="2"/>
                <c:pt idx="0">
                  <c:v>Active Customer</c:v>
                </c:pt>
              </c:strCache>
            </c:strRef>
          </c:tx>
          <c:invertIfNegative val="1"/>
          <c:cat>
            <c:strRef>
              <c:f>'Pivot Table 4'!$J$4:$J$18</c:f>
              <c:strCache>
                <c:ptCount val="15"/>
                <c:pt idx="0">
                  <c:v>Primary Country</c:v>
                </c:pt>
                <c:pt idx="1">
                  <c:v>Germany</c:v>
                </c:pt>
                <c:pt idx="2">
                  <c:v>Spain</c:v>
                </c:pt>
                <c:pt idx="3">
                  <c:v>France</c:v>
                </c:pt>
                <c:pt idx="4">
                  <c:v>Italy</c:v>
                </c:pt>
                <c:pt idx="5">
                  <c:v>Switzerland</c:v>
                </c:pt>
                <c:pt idx="6">
                  <c:v>Austria</c:v>
                </c:pt>
                <c:pt idx="7">
                  <c:v>Poland</c:v>
                </c:pt>
                <c:pt idx="8">
                  <c:v>Romania</c:v>
                </c:pt>
                <c:pt idx="9">
                  <c:v>Portugal</c:v>
                </c:pt>
                <c:pt idx="10">
                  <c:v>Bulgaria</c:v>
                </c:pt>
                <c:pt idx="11">
                  <c:v>Slovakia</c:v>
                </c:pt>
                <c:pt idx="12">
                  <c:v>Hungary</c:v>
                </c:pt>
                <c:pt idx="13">
                  <c:v>USA</c:v>
                </c:pt>
                <c:pt idx="14">
                  <c:v>Czech Republic</c:v>
                </c:pt>
              </c:strCache>
            </c:strRef>
          </c:cat>
          <c:val>
            <c:numRef>
              <c:f>'Pivot Table 4'!$Q$4:$Q$18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7-6965-42FE-8257-43968FB3D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9626234"/>
        <c:axId val="158997265"/>
      </c:barChart>
      <c:catAx>
        <c:axId val="339626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Primary 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997265"/>
        <c:crosses val="autoZero"/>
        <c:auto val="1"/>
        <c:lblAlgn val="ctr"/>
        <c:lblOffset val="100"/>
        <c:noMultiLvlLbl val="1"/>
      </c:catAx>
      <c:valAx>
        <c:axId val="158997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96262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163830</xdr:rowOff>
    </xdr:from>
    <xdr:to>
      <xdr:col>10</xdr:col>
      <xdr:colOff>304800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60168-ABD4-61C8-BF47-F155EA0B3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0</xdr:row>
      <xdr:rowOff>0</xdr:rowOff>
    </xdr:from>
    <xdr:ext cx="7286625" cy="3695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JAY BHUSHAN SINGH" refreshedDate="45967.097273032407" refreshedVersion="8" recordCount="1986" xr:uid="{00000000-000A-0000-FFFF-FFFF00000000}">
  <cacheSource type="worksheet">
    <worksheetSource ref="A2:J1987" sheet="Sales Data"/>
  </cacheSource>
  <cacheFields count="10">
    <cacheField name="Account Name" numFmtId="0">
      <sharedItems/>
    </cacheField>
    <cacheField name="Account Status" numFmtId="0">
      <sharedItems count="2">
        <s v="Not a Customer"/>
        <s v="Active Customer"/>
      </sharedItems>
    </cacheField>
    <cacheField name="Future Growth Potential Segment" numFmtId="0">
      <sharedItems/>
    </cacheField>
    <cacheField name="Account Owner" numFmtId="0">
      <sharedItems count="9">
        <s v="Roman Nacha"/>
        <s v="Kaityu Bonolam"/>
        <s v="Dorai Kumar"/>
        <s v="Ben Usioka"/>
        <s v="Ban Roamer"/>
        <s v="Rinika Oprah"/>
        <s v="Josh Bolton"/>
        <s v="Nikita Hareigye"/>
        <s v="Naz Ismail"/>
      </sharedItems>
    </cacheField>
    <cacheField name="Primary Country" numFmtId="0">
      <sharedItems count="23">
        <s v="Spain"/>
        <s v="Portugal"/>
        <s v="Italy"/>
        <s v="France"/>
        <s v="Sweden"/>
        <s v="Gibraltar"/>
        <s v="Finland"/>
        <s v="Germany"/>
        <s v="United Kingdom"/>
        <s v="Austria"/>
        <s v="Switzerland"/>
        <s v="USA"/>
        <s v="Poland"/>
        <s v="Denmark"/>
        <s v="Liechtenstein"/>
        <s v="Bulgaria"/>
        <s v="Romania"/>
        <s v="Hungary"/>
        <s v="Czech Republic"/>
        <s v="Slovakia"/>
        <s v="Monaco"/>
        <s v="Malaysia"/>
        <s v="San Marino"/>
      </sharedItems>
    </cacheField>
    <cacheField name="Primary City" numFmtId="0">
      <sharedItems containsMixedTypes="1" containsNumber="1" containsInteger="1" minValue="20145" maxValue="36100"/>
    </cacheField>
    <cacheField name="Potential Business" numFmtId="0">
      <sharedItems containsString="0" containsBlank="1" containsNumber="1" containsInteger="1" minValue="23061" maxValue="30000000"/>
    </cacheField>
    <cacheField name="Opportunity Start date" numFmtId="0">
      <sharedItems containsDate="1" containsMixedTypes="1" minDate="2021-02-06T00:00:00" maxDate="2023-11-03T00:00:00"/>
    </cacheField>
    <cacheField name="Revenue Amount" numFmtId="0">
      <sharedItems containsSemiMixedTypes="0" containsString="0" containsNumber="1" containsInteger="1" minValue="0" maxValue="211474"/>
    </cacheField>
    <cacheField name="Opportunity Close Date" numFmtId="0">
      <sharedItems containsDate="1" containsMixedTypes="1" minDate="2021-01-08T00:00:00" maxDate="2023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 BHUSHAN SINGH" refreshedDate="45967.222962962966" createdVersion="8" refreshedVersion="8" minRefreshableVersion="3" recordCount="1986" xr:uid="{3460D948-FC00-4AD1-A79A-B8985B9E08F3}">
  <cacheSource type="worksheet">
    <worksheetSource name="Table1"/>
  </cacheSource>
  <cacheFields count="14">
    <cacheField name="Account Name" numFmtId="0">
      <sharedItems/>
    </cacheField>
    <cacheField name="Account Status" numFmtId="0">
      <sharedItems/>
    </cacheField>
    <cacheField name="Future Growth Potential Segment" numFmtId="0">
      <sharedItems/>
    </cacheField>
    <cacheField name="Account Owner" numFmtId="0">
      <sharedItems/>
    </cacheField>
    <cacheField name="Column5" numFmtId="0">
      <sharedItems count="23">
        <s v="Spain"/>
        <s v="Portugal"/>
        <s v="Italy"/>
        <s v="France"/>
        <s v="Sweden"/>
        <s v="Gibraltar"/>
        <s v="Finland"/>
        <s v="Germany"/>
        <s v="United Kingdom"/>
        <s v="Austria"/>
        <s v="Switzerland"/>
        <s v="USA"/>
        <s v="Poland"/>
        <s v="Denmark"/>
        <s v="Liechtenstein"/>
        <s v="Bulgaria"/>
        <s v="Romania"/>
        <s v="Hungary"/>
        <s v="Czech Republic"/>
        <s v="Slovakia"/>
        <s v="Monaco"/>
        <s v="Malaysia"/>
        <s v="San Marino"/>
      </sharedItems>
    </cacheField>
    <cacheField name="Primary City" numFmtId="0">
      <sharedItems containsMixedTypes="1" containsNumber="1" containsInteger="1" minValue="20145" maxValue="36100" count="854">
        <s v="Barcelona"/>
        <s v="Peligros"/>
        <s v="Vila das Aves"/>
        <s v="Madrid"/>
        <s v="Tarragona"/>
        <s v="GIRONA"/>
        <s v="Cascais"/>
        <s v="ALCOBENDAS"/>
        <s v="Erandio"/>
        <s v="TBD"/>
        <s v="Murcia"/>
        <s v="Oporto"/>
        <s v="Granada"/>
        <s v="Arrabaldo"/>
        <s v="Llinars del Valles"/>
        <s v="BASSANO DEL GRAPPA"/>
        <s v="ALCOY/ALCOI"/>
        <s v="Vilanova I La Geltru"/>
        <s v="GIJON"/>
        <s v="PALMA"/>
        <s v="TERRASSA"/>
        <s v="Aranjuez"/>
        <s v="CARREGADO"/>
        <s v="Silla"/>
        <s v="Cabo de Palos"/>
        <s v="BILBAO"/>
        <s v="A CORUNA"/>
        <s v="Sant Cugat del Valles"/>
        <s v="ELGOIBAR"/>
        <s v="Vallirana"/>
        <s v="Santander"/>
        <s v="Cayes (Llanera)"/>
        <s v="Pineda de Mar"/>
        <s v="Argentona"/>
        <s v="Derio"/>
        <s v="Mesão Frio"/>
        <s v="MALAGA"/>
        <s v="San Sebastián de los Reyes"/>
        <s v="Valladolid"/>
        <s v="Carolina"/>
        <s v="Gipuzkoa"/>
        <s v="PARIS"/>
        <s v="BOULOGNE BILLANCOURT CEDEX"/>
        <s v="Villaviciosa de Odon"/>
        <s v="Badalona"/>
        <s v="Merida - BADAJOZ"/>
        <s v="L hospitalet de Llobregat"/>
        <s v="Bigo (Pontevedra)"/>
        <s v="Málaga"/>
        <s v="Faro"/>
        <s v="SAN SEBASTIAN DE LOS REYE"/>
        <s v="Valencia"/>
        <s v="ALICANTE/ALACANT"/>
        <s v="TORREJON DE LA CALZADA"/>
        <s v="1600-079"/>
        <s v="CASTELLON"/>
        <s v="Sant Just Desvern"/>
        <s v="Paracuellos De Jarama"/>
        <s v="Arganda del rey"/>
        <s v="BRAGA"/>
        <s v="ZARAGOZA"/>
        <s v="Lisboa"/>
        <s v="Lleida"/>
        <s v="Evora"/>
        <s v="Jaraíz de la Vera"/>
        <s v="Linköping"/>
        <s v="Alcalá de Henares"/>
        <s v="Cáceres"/>
        <s v="Granollers"/>
        <s v="Sant Andreu De La Barca"/>
        <s v="MILANO"/>
        <s v="Pozuelo"/>
        <s v="Salou"/>
        <s v="Las Rozas"/>
        <s v="Roma"/>
        <s v="Pozuelo de Alarcon"/>
        <s v="Logroño"/>
        <s v="La Laguna"/>
        <s v="Asturias"/>
        <s v="Assago"/>
        <s v="ORIHUELA"/>
        <s v="Castalla"/>
        <s v="Alcorcón - Madrid"/>
        <s v="Santiago de Compostela"/>
        <s v="ALCUDIA"/>
        <s v="PONTA DELGADA"/>
        <s v="Lisbon"/>
        <s v="SANT VICENC DELS HORTS"/>
        <s v="MANRESA"/>
        <s v="ELCHE"/>
        <s v="Espinardo"/>
        <s v="RIUDELLOTS DE LA SELVA"/>
        <s v="HUELVA"/>
        <s v="Vilamalla"/>
        <s v="LLANERA"/>
        <s v="Marbella"/>
        <s v="VALDEPENAS"/>
        <s v="EL PRAT DE LLOBREGAT"/>
        <s v="Viseu"/>
        <s v="Sada"/>
        <s v="SEVILLA"/>
        <s v="PORTO"/>
        <s v="GERNIKA"/>
        <s v="Palma de Mallorca"/>
        <s v="BRESCIA"/>
        <s v="San Sebastian"/>
        <s v="Basauri"/>
        <s v="Pravia"/>
        <s v="Burgos"/>
        <s v="MOLINS DE REI"/>
        <s v="Castello De La Plana"/>
        <s v="Las Palmas De Gran Canaria"/>
        <s v="REUS"/>
        <s v="MALLEN"/>
        <s v="EL BURGO DE EBRO"/>
        <s v="Cordoba"/>
        <s v="Alicante"/>
        <s v="SAN FERNANDO DE HENARES"/>
        <s v="JEREZ DE LOS CABALLEROS"/>
        <s v="TRES CANTOS"/>
        <s v="Zarautz"/>
        <s v="Mairena del Aljarafe"/>
        <s v="Bilbo"/>
        <s v="Soria"/>
        <s v="Gava"/>
        <s v="Las Palmas"/>
        <s v="Varese"/>
        <s v="A Coruña"/>
        <s v="Majadahonda"/>
        <s v="Sabadell"/>
        <s v="Portugal"/>
        <s v="Tomar"/>
        <s v="Parma"/>
        <s v="Seville"/>
        <s v="Fuenlabrada"/>
        <s v="Paterna"/>
        <s v="Albalat De La Ribera"/>
        <s v="Castello"/>
        <s v="MECO"/>
        <s v="Oliva"/>
        <s v="Salamanca"/>
        <s v="Villanueva De Gallego"/>
        <s v="León"/>
        <s v="SAN CIBRAO DAS VINAS"/>
        <s v="Cabral"/>
        <s v="Alhama de Murcia"/>
        <s v="DAGANZO DE ARRIBA"/>
        <s v="PAMPLONA/IRUÑA"/>
        <s v="VITORIA-GASTEIZ"/>
        <s v="Sant Quirze Del Valles"/>
        <s v="Pedreguer"/>
        <s v="Ca?n Picafort"/>
        <s v="SON SERVERA"/>
        <s v="Zamudio"/>
        <s v="Mallorca"/>
        <s v="LAVOS"/>
        <s v="Padron"/>
        <s v="Medellin"/>
        <s v="Odivelas"/>
        <s v="Inca"/>
        <s v="PUIG"/>
        <s v="ALGECIRAS"/>
        <s v="Poio"/>
        <s v="RIBA-ROJA DE TURIA"/>
        <s v="Carlet"/>
        <s v="Montecarmelo"/>
        <s v="Torre Pacheco"/>
        <s v="Alsasua"/>
        <s v="Sant Cugat del Vallès"/>
        <s v="Matosinhos"/>
        <s v="Coslada"/>
        <s v="Barcelon"/>
        <s v="Figueira de Lorvão ?"/>
        <s v="Parets del Vallès"/>
        <s v="Escúzar"/>
        <s v="OSUNA"/>
        <s v="Huesca"/>
        <s v="Leganes"/>
        <s v="LAS ROZAS DE MADRID"/>
        <s v="GETAFE"/>
        <s v="Helsinki"/>
        <s v="Dos Hermanas"/>
        <s v="Llucmajor"/>
        <s v="Martorell"/>
        <s v="Museros"/>
        <s v="Inca (Mallorca)"/>
        <s v="BEADE"/>
        <s v="Cornellà"/>
        <s v="Mollet del Valles"/>
        <s v="Casares"/>
        <s v="Mannheim"/>
        <s v="Ostfildern"/>
        <s v="Solingen"/>
        <s v="Munchen"/>
        <s v="London"/>
        <s v="Hannover"/>
        <s v="Vienna"/>
        <s v="Eysins"/>
        <s v="Bonn"/>
        <s v="Wiesbaden"/>
        <s v="Linz"/>
        <s v="Rottendorf"/>
        <s v="Vilsbiburg"/>
        <s v="Ratingen"/>
        <s v="Berlin"/>
        <s v="Albstadt"/>
        <s v="Plochingen"/>
        <s v="Paderborn"/>
        <s v="Schwaebisch Hall"/>
        <s v="Coburg"/>
        <s v="Remscheid"/>
        <s v="Meerbusch"/>
        <s v="Glattbrugg"/>
        <s v="Garbsen"/>
        <s v="Betzdorf"/>
        <s v="Owen"/>
        <s v="Winterthur"/>
        <s v="Krombach"/>
        <s v="Sant'Antonino"/>
        <s v="Garching"/>
        <s v="München"/>
        <s v="ST. GALLEN"/>
        <s v="Haibach"/>
        <s v="Köln"/>
        <s v="Pforzheim"/>
        <s v="Ingelfingen"/>
        <s v="Lodz"/>
        <s v="Hamburg"/>
        <s v="Krefeld"/>
        <s v="Neuss"/>
        <s v="Offenbach am Main"/>
        <s v="Wollerau"/>
        <s v="Hinwil"/>
        <s v="Pliening"/>
        <s v="Zürich"/>
        <s v="Lüneburg"/>
        <s v="Fulda"/>
        <s v="Bad Salzungen / OT Langenfeld"/>
        <s v="Wuppertal"/>
        <s v="Gæ´´ingen"/>
        <s v="Bietigheim-Bissingen"/>
        <s v="Stuttgart"/>
        <s v="Hornberg"/>
        <s v="Koln"/>
        <s v="Waldkirch"/>
        <s v="GENÈVE"/>
        <s v="Nice"/>
        <s v="BLAGNAC CEDEX"/>
        <s v="Neuilly sur Seine Cedex"/>
        <s v="LA ROCHE-SUR- YON"/>
        <s v="Oakland"/>
        <s v="Lannion"/>
        <s v="Villepinte"/>
        <s v="Vaux-sur-Mer"/>
        <s v="Montigny le Bretonneux"/>
        <s v="DUGNY"/>
        <s v="La Plaine"/>
        <s v="SEDAN CEDEX"/>
        <s v="Gambetta"/>
        <s v="TAMPA"/>
        <s v="ROUBAIX"/>
        <s v="Marignane"/>
        <s v="NOISY LE GRAND CEDEX"/>
        <s v="Villeneuve d'ascq"/>
        <s v="Nice Cedex 3"/>
        <s v="PARIS CEDEX 15"/>
        <s v="Woippy"/>
        <s v="Roissy"/>
        <s v="TOULOUSE"/>
        <s v="ROISSY CDG CEDEX"/>
        <s v="MULHOUSE"/>
        <s v="Aix-en-Provence"/>
        <s v="CARPENTRAS"/>
        <s v="Geneva"/>
        <s v="Mérignac"/>
        <s v="Bordeaux"/>
        <s v="CERGY PONTOISE"/>
        <s v="LA FERE"/>
        <s v="Saint-Omer"/>
        <s v="Mauleon"/>
        <s v="Castres"/>
        <s v="Charmeil"/>
        <s v="Marseille"/>
        <s v="Bagnolet"/>
        <s v="Saint-Germain-en-Laye"/>
        <s v="LA CIOTAT"/>
        <s v="Draveil"/>
        <s v="Bourg-Les-Valence"/>
        <s v="Rochechouart"/>
        <s v="ARQUES"/>
        <s v="Chatillon"/>
        <s v="Lille"/>
        <s v="Decize"/>
        <s v="Carcans"/>
        <s v="Saint-Aubin-les-Elbeuf"/>
        <s v="CEDEX"/>
        <s v="Tours"/>
        <s v="Chauray"/>
        <s v="Asnières sur seine"/>
        <s v="Provence-alpes-cote d'azur"/>
        <s v="Nanterre cedex"/>
        <s v="Grenoble"/>
        <s v="Courbevoie"/>
        <s v="Lyon"/>
        <s v="Rousseau"/>
        <s v="Plaisir"/>
        <s v="La Défense"/>
        <s v="Vias"/>
        <s v="Dax"/>
        <s v="Albi"/>
        <s v="Courbevoie Cedex"/>
        <s v="Frouard"/>
        <s v="Ile-de-France"/>
        <s v="Codolet"/>
        <s v="Duesseldorf"/>
        <s v="Karlruhe"/>
        <s v="Aachen"/>
        <s v="Esslingen"/>
        <s v="Wil"/>
        <s v="Melsungen"/>
        <s v="Munich"/>
        <s v="Stäfa"/>
        <s v="Weil am Rhein"/>
        <s v="Sarstedt"/>
        <s v="Geretsried"/>
        <s v="Freiburg im Breisgau"/>
        <s v="Muenchen"/>
        <s v="Neutraubling"/>
        <s v="Allendorf (Eder)"/>
        <s v="Künzelsau"/>
        <s v="Wien"/>
        <s v="Amstetten"/>
        <s v="Bruchsal"/>
        <s v="Graz"/>
        <s v="Hoechst"/>
        <s v="Aschheim"/>
        <s v="Bargteheide"/>
        <s v="Haselünne"/>
        <s v="Tangstedt"/>
        <s v="Haiger"/>
        <s v="Schæ®¥feld"/>
        <s v="Bayreuth"/>
        <s v="Lübeck-Travemünde"/>
        <s v="Siegburg"/>
        <s v="Biberach an der Riss"/>
        <s v="Bergheim"/>
        <s v="Iphofen"/>
        <s v="Velbert"/>
        <s v="Koblenz"/>
        <s v="SCHWECHAT"/>
        <s v="Karlsruhe"/>
        <s v="Martinsried/Munich"/>
        <s v="Hallbergmoos"/>
        <s v="Norderstedt"/>
        <s v="Rösrath"/>
        <s v="Rhede"/>
        <s v="Waldaschaff"/>
        <s v="Butzbach"/>
        <s v="Generva"/>
        <s v="Bern"/>
        <s v="Schwalmstadt - Trutzhain"/>
        <s v="Oberkochen"/>
        <s v="Essen"/>
        <s v="Dortmund"/>
        <s v="Freiberg am Neckar"/>
        <s v="Nürnberg"/>
        <s v="Taunusstein"/>
        <s v="Mainz"/>
        <s v="Gelnhausen"/>
        <s v="Marburg"/>
        <s v="Solothurn"/>
        <s v="Ludwigsburg"/>
        <s v="Erbach"/>
        <s v="Rastede"/>
        <s v="Achim"/>
        <s v="Bad Rodach"/>
        <s v="Bochum"/>
        <s v="Frankenthal (Pfalz)"/>
        <s v="Dierikon"/>
        <s v="Allmersbach im Tal"/>
        <s v="Neumarkt i.d.OPf."/>
        <s v="Frankfurt am Main"/>
        <s v="Darmstadt"/>
        <s v="Xanten"/>
        <s v="Hagen"/>
        <s v="Kleinmachnow-Dreilinden"/>
        <s v="Reutlingen"/>
        <s v="Bremen"/>
        <s v="Tamm"/>
        <s v="Heilsbronn"/>
        <s v="Duebendorf"/>
        <s v="Stadtlohn"/>
        <s v="Jena"/>
        <s v="Leipzig"/>
        <s v="Bad Waldsee"/>
        <s v="Oberschleißheim"/>
        <s v="Nortrup"/>
        <s v="Bad Bevensen"/>
        <s v="Garching bei Muenchen"/>
        <s v="Luwigsburg"/>
        <s v="Giessen"/>
        <s v="Frankfurt"/>
        <s v="Kolding"/>
        <s v="Martigny"/>
        <s v="Zurich"/>
        <s v="Deutsch Wagram"/>
        <s v="Rehau"/>
        <s v="Fribourg"/>
        <s v="Walldorf"/>
        <s v="Alsdorf"/>
        <s v="Augsburg"/>
        <s v="Niedernberg"/>
        <s v="Buus"/>
        <s v="Warendorf"/>
        <s v="Mülheim an der Ruhr"/>
        <s v="Bodenkirchen"/>
        <s v="Balzers"/>
        <s v="Ibbenbüren"/>
        <s v="Braunschweig"/>
        <s v="Blumberger dam"/>
        <s v="Luzern"/>
        <s v="Endingen"/>
        <s v="Georgsmarienhütte"/>
        <s v="Meschede-Grevenstein"/>
        <s v="Ahrensburg"/>
        <s v="Wendelstein"/>
        <s v="Gummersbach"/>
        <s v="Fichtenberg"/>
        <s v="Brunegg"/>
        <s v="Oberding"/>
        <s v="Düsseldorf"/>
        <s v="Saarbrücken"/>
        <s v="Sulingen"/>
        <s v="Bad Homburg"/>
        <s v="Cham"/>
        <s v="Oklahoma City"/>
        <s v="Eschborn"/>
        <s v="MUENSTER"/>
        <s v="Châtelaine"/>
        <s v="Gersthofen"/>
        <s v="Neu-Isenburg"/>
        <s v="Moringen"/>
        <s v="Kirchheim"/>
        <s v="Aerzen"/>
        <s v="Wals bei Salzburg"/>
        <s v="Unterschleißheim"/>
        <s v="Bielefeld"/>
        <s v="Lüdenscheid"/>
        <s v="Obertrubach-Geschwand"/>
        <s v="Rapperswil-Jona"/>
        <s v="Bad Neustadt"/>
        <s v="Bad Dürkheim"/>
        <s v="Nesselwang"/>
        <s v="Lamone"/>
        <s v="Offenburg"/>
        <s v="Herford"/>
        <s v="Hohentengen am Hochrhein"/>
        <s v="Handewitt"/>
        <s v="Rottenburg"/>
        <s v="Zug"/>
        <s v="Tübingen"/>
        <s v="Rosrath"/>
        <s v="Reinach"/>
        <s v="Möhnesee"/>
        <s v="Immenstadt"/>
        <s v="Kassel"/>
        <s v="Hanau"/>
        <s v="Konolfingen"/>
        <s v="Ahaus"/>
        <s v="PILL"/>
        <s v="Oldenburg"/>
        <s v="Walchwil"/>
        <s v="Rosenfeld"/>
        <s v="Schlitz"/>
        <s v="Ellwangen"/>
        <s v="Herisau"/>
        <s v="Freiburg"/>
        <s v="Premstaetten"/>
        <s v="Wels"/>
        <s v="Mulfingen"/>
        <s v="Igersheim"/>
        <s v="Kreuztal"/>
        <s v="Mainz-Kastel"/>
        <s v="Celle"/>
        <s v="Soltau"/>
        <s v="Leer"/>
        <s v="Lindlar"/>
        <s v="Hof"/>
        <s v="Moerfelden-Walldorf"/>
        <s v="Stolberg"/>
        <s v="Porta Westfalica"/>
        <s v="Leonding"/>
        <s v="Zofingen"/>
        <s v="Herrenberg"/>
        <s v="Unna"/>
        <s v="Friedberg"/>
        <s v="Selb"/>
        <s v="Falkensee"/>
        <s v="Jesteburg"/>
        <s v="Herne"/>
        <s v="TRAUN"/>
        <s v="Bremerhaven"/>
        <s v="Potsdam"/>
        <s v="Falkenstein"/>
        <s v="Dresden"/>
        <s v="Göttingen"/>
        <s v="Bad Fallingbos"/>
        <s v="Sande"/>
        <s v="Lauffen/Neckar"/>
        <s v="Nidda"/>
        <s v="Freising"/>
        <s v="Würselen"/>
        <s v="Pressath"/>
        <s v="Tilburg"/>
        <s v="Rudersberg"/>
        <s v="Südbrookmerland"/>
        <s v="Münster"/>
        <s v="Cologne"/>
        <s v="Gütersloh"/>
        <s v="Memmingen/ Allgäu"/>
        <s v="Holzminden"/>
        <s v="Koeln"/>
        <s v="Schwanau"/>
        <s v="Tettnang"/>
        <s v="Witten"/>
        <s v="Boudry"/>
        <s v="Duisburg"/>
        <s v="Brixlegg"/>
        <s v="Tuttlingen"/>
        <s v="Lustenau"/>
        <s v="Basel"/>
        <s v="Markdorf"/>
        <s v="Eppingen"/>
        <s v="Baar"/>
        <s v="Dürrenäsch"/>
        <s v="Warszawa"/>
        <s v="Sofia"/>
        <s v="Bucharest"/>
        <s v="Budapest"/>
        <s v="Prague"/>
        <s v="Nitra"/>
        <s v="Carros"/>
        <s v="Aix en Provence"/>
        <s v="Saint Jean de Luz"/>
        <s v="ORIGNY STE BENOITE"/>
        <s v="NEUILLY SUR SEINE"/>
        <s v="Villeneuve d'Acsq"/>
        <s v="PRINGY"/>
        <s v="VIROFLAY"/>
        <s v="Palaiseau"/>
        <s v="Rueil-Malmaison"/>
        <s v="ECHIROLLES"/>
        <s v="Montreuil"/>
        <s v="L'union"/>
        <s v="PLAN-LES-OUATES"/>
        <s v="REIMS"/>
        <s v="LEVALLOIS PERRET"/>
        <s v="SAINT OUEN"/>
        <s v="CLICHY"/>
        <s v="MONACO"/>
        <s v="Neuilly-sur-Seine"/>
        <s v="LONGJUMEAU CEDEX"/>
        <s v="Amberieu En Bugey"/>
        <s v="Chasseneuil du Poitou"/>
        <s v="PARIS CEDEX 19"/>
        <s v="Colombes"/>
        <s v="Sophia Antipolis"/>
        <s v="PUTEAUX"/>
        <s v="Cysoing"/>
        <s v="Champigny-sur-Marne"/>
        <s v="CHATEAULIN CEDEX"/>
        <s v="ST JACQUES DE LA LANDE"/>
        <s v="IVRY SUR SEINE"/>
        <s v="PECH LAROQUE"/>
        <s v="CHOLET"/>
        <s v="Villebon Sur Yvette"/>
        <s v="VILLENEUVE D ASCQ CEDEX"/>
        <s v="VILLENEUVE D ASCQ"/>
        <s v="ST DENIS"/>
        <s v="Metz"/>
        <s v="Perigeux"/>
        <s v="VERTOU CEDEX"/>
        <s v="Villeneuve sur Lot"/>
        <s v="Harsewinkel"/>
        <s v="Erfurt"/>
        <s v="Starnberg"/>
        <s v="San Martino di Lupari"/>
        <s v="ARZIGNANO"/>
        <s v="Chiasso"/>
        <s v="Bologna"/>
        <s v="Barga"/>
        <s v="SAN GIOVANNI IN MARIGNANO"/>
        <s v="Torino"/>
        <s v="Campo San Martino"/>
        <s v="Firenze"/>
        <s v="Faetano"/>
        <s v="Monte S.Pietrangeli"/>
        <s v="Bentivoglio"/>
        <s v="Novara"/>
        <s v="Carnago"/>
        <s v="Mirano"/>
        <s v="San Biagio di Callalta (TV)"/>
        <s v="Prato"/>
        <s v="Alba"/>
        <s v="Montano Lucino"/>
        <s v="Lonigo"/>
        <s v="Rimini"/>
        <s v="Sedico"/>
        <s v="Cassarate"/>
        <s v="SESTO FIORENTINO"/>
        <s v="Monza"/>
        <s v="Zola Predosa"/>
        <s v="Cinisello Balsamo"/>
        <s v="Castel di Casio"/>
        <s v="San Martino Trecate"/>
        <s v="FOGGIA FG"/>
        <s v="Bozen-Bolzano"/>
        <s v="Arco di Trento"/>
        <s v="La Spezia"/>
        <s v="Treviso"/>
        <s v="QUILIANO"/>
        <s v="Racine"/>
        <s v="Casalgrande"/>
        <s v="Catania"/>
        <s v="Crevalcore"/>
        <n v="36100"/>
        <s v="San Polo Piave"/>
        <s v="(BERGAMO) CENATE SOTTO"/>
        <s v="Bergamo"/>
        <s v="Povolaro di Dueville"/>
        <s v="Guastalla"/>
        <s v="Lentate Sul Seveso"/>
        <s v="Perugia"/>
        <s v="CORCIANO"/>
        <s v="Fossalta di portogruaro"/>
        <s v="BRUGINE"/>
        <s v="Pilastro"/>
        <s v="CORREGGIO (RE)"/>
        <s v="Gazoldo Ippoliti"/>
        <s v="Villanova d'Asti"/>
        <s v="CESSALTO"/>
        <s v="Orfengo"/>
        <s v="Rome"/>
        <s v="Villanova di Prata"/>
        <s v="CUNEO"/>
        <s v="Conselice"/>
        <s v="RONCADELLE"/>
        <s v="Umbertide"/>
        <s v="Trento"/>
        <s v="Fontaneto D'Agogna"/>
        <s v="Empoli"/>
        <s v="Vinovo"/>
        <s v="Arese"/>
        <s v="Bertinoro"/>
        <s v="S.Domenico di Fiesole (FI)"/>
        <s v="San Domenico di Fiesole"/>
        <s v="Dello (Brescia)"/>
        <s v="ANZOLA DELL'EMILIA"/>
        <s v="Viareggio"/>
        <s v="Saluggia"/>
        <s v="Cadriano Di Granarolo dell?Emilia"/>
        <s v="Genova"/>
        <s v="Pisa"/>
        <s v="Verona"/>
        <s v="SAN MARINO DI RSM"/>
        <s v="Lecce"/>
        <s v="Veggiano"/>
        <s v="Coenzo di Sorbolo"/>
        <s v="Padova"/>
        <s v="FABRIANO"/>
        <s v="Limena"/>
        <s v="Ponte di Pave"/>
        <s v="Biancade"/>
        <s v="Monza ? MB"/>
        <n v="20145"/>
        <s v="AVIGLIANA"/>
        <s v="MODENA"/>
        <s v="Collegno"/>
        <s v="Lainate"/>
        <s v="Pianoro"/>
        <s v="POGLIANO MILANESE"/>
        <s v="Pieve d'Alpago"/>
        <s v="GALLESE"/>
        <s v="Catelletto Stura"/>
        <s v="Monopoli (BA)"/>
        <s v="Porto Mantovano"/>
        <s v="Forlì"/>
        <s v="Francofonte"/>
        <s v="INDUNO OLONA"/>
        <s v="LAVAGNA"/>
        <s v="Pisa - Loc. Ospedaletto"/>
        <s v="Seregno"/>
        <s v="Lumezzane"/>
        <s v="Barletta"/>
        <s v="SAN MARCO EVANGELISTA"/>
        <s v="Arezzo"/>
        <s v="Venezia"/>
        <s v="Calderara di Reno"/>
        <s v="Rescaldina"/>
        <s v="MANTOVA"/>
        <s v="Campodarsego"/>
        <s v="Nova Milanese"/>
        <s v="VALBREMBO"/>
        <s v="VALSAMOGGIA"/>
        <s v="Lido di Ostia"/>
        <s v="Osio Sotto"/>
        <s v="Moncalieri"/>
        <s v="Montalcino"/>
        <n v="20864"/>
        <s v="San Giovanni Lupatoto"/>
        <s v="Milan"/>
        <s v="Gallarate"/>
        <s v="Carpi"/>
        <s v="CARPIANO"/>
        <s v="S. Defendente di Cervasca"/>
        <s v="Pesaro"/>
        <s v="Dosson di Casier"/>
        <s v="Budrio"/>
        <s v="Montecchio Maggiore"/>
        <s v="Bovezzo"/>
        <s v="Sarego"/>
        <s v="Castello di Godego"/>
        <s v="Garbagnate Mil.se"/>
        <s v="Sandrigo"/>
        <s v="Palermo"/>
        <s v="Pordenone"/>
        <s v="Ancona"/>
        <s v="Fire"/>
        <s v="FORLI"/>
        <s v="Vicenza"/>
        <s v="San Cesareo"/>
        <s v="Aosta"/>
        <s v="Castellarano"/>
        <s v="Legnago"/>
        <s v="Calvisano"/>
        <s v="Rovetta"/>
        <s v="Chiuppano"/>
        <s v="Brescello"/>
        <s v="Navacchio"/>
        <s v="Bosaro"/>
        <s v="LONGARONE"/>
        <s v="Camisano Vicentino"/>
        <s v="Trezzo Sull'Adda"/>
        <s v="MONASTIER DI TREVISO"/>
        <s v="Mozzate"/>
        <s v="Piossasco"/>
        <s v="Aci Castello"/>
        <s v="Rivoli Cascine Vica"/>
        <s v="Santeramo in Colle"/>
        <s v="Casale Monferrato"/>
        <s v="RICCO' DEL GOLFO DI SPEZIA"/>
        <s v="RAVENNA"/>
        <s v="Osoppo"/>
        <s v="Novellara"/>
        <s v="Grassobbio"/>
        <s v="san donato milanese"/>
        <s v="Volpiano"/>
        <s v="Pescara"/>
        <s v="Asolo"/>
        <s v="Scorzè"/>
        <s v="CERNUSCO SUL NAVIGLIO"/>
        <s v="Vimercate"/>
        <s v="San Vendemiano (TV)"/>
        <s v="Albino"/>
        <s v="Minerbio"/>
        <s v="Morrovalle"/>
        <s v="CASTEL D'AZZANO"/>
        <s v="Vittorio Veneto"/>
        <s v="Bra"/>
        <s v="CASTIGLION FIORENTINO"/>
        <s v="SANTA MARIA DI SALA"/>
        <s v="Civitanova Marche"/>
        <s v="Sassuolo"/>
        <s v="Porto Recanati"/>
        <s v="Leggiuno"/>
        <s v="BOLZANO"/>
        <s v="Spinetta M.go"/>
        <s v="Spinea"/>
        <s v="Ospitaletto"/>
        <s v="Faenza (RA)"/>
        <s v="Borghetto Borbera"/>
        <s v="COCCONATO"/>
        <s v="Caselette"/>
        <s v="Brunico"/>
        <s v="ABANO TERME"/>
        <s v="Sant'Ilario d'Enza"/>
        <s v="Imola"/>
        <s v="Rozzano"/>
        <s v="Bologno"/>
        <s v="INVERIGO"/>
        <s v="Auna di Sotto/Renon"/>
        <s v="MAJANO"/>
        <s v="Lucrezia di Cartoceto"/>
        <s v="PULA"/>
        <s v="Anzola Emilia"/>
        <s v="Jesi"/>
        <s v="Calcinate"/>
        <s v="Viadana"/>
        <s v="Calenzano"/>
        <s v="Lippo di Calderara di Reno"/>
        <s v="Bagnolo in piano"/>
        <s v="SALA BAGANZA"/>
        <s v="San Lazzaro di Savena"/>
        <s v="Marostica"/>
        <s v="Perugia PG"/>
        <s v="Livorno"/>
        <s v="Provaglio d'Iseo"/>
        <s v="CASTELLETTO SOPRA TICINO"/>
        <s v="Villa del Conte"/>
        <s v="REGGIO EMILIA"/>
        <s v="Castelvetro di Modena"/>
        <s v="Rubiera"/>
        <s v="CANELLI"/>
        <s v="CHERASCO"/>
        <s v="Trieste"/>
        <s v="Corato"/>
        <s v="Pontecchio Marconi"/>
        <s v="Ivrea"/>
        <s v="FORLI'"/>
        <s v="Angri"/>
        <s v="Pian di Macina"/>
        <s v="Cesena"/>
        <s v="San Martino"/>
        <s v="?Ravenna"/>
        <s v="Baranzate"/>
        <s v="Capua"/>
        <s v="Sesto di Rastignano Pianoro"/>
        <s v="Vado Ligure"/>
        <s v="Sarmeola"/>
        <s v="San Mauro Pascoli"/>
        <s v="Serravalle"/>
        <s v="Gaggio Montano"/>
        <s v="Avellino"/>
        <s v="Altavilla Vicentina"/>
        <s v="Colleferro"/>
        <s v="Cremona"/>
        <s v="Ascoli Piceno"/>
        <s v="Casella d'Asolo"/>
        <s v="Tagliuno di Castelli Calepio"/>
        <s v="FunoArgelato"/>
        <s v="Permumia"/>
        <s v="Ozzano dell'Emilia"/>
        <s v="Castel Guelfo"/>
        <s v="Suzzara"/>
        <s v="Cittadella"/>
        <s v="Marsango di Campo San Martino"/>
        <s v="Venezia-Marghera"/>
        <s v="Santa Margherita d'Adige"/>
        <n v="35010"/>
        <s v="San Vendemiano"/>
        <s v="Legnaro"/>
        <s v="Collecchio"/>
        <s v="Chieri"/>
        <s v="Bresso"/>
      </sharedItems>
    </cacheField>
    <cacheField name="Potential Business" numFmtId="0">
      <sharedItems containsString="0" containsBlank="1" containsNumber="1" containsInteger="1" minValue="23061" maxValue="30000000"/>
    </cacheField>
    <cacheField name="Opportunity Start date" numFmtId="0">
      <sharedItems containsDate="1" containsMixedTypes="1" minDate="2021-02-06T00:00:00" maxDate="2023-11-03T00:00:00"/>
    </cacheField>
    <cacheField name="Revenue Amount" numFmtId="0">
      <sharedItems containsSemiMixedTypes="0" containsString="0" containsNumber="1" containsInteger="1" minValue="0" maxValue="211474"/>
    </cacheField>
    <cacheField name="Opportunity Close Date" numFmtId="0">
      <sharedItems containsDate="1" containsMixedTypes="1" minDate="2021-01-08T00:00:00" maxDate="2023-08-06T00:00:00"/>
    </cacheField>
    <cacheField name="Quarter and Year wrt Close date" numFmtId="0">
      <sharedItems count="10">
        <s v="Q1 2022"/>
        <s v="Q4 2022"/>
        <s v="Q1 2023"/>
        <s v="Q3 2022"/>
        <s v="Q2 2022"/>
        <s v="Q1 2021"/>
        <s v="Q3 2021"/>
        <s v="Q3 2023"/>
        <s v="Q4 2021"/>
        <s v="Q2 2023"/>
      </sharedItems>
    </cacheField>
    <cacheField name="Column1" numFmtId="0">
      <sharedItems containsBlank="1"/>
    </cacheField>
    <cacheField name="Column13" numFmtId="0">
      <sharedItems containsBlank="1"/>
    </cacheField>
    <cacheField name="Column14" numFmtId="0">
      <sharedItems containsString="0" containsBlank="1" containsNumber="1" minValue="11.32360342224459" maxValue="2631437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6">
  <r>
    <s v="Antai Venture Builder"/>
    <x v="0"/>
    <s v="No growth Potential"/>
    <x v="0"/>
    <x v="0"/>
    <s v="Barcelona"/>
    <n v="116997"/>
    <s v="13-03-2022"/>
    <n v="0"/>
    <d v="2022-02-04T00:00:00"/>
  </r>
  <r>
    <s v="Grupo LoMonaco"/>
    <x v="0"/>
    <s v="No growth Potential"/>
    <x v="0"/>
    <x v="0"/>
    <s v="Peligros"/>
    <n v="143588"/>
    <d v="2022-03-10T00:00:00"/>
    <n v="0"/>
    <d v="2022-02-12T00:00:00"/>
  </r>
  <r>
    <s v="WEB IDEIAS - SERVICOS DE INTERNET SOCIEDADE UNIPESSOAL LDA"/>
    <x v="1"/>
    <s v="High Growth potential"/>
    <x v="0"/>
    <x v="1"/>
    <s v="Vila das Aves"/>
    <n v="61002"/>
    <d v="2022-01-11T00:00:00"/>
    <n v="12200"/>
    <d v="2022-11-11T00:00:00"/>
  </r>
  <r>
    <s v="Simon S.A."/>
    <x v="0"/>
    <s v="No growth Potential"/>
    <x v="0"/>
    <x v="0"/>
    <s v="Barcelona"/>
    <n v="109980"/>
    <s v="23-10-2022"/>
    <n v="0"/>
    <d v="2022-02-11T00:00:00"/>
  </r>
  <r>
    <s v="Civitatis"/>
    <x v="1"/>
    <s v="High Growth potential"/>
    <x v="0"/>
    <x v="0"/>
    <s v="Madrid"/>
    <n v="106526"/>
    <d v="2022-02-09T00:00:00"/>
    <n v="53263"/>
    <d v="2022-02-10T00:00:00"/>
  </r>
  <r>
    <s v="AJUNTAMENT DE TARRAGONA"/>
    <x v="0"/>
    <s v="No growth Potential"/>
    <x v="0"/>
    <x v="0"/>
    <s v="Tarragona"/>
    <n v="70969"/>
    <s v="13-09-2022"/>
    <n v="0"/>
    <d v="2022-02-11T00:00:00"/>
  </r>
  <r>
    <s v="KAVE HOME"/>
    <x v="0"/>
    <s v="No growth Potential"/>
    <x v="0"/>
    <x v="0"/>
    <s v="GIRONA"/>
    <n v="100034"/>
    <d v="2022-03-12T00:00:00"/>
    <n v="0"/>
    <d v="2023-02-01T00:00:00"/>
  </r>
  <r>
    <s v="Camara Municipal de Cascais"/>
    <x v="0"/>
    <s v="No growth Potential"/>
    <x v="0"/>
    <x v="1"/>
    <s v="Cascais"/>
    <n v="107069"/>
    <s v="21-10-2022"/>
    <n v="0"/>
    <s v="20-11-2022"/>
  </r>
  <r>
    <s v="MERCEDES BENZ ESPANA S.A"/>
    <x v="0"/>
    <s v="No growth Potential"/>
    <x v="0"/>
    <x v="0"/>
    <s v="ALCOBENDAS"/>
    <n v="143517"/>
    <s v="13-10-2022"/>
    <n v="0"/>
    <d v="2022-02-11T00:00:00"/>
  </r>
  <r>
    <s v="Vilau Media"/>
    <x v="0"/>
    <s v="No growth Potential"/>
    <x v="0"/>
    <x v="0"/>
    <s v="Erandio"/>
    <n v="58504"/>
    <s v="24-08-2022"/>
    <n v="0"/>
    <d v="2022-02-11T00:00:00"/>
  </r>
  <r>
    <s v="Genetsis &amp; Partners S.A."/>
    <x v="0"/>
    <s v="No growth Potential"/>
    <x v="0"/>
    <x v="0"/>
    <s v="ALCOBENDAS"/>
    <n v="95966"/>
    <s v="23-10-2022"/>
    <n v="0"/>
    <d v="2022-02-11T00:00:00"/>
  </r>
  <r>
    <s v="Gobierno de Portugal"/>
    <x v="0"/>
    <s v="No growth Potential"/>
    <x v="0"/>
    <x v="1"/>
    <s v="TBD"/>
    <n v="54725"/>
    <s v="23-10-2022"/>
    <n v="0"/>
    <d v="2022-02-11T00:00:00"/>
  </r>
  <r>
    <s v="PUERTOS DEL ESTADO"/>
    <x v="0"/>
    <s v="High Growth potential"/>
    <x v="0"/>
    <x v="0"/>
    <s v="Madrid"/>
    <n v="147868"/>
    <s v="19-09-2022"/>
    <n v="0"/>
    <d v="2022-08-11T00:00:00"/>
  </r>
  <r>
    <s v="PRA Iberia"/>
    <x v="0"/>
    <s v="No growth Potential"/>
    <x v="0"/>
    <x v="0"/>
    <s v="Madrid"/>
    <n v="112714"/>
    <s v="22-12-2022"/>
    <n v="0"/>
    <d v="2023-02-03T00:00:00"/>
  </r>
  <r>
    <s v="INSTITUTO DE MURCIA"/>
    <x v="0"/>
    <s v="No growth Potential"/>
    <x v="0"/>
    <x v="0"/>
    <s v="Murcia"/>
    <n v="74208"/>
    <s v="19-02-2022"/>
    <n v="0"/>
    <s v="20-04-2022"/>
  </r>
  <r>
    <s v="Multiestetica"/>
    <x v="0"/>
    <s v="No growth Potential"/>
    <x v="0"/>
    <x v="0"/>
    <s v="TBD"/>
    <n v="90068"/>
    <d v="2022-03-09T00:00:00"/>
    <n v="0"/>
    <d v="2022-02-11T00:00:00"/>
  </r>
  <r>
    <s v="Defensor del Pueblo"/>
    <x v="1"/>
    <s v="Medium Growth"/>
    <x v="0"/>
    <x v="0"/>
    <s v="Madrid"/>
    <n v="80085"/>
    <d v="2022-01-10T00:00:00"/>
    <n v="40042"/>
    <s v="20-11-2022"/>
  </r>
  <r>
    <s v="INFOJOBS S.A."/>
    <x v="0"/>
    <s v="No growth Potential"/>
    <x v="0"/>
    <x v="0"/>
    <s v="Barcelona"/>
    <n v="157857"/>
    <s v="24-08-2022"/>
    <n v="0"/>
    <d v="2022-02-11T00:00:00"/>
  </r>
  <r>
    <s v="COSTAISA"/>
    <x v="0"/>
    <s v="No growth Potential"/>
    <x v="0"/>
    <x v="0"/>
    <s v="Barcelona"/>
    <n v="88677"/>
    <s v="23-10-2022"/>
    <n v="0"/>
    <d v="2022-02-11T00:00:00"/>
  </r>
  <r>
    <s v="CTT Correios"/>
    <x v="0"/>
    <s v="No growth Potential"/>
    <x v="0"/>
    <x v="1"/>
    <s v="Oporto"/>
    <n v="203793"/>
    <d v="2022-03-09T00:00:00"/>
    <n v="0"/>
    <d v="2022-02-11T00:00:00"/>
  </r>
  <r>
    <s v="ServoTIC"/>
    <x v="0"/>
    <s v="No growth Potential"/>
    <x v="0"/>
    <x v="0"/>
    <s v="Madrid"/>
    <n v="55037"/>
    <s v="23-10-2022"/>
    <n v="0"/>
    <d v="2022-02-11T00:00:00"/>
  </r>
  <r>
    <s v="ATRAPALO S.L."/>
    <x v="1"/>
    <s v="High Growth potential"/>
    <x v="0"/>
    <x v="0"/>
    <s v="Barcelona"/>
    <n v="106786"/>
    <s v="19-10-2022"/>
    <n v="53393"/>
    <d v="2022-08-11T00:00:00"/>
  </r>
  <r>
    <s v="Customs &amp; Global Trade at Caro Jaume &amp; Partners"/>
    <x v="0"/>
    <s v="No growth Potential"/>
    <x v="0"/>
    <x v="0"/>
    <s v="Madrid"/>
    <n v="83160"/>
    <d v="2023-11-01T00:00:00"/>
    <n v="0"/>
    <d v="2023-02-03T00:00:00"/>
  </r>
  <r>
    <s v="Roca Corporacion Empresarial S.A."/>
    <x v="1"/>
    <s v="Medium Growth"/>
    <x v="0"/>
    <x v="0"/>
    <s v="Barcelona"/>
    <n v="137608"/>
    <s v="31-03-2022"/>
    <n v="9829"/>
    <s v="20-04-2022"/>
  </r>
  <r>
    <s v="LACTALIS PULEVA S.L"/>
    <x v="0"/>
    <s v="No growth Potential"/>
    <x v="0"/>
    <x v="0"/>
    <s v="Granada"/>
    <n v="157835"/>
    <s v="23-09-2022"/>
    <n v="0"/>
    <d v="2022-02-11T00:00:00"/>
  </r>
  <r>
    <s v="GRUPO COREN"/>
    <x v="0"/>
    <s v="High Growth potential"/>
    <x v="0"/>
    <x v="0"/>
    <s v="Arrabaldo"/>
    <n v="187470"/>
    <s v="23-10-2022"/>
    <n v="0"/>
    <d v="2022-02-11T00:00:00"/>
  </r>
  <r>
    <s v="Transportes Boyaca S.L."/>
    <x v="0"/>
    <s v="High Growth potential"/>
    <x v="0"/>
    <x v="0"/>
    <s v="TBD"/>
    <n v="102196"/>
    <s v="20-02-2022"/>
    <n v="0"/>
    <d v="2022-02-03T00:00:00"/>
  </r>
  <r>
    <s v="AXPE CONSULTING"/>
    <x v="0"/>
    <s v="High Growth potential"/>
    <x v="0"/>
    <x v="0"/>
    <s v="TBD"/>
    <n v="100539"/>
    <s v="13-10-2022"/>
    <n v="0"/>
    <d v="2022-02-11T00:00:00"/>
  </r>
  <r>
    <s v="BÓBOLI"/>
    <x v="0"/>
    <s v="No growth Potential"/>
    <x v="0"/>
    <x v="0"/>
    <s v="Llinars del Valles"/>
    <n v="76925"/>
    <s v="24-08-2022"/>
    <n v="0"/>
    <d v="2022-02-11T00:00:00"/>
  </r>
  <r>
    <s v="Modasystem srl"/>
    <x v="0"/>
    <s v="No growth Potential"/>
    <x v="0"/>
    <x v="2"/>
    <s v="BASSANO DEL GRAPPA"/>
    <n v="110085"/>
    <s v="23-03-2022"/>
    <n v="0"/>
    <d v="2022-02-04T00:00:00"/>
  </r>
  <r>
    <s v="Imaste IPS"/>
    <x v="0"/>
    <s v="No growth Potential"/>
    <x v="0"/>
    <x v="0"/>
    <s v="TBD"/>
    <n v="83580"/>
    <d v="2022-10-02T00:00:00"/>
    <n v="0"/>
    <d v="2022-02-03T00:00:00"/>
  </r>
  <r>
    <s v="PARQUE DE ATRACCIONES MADRID SA"/>
    <x v="0"/>
    <s v="No growth Potential"/>
    <x v="0"/>
    <x v="0"/>
    <s v="Madrid"/>
    <m/>
    <s v="23-10-2022"/>
    <n v="0"/>
    <d v="2022-02-11T00:00:00"/>
  </r>
  <r>
    <s v="Fundacion Tripartita"/>
    <x v="0"/>
    <s v="High Growth potential"/>
    <x v="0"/>
    <x v="0"/>
    <s v="Madrid"/>
    <n v="42045"/>
    <s v="13-03-2022"/>
    <n v="0"/>
    <d v="2022-02-05T00:00:00"/>
  </r>
  <r>
    <s v="Optimus Zero SA (OPTIZE)"/>
    <x v="0"/>
    <s v="No growth Potential"/>
    <x v="0"/>
    <x v="0"/>
    <s v="Madrid"/>
    <n v="72988"/>
    <s v="23-09-2022"/>
    <n v="0"/>
    <d v="2022-02-11T00:00:00"/>
  </r>
  <r>
    <s v="CAP GEMINI ESPA?A S.A."/>
    <x v="0"/>
    <s v="No growth Potential"/>
    <x v="0"/>
    <x v="0"/>
    <s v="Madrid"/>
    <n v="203733"/>
    <d v="2022-03-10T00:00:00"/>
    <n v="0"/>
    <d v="2022-02-11T00:00:00"/>
  </r>
  <r>
    <s v="CONGRESO DE LOS DIPUTADOS"/>
    <x v="1"/>
    <s v="Medium Growth"/>
    <x v="0"/>
    <x v="0"/>
    <s v="Madrid"/>
    <n v="172921"/>
    <d v="2022-09-09T00:00:00"/>
    <n v="9607"/>
    <d v="2022-08-11T00:00:00"/>
  </r>
  <r>
    <s v="Amb Molt d' Encert S.L"/>
    <x v="0"/>
    <s v="No growth Potential"/>
    <x v="0"/>
    <x v="0"/>
    <s v="TBD"/>
    <n v="56858"/>
    <s v="23-10-2022"/>
    <n v="0"/>
    <d v="2022-02-11T00:00:00"/>
  </r>
  <r>
    <s v="GERMAINE DE CAPUCCINI"/>
    <x v="0"/>
    <s v="No growth Potential"/>
    <x v="0"/>
    <x v="0"/>
    <s v="ALCOY/ALCOI"/>
    <n v="76983"/>
    <s v="22-09-2022"/>
    <n v="0"/>
    <d v="2022-02-10T00:00:00"/>
  </r>
  <r>
    <s v="Woyre"/>
    <x v="0"/>
    <s v="No growth Potential"/>
    <x v="0"/>
    <x v="0"/>
    <s v="TBD"/>
    <n v="43881"/>
    <d v="2022-03-10T00:00:00"/>
    <n v="0"/>
    <d v="2022-02-11T00:00:00"/>
  </r>
  <r>
    <s v="Gecesa Cajamadrid"/>
    <x v="0"/>
    <s v="Medium Growth"/>
    <x v="0"/>
    <x v="0"/>
    <s v="Madrid"/>
    <n v="88013"/>
    <s v="23-11-2022"/>
    <n v="0"/>
    <d v="2023-02-01T00:00:00"/>
  </r>
  <r>
    <s v="My Crypto Bot"/>
    <x v="0"/>
    <s v="Medium Growth"/>
    <x v="0"/>
    <x v="0"/>
    <s v="TBD"/>
    <n v="92126"/>
    <d v="2022-11-10T00:00:00"/>
    <n v="0"/>
    <s v="20-11-2022"/>
  </r>
  <r>
    <s v="Venca (C.I.F.D.S.A)"/>
    <x v="0"/>
    <s v="No growth Potential"/>
    <x v="0"/>
    <x v="0"/>
    <s v="Vilanova I La Geltru"/>
    <n v="106692"/>
    <s v="24-08-2022"/>
    <n v="0"/>
    <d v="2022-02-11T00:00:00"/>
  </r>
  <r>
    <s v="AYUNTAMIENTO DE GIJON"/>
    <x v="0"/>
    <s v="No growth Potential"/>
    <x v="0"/>
    <x v="0"/>
    <s v="GIJON"/>
    <n v="133858"/>
    <s v="23-09-2022"/>
    <n v="0"/>
    <d v="2022-02-11T00:00:00"/>
  </r>
  <r>
    <s v="Ayuntamiento de Madrid"/>
    <x v="1"/>
    <s v="Medium Growth"/>
    <x v="0"/>
    <x v="0"/>
    <s v="Madrid"/>
    <n v="368455"/>
    <s v="13-09-2022"/>
    <n v="46057"/>
    <d v="2022-02-11T00:00:00"/>
  </r>
  <r>
    <s v="Iberojet"/>
    <x v="0"/>
    <s v="No growth Potential"/>
    <x v="0"/>
    <x v="0"/>
    <s v="PALMA"/>
    <n v="107211"/>
    <s v="13-09-2022"/>
    <n v="0"/>
    <d v="2022-02-11T00:00:00"/>
  </r>
  <r>
    <s v="Azbil Telstar Technologies S.L.U."/>
    <x v="0"/>
    <s v="No growth Potential"/>
    <x v="0"/>
    <x v="0"/>
    <s v="TERRASSA"/>
    <n v="115087"/>
    <d v="2022-09-09T00:00:00"/>
    <n v="0"/>
    <d v="2022-08-11T00:00:00"/>
  </r>
  <r>
    <s v="AYUNTAMIENTO DE ARANJUEZ"/>
    <x v="0"/>
    <s v="No growth Potential"/>
    <x v="0"/>
    <x v="0"/>
    <s v="Aranjuez"/>
    <n v="104166"/>
    <d v="2023-01-01T00:00:00"/>
    <n v="0"/>
    <d v="2023-02-03T00:00:00"/>
  </r>
  <r>
    <s v="Lamas Bolaño"/>
    <x v="0"/>
    <s v="No growth Potential"/>
    <x v="0"/>
    <x v="0"/>
    <s v="TBD"/>
    <n v="143497"/>
    <s v="21-03-2022"/>
    <n v="0"/>
    <s v="20-04-2022"/>
  </r>
  <r>
    <s v="Luis Simoes"/>
    <x v="0"/>
    <s v="No growth Potential"/>
    <x v="0"/>
    <x v="1"/>
    <s v="CARREGADO"/>
    <n v="127427"/>
    <d v="2022-03-10T00:00:00"/>
    <n v="0"/>
    <d v="2022-02-11T00:00:00"/>
  </r>
  <r>
    <s v="Consum Sociedad Cooperativa Valenciana"/>
    <x v="0"/>
    <s v="No growth Potential"/>
    <x v="0"/>
    <x v="0"/>
    <s v="Silla"/>
    <n v="355370"/>
    <s v="13-01-2023"/>
    <n v="0"/>
    <d v="2023-02-02T00:00:00"/>
  </r>
  <r>
    <s v="GRUPO IFA"/>
    <x v="0"/>
    <s v="No growth Potential"/>
    <x v="0"/>
    <x v="0"/>
    <s v="ALCOBENDAS"/>
    <n v="191190"/>
    <s v="24-08-2022"/>
    <n v="0"/>
    <d v="2022-02-11T00:00:00"/>
  </r>
  <r>
    <s v="Silgan Dispensing Systems Barcelona SL"/>
    <x v="0"/>
    <s v="No growth Potential"/>
    <x v="0"/>
    <x v="0"/>
    <s v="Barcelona"/>
    <n v="209817"/>
    <s v="23-03-2022"/>
    <n v="0"/>
    <d v="2022-02-05T00:00:00"/>
  </r>
  <r>
    <s v="Colomer Escuela náutica"/>
    <x v="0"/>
    <s v="No growth Potential"/>
    <x v="0"/>
    <x v="0"/>
    <s v="Cabo de Palos"/>
    <n v="49625"/>
    <s v="21-01-2023"/>
    <n v="0"/>
    <d v="2023-02-03T00:00:00"/>
  </r>
  <r>
    <s v="Safelayer"/>
    <x v="0"/>
    <s v="No growth Potential"/>
    <x v="0"/>
    <x v="0"/>
    <s v="Madrid"/>
    <n v="101488"/>
    <s v="14-12-2021"/>
    <n v="0"/>
    <d v="2022-02-02T00:00:00"/>
  </r>
  <r>
    <s v="IRIUM NETWORKS S.L."/>
    <x v="0"/>
    <s v="No growth Potential"/>
    <x v="0"/>
    <x v="0"/>
    <s v="Barcelona"/>
    <n v="101400"/>
    <s v="23-09-2022"/>
    <n v="0"/>
    <d v="2022-02-11T00:00:00"/>
  </r>
  <r>
    <s v="Liz Online"/>
    <x v="0"/>
    <s v="No growth Potential"/>
    <x v="0"/>
    <x v="1"/>
    <s v="TBD"/>
    <n v="67715"/>
    <s v="23-10-2022"/>
    <n v="0"/>
    <d v="2022-02-11T00:00:00"/>
  </r>
  <r>
    <s v="UNIVERSIDAD DE LA IGLESIA DE DEUSTO"/>
    <x v="1"/>
    <s v="High Growth potential"/>
    <x v="0"/>
    <x v="0"/>
    <s v="BILBAO"/>
    <n v="80523"/>
    <s v="24-09-2022"/>
    <n v="26841"/>
    <s v="23-11-2022"/>
  </r>
  <r>
    <s v="Posicionamiento natural"/>
    <x v="0"/>
    <s v="No growth Potential"/>
    <x v="0"/>
    <x v="0"/>
    <s v="TBD"/>
    <n v="67742"/>
    <s v="24-07-2022"/>
    <n v="0"/>
    <d v="2022-02-09T00:00:00"/>
  </r>
  <r>
    <s v="NTR"/>
    <x v="0"/>
    <s v="No growth Potential"/>
    <x v="0"/>
    <x v="0"/>
    <s v="A CORUNA"/>
    <n v="96217"/>
    <s v="13-10-2022"/>
    <n v="0"/>
    <d v="2022-02-11T00:00:00"/>
  </r>
  <r>
    <s v="Emagister"/>
    <x v="0"/>
    <s v="No growth Potential"/>
    <x v="0"/>
    <x v="0"/>
    <s v="Sant Cugat del Valles"/>
    <n v="90293"/>
    <d v="2022-11-01T00:00:00"/>
    <n v="0"/>
    <d v="2022-02-03T00:00:00"/>
  </r>
  <r>
    <s v="Aena"/>
    <x v="1"/>
    <s v="Medium Growth"/>
    <x v="0"/>
    <x v="0"/>
    <s v="Madrid"/>
    <n v="270429"/>
    <s v="24-03-2022"/>
    <n v="135215"/>
    <s v="23-04-2022"/>
  </r>
  <r>
    <s v="Mellerbrand"/>
    <x v="0"/>
    <s v="No growth Potential"/>
    <x v="0"/>
    <x v="0"/>
    <s v="Barcelona"/>
    <n v="63020"/>
    <s v="24-07-2022"/>
    <n v="0"/>
    <d v="2022-02-09T00:00:00"/>
  </r>
  <r>
    <s v="GRUPO DANOBAT"/>
    <x v="0"/>
    <s v="No growth Potential"/>
    <x v="0"/>
    <x v="0"/>
    <s v="ELGOIBAR"/>
    <n v="71125"/>
    <s v="13-10-2022"/>
    <n v="0"/>
    <d v="2022-02-11T00:00:00"/>
  </r>
  <r>
    <s v="BitBan Technologies S.L."/>
    <x v="0"/>
    <s v="No growth Potential"/>
    <x v="0"/>
    <x v="0"/>
    <s v="Madrid"/>
    <n v="48820"/>
    <s v="21-02-2022"/>
    <n v="0"/>
    <d v="2022-02-05T00:00:00"/>
  </r>
  <r>
    <s v="Gestion de Publicaciones y Publicidad"/>
    <x v="0"/>
    <s v="No growth Potential"/>
    <x v="0"/>
    <x v="0"/>
    <s v="Madrid"/>
    <n v="118761"/>
    <s v="23-05-2023"/>
    <n v="0"/>
    <d v="2023-02-06T00:00:00"/>
  </r>
  <r>
    <s v="Trans-Fast Financial Services S.A."/>
    <x v="0"/>
    <s v="No growth Potential"/>
    <x v="0"/>
    <x v="0"/>
    <s v="TBD"/>
    <n v="74208"/>
    <d v="2022-01-01T00:00:00"/>
    <n v="0"/>
    <d v="2022-02-03T00:00:00"/>
  </r>
  <r>
    <s v="Lextrend"/>
    <x v="0"/>
    <s v="No growth Potential"/>
    <x v="0"/>
    <x v="0"/>
    <s v="Madrid"/>
    <n v="62337"/>
    <s v="13-10-2022"/>
    <n v="0"/>
    <d v="2022-02-11T00:00:00"/>
  </r>
  <r>
    <s v="Ayuntamiento de Villarana"/>
    <x v="0"/>
    <s v="No growth Potential"/>
    <x v="0"/>
    <x v="0"/>
    <s v="Vallirana"/>
    <n v="143588"/>
    <s v="23-04-2022"/>
    <n v="0"/>
    <d v="2022-02-06T00:00:00"/>
  </r>
  <r>
    <s v="Mutua Montanesa"/>
    <x v="0"/>
    <s v="No growth Potential"/>
    <x v="0"/>
    <x v="0"/>
    <s v="Santander"/>
    <n v="61002"/>
    <d v="2022-03-03T00:00:00"/>
    <n v="0"/>
    <d v="2022-02-05T00:00:00"/>
  </r>
  <r>
    <s v="Red Inmobiliarias Asturianas (AF Grupo Publicidad y Comunicacion Selecta )"/>
    <x v="0"/>
    <s v="No growth Potential"/>
    <x v="0"/>
    <x v="0"/>
    <s v="Cayes (Llanera)"/>
    <n v="109980"/>
    <d v="2022-03-11T00:00:00"/>
    <n v="0"/>
    <d v="2023-02-01T00:00:00"/>
  </r>
  <r>
    <s v="trip4real"/>
    <x v="0"/>
    <s v="No growth Potential"/>
    <x v="0"/>
    <x v="0"/>
    <s v="Barcelona"/>
    <n v="106526"/>
    <s v="23-07-2022"/>
    <n v="0"/>
    <d v="2022-02-08T00:00:00"/>
  </r>
  <r>
    <s v="Grup Serhs"/>
    <x v="0"/>
    <s v="No growth Potential"/>
    <x v="0"/>
    <x v="0"/>
    <s v="Pineda de Mar"/>
    <n v="70969"/>
    <d v="2022-03-09T00:00:00"/>
    <n v="0"/>
    <d v="2022-02-11T00:00:00"/>
  </r>
  <r>
    <s v="GOLDCAR"/>
    <x v="0"/>
    <s v="No growth Potential"/>
    <x v="0"/>
    <x v="0"/>
    <s v="madrid"/>
    <n v="100034"/>
    <s v="23-09-2022"/>
    <n v="0"/>
    <d v="2022-02-11T00:00:00"/>
  </r>
  <r>
    <s v="L'Arca del Maresme Empresa Inserción SLL"/>
    <x v="0"/>
    <s v="No growth Potential"/>
    <x v="0"/>
    <x v="0"/>
    <s v="Argentona"/>
    <n v="107069"/>
    <d v="2022-03-09T00:00:00"/>
    <n v="0"/>
    <d v="2022-02-11T00:00:00"/>
  </r>
  <r>
    <s v="Dapargel Sl"/>
    <x v="0"/>
    <s v="No growth Potential"/>
    <x v="0"/>
    <x v="0"/>
    <s v="Derio"/>
    <n v="143517"/>
    <s v="24-08-2022"/>
    <n v="0"/>
    <d v="2022-02-11T00:00:00"/>
  </r>
  <r>
    <s v="intermas group"/>
    <x v="0"/>
    <s v="No growth Potential"/>
    <x v="0"/>
    <x v="0"/>
    <s v="Barcelona"/>
    <n v="58504"/>
    <s v="24-08-2022"/>
    <n v="0"/>
    <d v="2022-02-11T00:00:00"/>
  </r>
  <r>
    <s v="TMT Spain"/>
    <x v="0"/>
    <s v="Medium Growth"/>
    <x v="0"/>
    <x v="0"/>
    <s v="TBD"/>
    <n v="95966"/>
    <d v="2022-03-09T00:00:00"/>
    <n v="0"/>
    <d v="2022-02-11T00:00:00"/>
  </r>
  <r>
    <s v="STYLE-OUT"/>
    <x v="0"/>
    <s v="Medium Growth"/>
    <x v="0"/>
    <x v="1"/>
    <s v="Mesão Frio"/>
    <n v="54725"/>
    <s v="19-10-2022"/>
    <n v="0"/>
    <d v="2022-08-11T00:00:00"/>
  </r>
  <r>
    <s v="FACETZ"/>
    <x v="0"/>
    <s v="Medium Growth"/>
    <x v="0"/>
    <x v="0"/>
    <s v="Barcelona"/>
    <n v="147868"/>
    <s v="20-02-2023"/>
    <n v="0"/>
    <d v="2023-02-03T00:00:00"/>
  </r>
  <r>
    <s v="Apliscience"/>
    <x v="0"/>
    <s v="No growth Potential"/>
    <x v="0"/>
    <x v="0"/>
    <s v="Barcelona"/>
    <n v="112714"/>
    <d v="2022-11-03T00:00:00"/>
    <n v="0"/>
    <s v="20-04-2022"/>
  </r>
  <r>
    <s v="CLNICA DENTAL AD"/>
    <x v="0"/>
    <s v="No growth Potential"/>
    <x v="0"/>
    <x v="0"/>
    <s v="TBD"/>
    <n v="74208"/>
    <s v="23-10-2022"/>
    <n v="0"/>
    <d v="2022-02-11T00:00:00"/>
  </r>
  <r>
    <s v="Volkswagen-Audi Spain"/>
    <x v="0"/>
    <s v="No growth Potential"/>
    <x v="0"/>
    <x v="0"/>
    <s v="TBD"/>
    <n v="90068"/>
    <s v="14-12-2022"/>
    <n v="0"/>
    <d v="2023-02-02T00:00:00"/>
  </r>
  <r>
    <s v="ANCCE"/>
    <x v="0"/>
    <s v="No growth Potential"/>
    <x v="0"/>
    <x v="0"/>
    <s v="TBD"/>
    <n v="80085"/>
    <s v="23-10-2022"/>
    <n v="0"/>
    <d v="2022-02-11T00:00:00"/>
  </r>
  <r>
    <s v="TURISMO ANDALUZ"/>
    <x v="0"/>
    <s v="No growth Potential"/>
    <x v="0"/>
    <x v="0"/>
    <s v="MALAGA"/>
    <n v="157857"/>
    <s v="23-03-2022"/>
    <n v="0"/>
    <d v="2022-02-05T00:00:00"/>
  </r>
  <r>
    <s v="TransHotel Servicios Corporativos S.L.U"/>
    <x v="0"/>
    <s v="No growth Potential"/>
    <x v="0"/>
    <x v="0"/>
    <s v="San Sebastián de los Reyes"/>
    <n v="88677"/>
    <d v="2023-01-01T00:00:00"/>
    <n v="0"/>
    <d v="2023-02-03T00:00:00"/>
  </r>
  <r>
    <s v="Castilla Informatica Consulting"/>
    <x v="0"/>
    <s v="No growth Potential"/>
    <x v="0"/>
    <x v="0"/>
    <s v="Valladolid"/>
    <n v="203793"/>
    <s v="13-01-2022"/>
    <n v="0"/>
    <d v="2022-02-02T00:00:00"/>
  </r>
  <r>
    <s v="IES Pablo de olavide"/>
    <x v="0"/>
    <s v="No growth Potential"/>
    <x v="0"/>
    <x v="0"/>
    <s v="Carolina"/>
    <n v="55037"/>
    <s v="13-10-2022"/>
    <n v="0"/>
    <d v="2022-02-11T00:00:00"/>
  </r>
  <r>
    <s v="GRUPO REIG JOFRE"/>
    <x v="0"/>
    <s v="No growth Potential"/>
    <x v="0"/>
    <x v="0"/>
    <s v="BARCELONA"/>
    <n v="106786"/>
    <d v="2022-03-09T00:00:00"/>
    <n v="0"/>
    <d v="2022-02-11T00:00:00"/>
  </r>
  <r>
    <s v="Copreci S. Coop"/>
    <x v="0"/>
    <s v="No growth Potential"/>
    <x v="0"/>
    <x v="0"/>
    <s v="Gipuzkoa"/>
    <n v="83160"/>
    <s v="13-11-2022"/>
    <n v="0"/>
    <s v="23-11-2022"/>
  </r>
  <r>
    <s v="MEDIAWAYS SOLUTIONS (MS)"/>
    <x v="0"/>
    <s v="Medium Growth"/>
    <x v="0"/>
    <x v="3"/>
    <s v="PARIS"/>
    <n v="137608"/>
    <s v="13-08-2022"/>
    <n v="0"/>
    <d v="2022-02-09T00:00:00"/>
  </r>
  <r>
    <s v="Tressis SV"/>
    <x v="0"/>
    <s v="Medium Growth"/>
    <x v="0"/>
    <x v="0"/>
    <s v="TBD"/>
    <n v="157835"/>
    <s v="23-10-2022"/>
    <n v="0"/>
    <d v="2022-02-11T00:00:00"/>
  </r>
  <r>
    <s v="Circulo de lectores S.A."/>
    <x v="0"/>
    <s v="Medium Growth"/>
    <x v="0"/>
    <x v="0"/>
    <s v="Barcelona"/>
    <n v="187470"/>
    <s v="22-12-2021"/>
    <n v="0"/>
    <d v="2022-02-03T00:00:00"/>
  </r>
  <r>
    <s v="ALTEN"/>
    <x v="0"/>
    <s v="No growth Potential"/>
    <x v="0"/>
    <x v="3"/>
    <s v="BOULOGNE BILLANCOURT CEDEX"/>
    <n v="102196"/>
    <s v="14-03-2022"/>
    <n v="0"/>
    <s v="23-04-2022"/>
  </r>
  <r>
    <s v="Bonacuista BGS S.L. Acuista"/>
    <x v="0"/>
    <s v="No growth Potential"/>
    <x v="0"/>
    <x v="0"/>
    <s v="Barcelona"/>
    <n v="100539"/>
    <s v="23-08-2022"/>
    <n v="0"/>
    <d v="2022-02-09T00:00:00"/>
  </r>
  <r>
    <s v="Vip Venta"/>
    <x v="0"/>
    <s v="Medium Growth"/>
    <x v="0"/>
    <x v="0"/>
    <s v="Villaviciosa de Odon"/>
    <n v="76925"/>
    <s v="13-10-2022"/>
    <n v="0"/>
    <d v="2022-02-11T00:00:00"/>
  </r>
  <r>
    <s v="CAIXABANK CONSUMER FINANCE"/>
    <x v="0"/>
    <s v="No growth Potential"/>
    <x v="0"/>
    <x v="0"/>
    <s v="Barcelona"/>
    <n v="110085"/>
    <d v="2022-03-03T00:00:00"/>
    <n v="0"/>
    <d v="2022-02-05T00:00:00"/>
  </r>
  <r>
    <s v="Fundacion cajamadrid"/>
    <x v="0"/>
    <s v="No growth Potential"/>
    <x v="0"/>
    <x v="0"/>
    <s v="madrid"/>
    <n v="83580"/>
    <d v="2022-12-04T00:00:00"/>
    <n v="0"/>
    <d v="2022-02-05T00:00:00"/>
  </r>
  <r>
    <s v="GROUPAUTO UNIÓN IBERICA"/>
    <x v="0"/>
    <s v="No growth Potential"/>
    <x v="0"/>
    <x v="0"/>
    <s v="Madrid"/>
    <m/>
    <s v="23-09-2022"/>
    <n v="0"/>
    <d v="2022-02-11T00:00:00"/>
  </r>
  <r>
    <s v="Bigmomo"/>
    <x v="0"/>
    <s v="No growth Potential"/>
    <x v="0"/>
    <x v="0"/>
    <s v="TBD"/>
    <n v="42045"/>
    <d v="2022-03-10T00:00:00"/>
    <n v="0"/>
    <d v="2022-02-11T00:00:00"/>
  </r>
  <r>
    <s v="SERTEL S.A."/>
    <x v="0"/>
    <s v="No growth Potential"/>
    <x v="0"/>
    <x v="0"/>
    <s v="Madrid"/>
    <n v="72988"/>
    <s v="13-09-2022"/>
    <n v="0"/>
    <d v="2022-02-11T00:00:00"/>
  </r>
  <r>
    <s v="Celfocus"/>
    <x v="0"/>
    <s v="No growth Potential"/>
    <x v="0"/>
    <x v="1"/>
    <s v="TBD"/>
    <n v="203733"/>
    <d v="2022-03-10T00:00:00"/>
    <n v="0"/>
    <d v="2022-02-11T00:00:00"/>
  </r>
  <r>
    <s v="GRUPO BLIDOO S.L."/>
    <x v="0"/>
    <s v="No growth Potential"/>
    <x v="0"/>
    <x v="0"/>
    <s v="Badalona"/>
    <n v="172921"/>
    <s v="24-08-2022"/>
    <n v="0"/>
    <d v="2022-02-11T00:00:00"/>
  </r>
  <r>
    <s v="H10 Hotels"/>
    <x v="1"/>
    <s v="Medium Growth"/>
    <x v="0"/>
    <x v="0"/>
    <s v="Barcelona"/>
    <n v="56858"/>
    <s v="15-09-2022"/>
    <n v="28429"/>
    <s v="14-11-2022"/>
  </r>
  <r>
    <s v="Comsa"/>
    <x v="0"/>
    <s v="No growth Potential"/>
    <x v="0"/>
    <x v="0"/>
    <s v="Barcelona"/>
    <n v="76983"/>
    <s v="22-04-2022"/>
    <n v="0"/>
    <d v="2022-02-05T00:00:00"/>
  </r>
  <r>
    <s v="Shopery"/>
    <x v="0"/>
    <s v="No growth Potential"/>
    <x v="0"/>
    <x v="0"/>
    <s v="TBD"/>
    <n v="43881"/>
    <s v="13-10-2022"/>
    <n v="0"/>
    <d v="2022-02-11T00:00:00"/>
  </r>
  <r>
    <s v="Geostar"/>
    <x v="0"/>
    <s v="No growth Potential"/>
    <x v="0"/>
    <x v="1"/>
    <s v="TBD"/>
    <n v="88013"/>
    <s v="23-04-2022"/>
    <n v="0"/>
    <d v="2022-02-06T00:00:00"/>
  </r>
  <r>
    <s v="FactorEnergia"/>
    <x v="0"/>
    <s v="No growth Potential"/>
    <x v="0"/>
    <x v="0"/>
    <s v="TBD"/>
    <n v="92126"/>
    <s v="13-01-2022"/>
    <n v="0"/>
    <d v="2022-02-02T00:00:00"/>
  </r>
  <r>
    <s v="ASAMBLEA DE EXTREMADURA"/>
    <x v="0"/>
    <s v="No growth Potential"/>
    <x v="0"/>
    <x v="0"/>
    <s v="Merida - BADAJOZ"/>
    <n v="106692"/>
    <s v="23-10-2022"/>
    <n v="0"/>
    <d v="2022-02-11T00:00:00"/>
  </r>
  <r>
    <s v="Expocasa Interactive SL"/>
    <x v="0"/>
    <s v="No growth Potential"/>
    <x v="0"/>
    <x v="0"/>
    <s v="Madrid"/>
    <n v="133858"/>
    <d v="2022-03-05T00:00:00"/>
    <n v="0"/>
    <d v="2022-02-06T00:00:00"/>
  </r>
  <r>
    <s v="Promax"/>
    <x v="0"/>
    <s v="No growth Potential"/>
    <x v="0"/>
    <x v="0"/>
    <s v="L hospitalet de Llobregat"/>
    <n v="368455"/>
    <d v="2022-12-04T00:00:00"/>
    <n v="0"/>
    <d v="2022-02-05T00:00:00"/>
  </r>
  <r>
    <s v="Comunitel Global S.A."/>
    <x v="0"/>
    <s v="No growth Potential"/>
    <x v="0"/>
    <x v="0"/>
    <s v="Bigo (Pontevedra)"/>
    <n v="107211"/>
    <s v="22-12-2022"/>
    <n v="0"/>
    <d v="2023-02-03T00:00:00"/>
  </r>
  <r>
    <s v="Outlet de Salud y Belleza"/>
    <x v="0"/>
    <s v="No growth Potential"/>
    <x v="0"/>
    <x v="0"/>
    <s v="Málaga"/>
    <n v="115087"/>
    <s v="13-10-2022"/>
    <n v="0"/>
    <d v="2022-02-12T00:00:00"/>
  </r>
  <r>
    <s v="letsBRICO SL"/>
    <x v="0"/>
    <s v="No growth Potential"/>
    <x v="0"/>
    <x v="0"/>
    <s v="Barcelona"/>
    <n v="104166"/>
    <d v="2022-03-09T00:00:00"/>
    <n v="0"/>
    <d v="2022-02-11T00:00:00"/>
  </r>
  <r>
    <s v="Villa Padierna Hotels &amp; Resorts"/>
    <x v="0"/>
    <s v="No growth Potential"/>
    <x v="0"/>
    <x v="0"/>
    <s v="Malaga"/>
    <n v="143497"/>
    <d v="2022-12-04T00:00:00"/>
    <n v="0"/>
    <d v="2022-02-05T00:00:00"/>
  </r>
  <r>
    <s v="Nuroa Internet"/>
    <x v="0"/>
    <s v="No growth Potential"/>
    <x v="0"/>
    <x v="0"/>
    <s v="Barcelona"/>
    <n v="127427"/>
    <d v="2022-02-04T00:00:00"/>
    <n v="0"/>
    <d v="2022-02-05T00:00:00"/>
  </r>
  <r>
    <s v="Center of Marine Sciences (CCMAR)"/>
    <x v="0"/>
    <s v="No growth Potential"/>
    <x v="0"/>
    <x v="1"/>
    <s v="Faro"/>
    <n v="355370"/>
    <s v="23-10-2022"/>
    <n v="0"/>
    <d v="2022-02-12T00:00:00"/>
  </r>
  <r>
    <s v="Fabrica Nacional Moneda Y Timbre"/>
    <x v="0"/>
    <s v="No growth Potential"/>
    <x v="0"/>
    <x v="0"/>
    <s v="Madrid"/>
    <n v="191190"/>
    <s v="23-01-2022"/>
    <n v="0"/>
    <d v="2022-02-02T00:00:00"/>
  </r>
  <r>
    <s v="AXESOR"/>
    <x v="0"/>
    <s v="No growth Potential"/>
    <x v="0"/>
    <x v="0"/>
    <s v="MADRID"/>
    <n v="209817"/>
    <s v="24-08-2022"/>
    <n v="0"/>
    <d v="2022-02-11T00:00:00"/>
  </r>
  <r>
    <s v="Compunet Servicios Telematicos S.L."/>
    <x v="0"/>
    <s v="No growth Potential"/>
    <x v="0"/>
    <x v="0"/>
    <s v="SAN SEBASTIAN DE LOS REYE"/>
    <n v="49625"/>
    <s v="22-01-2022"/>
    <n v="0"/>
    <d v="2022-01-02T00:00:00"/>
  </r>
  <r>
    <s v="Teva Generics Spain"/>
    <x v="0"/>
    <s v="No growth Potential"/>
    <x v="0"/>
    <x v="0"/>
    <s v="ALCOBENDAS"/>
    <n v="101488"/>
    <d v="2022-11-02T00:00:00"/>
    <n v="0"/>
    <d v="2022-02-04T00:00:00"/>
  </r>
  <r>
    <s v="Equipo IVI"/>
    <x v="0"/>
    <s v="No growth Potential"/>
    <x v="0"/>
    <x v="0"/>
    <s v="Valencia"/>
    <n v="101400"/>
    <s v="13-09-2022"/>
    <n v="0"/>
    <d v="2022-02-11T00:00:00"/>
  </r>
  <r>
    <s v="Hotel Villamagna"/>
    <x v="0"/>
    <s v="No growth Potential"/>
    <x v="0"/>
    <x v="0"/>
    <s v="Madrid"/>
    <n v="67715"/>
    <d v="2022-03-09T00:00:00"/>
    <n v="0"/>
    <d v="2022-02-11T00:00:00"/>
  </r>
  <r>
    <s v="GESTION TRIBUTARIA TERRITORIAL SA"/>
    <x v="0"/>
    <s v="No growth Potential"/>
    <x v="0"/>
    <x v="0"/>
    <s v="ALICANTE/ALACANT"/>
    <n v="80523"/>
    <d v="2022-03-09T00:00:00"/>
    <n v="0"/>
    <d v="2022-02-11T00:00:00"/>
  </r>
  <r>
    <s v="Etnia Barcelona"/>
    <x v="0"/>
    <s v="No growth Potential"/>
    <x v="0"/>
    <x v="0"/>
    <s v="Barcelona"/>
    <n v="67742"/>
    <s v="21-02-2022"/>
    <n v="0"/>
    <d v="2022-02-05T00:00:00"/>
  </r>
  <r>
    <s v="Ayuntamiento de Torrejón de la Calzada"/>
    <x v="0"/>
    <s v="No growth Potential"/>
    <x v="0"/>
    <x v="0"/>
    <s v="TORREJON DE LA CALZADA"/>
    <n v="96217"/>
    <s v="24-03-2022"/>
    <n v="0"/>
    <d v="2022-02-06T00:00:00"/>
  </r>
  <r>
    <s v="Housfy"/>
    <x v="0"/>
    <s v="No growth Potential"/>
    <x v="0"/>
    <x v="0"/>
    <s v="Barcelona"/>
    <n v="90293"/>
    <s v="13-10-2022"/>
    <n v="0"/>
    <d v="2022-02-11T00:00:00"/>
  </r>
  <r>
    <s v="Vipnet 360"/>
    <x v="0"/>
    <s v="No growth Potential"/>
    <x v="0"/>
    <x v="0"/>
    <s v="TBD"/>
    <n v="270429"/>
    <d v="2022-03-10T00:00:00"/>
    <n v="0"/>
    <d v="2022-02-11T00:00:00"/>
  </r>
  <r>
    <s v="Abreu Advogados"/>
    <x v="0"/>
    <s v="No growth Potential"/>
    <x v="0"/>
    <x v="1"/>
    <s v="1600-079"/>
    <n v="63020"/>
    <d v="2022-02-11T00:00:00"/>
    <n v="0"/>
    <d v="2022-02-12T00:00:00"/>
  </r>
  <r>
    <s v="PROMOFARMA ECOM"/>
    <x v="0"/>
    <s v="No growth Potential"/>
    <x v="0"/>
    <x v="0"/>
    <s v="Barcelona"/>
    <n v="71125"/>
    <s v="23-10-2022"/>
    <n v="0"/>
    <d v="2022-02-11T00:00:00"/>
  </r>
  <r>
    <s v="Gimeno Grupo"/>
    <x v="0"/>
    <s v="No growth Potential"/>
    <x v="0"/>
    <x v="0"/>
    <s v="CASTELLON"/>
    <n v="48820"/>
    <s v="24-08-2022"/>
    <n v="0"/>
    <d v="2022-02-11T00:00:00"/>
  </r>
  <r>
    <s v="Grupo Conektia"/>
    <x v="0"/>
    <s v="No growth Potential"/>
    <x v="0"/>
    <x v="0"/>
    <s v="Sant Just Desvern"/>
    <n v="118761"/>
    <s v="23-01-2023"/>
    <n v="0"/>
    <d v="2023-02-02T00:00:00"/>
  </r>
  <r>
    <s v="LUPO"/>
    <x v="0"/>
    <s v="No growth Potential"/>
    <x v="0"/>
    <x v="0"/>
    <s v="TBD"/>
    <n v="74208"/>
    <s v="23-09-2022"/>
    <n v="0"/>
    <d v="2022-02-11T00:00:00"/>
  </r>
  <r>
    <s v="Afron SA"/>
    <x v="0"/>
    <s v="No growth Potential"/>
    <x v="0"/>
    <x v="0"/>
    <s v="Paracuellos De Jarama"/>
    <n v="62337"/>
    <s v="13-10-2022"/>
    <n v="0"/>
    <d v="2022-02-11T00:00:00"/>
  </r>
  <r>
    <s v="Ayuntamiento de Barcelona - Mediapro Cloud"/>
    <x v="1"/>
    <s v="Medium Growth"/>
    <x v="0"/>
    <x v="0"/>
    <s v="Barcelona"/>
    <n v="106208"/>
    <s v="28-04-2022"/>
    <n v="13276"/>
    <s v="17-06-2022"/>
  </r>
  <r>
    <s v="Finanzauto SA"/>
    <x v="0"/>
    <s v="No growth Potential"/>
    <x v="0"/>
    <x v="0"/>
    <s v="Arganda del rey"/>
    <n v="122068"/>
    <s v="21-02-2022"/>
    <n v="0"/>
    <d v="2022-02-04T00:00:00"/>
  </r>
  <r>
    <s v="Confederacion Sindical de CC.OO."/>
    <x v="0"/>
    <s v="No growth Potential"/>
    <x v="0"/>
    <x v="0"/>
    <s v="Madrid"/>
    <n v="112085"/>
    <s v="14-07-2022"/>
    <n v="0"/>
    <d v="2022-02-09T00:00:00"/>
  </r>
  <r>
    <s v="BSOLUS - BUSINESS SOLUTIONS LDA"/>
    <x v="0"/>
    <s v="No growth Potential"/>
    <x v="0"/>
    <x v="1"/>
    <s v="BRAGA"/>
    <n v="189857"/>
    <s v="13-10-2022"/>
    <n v="0"/>
    <d v="2022-02-11T00:00:00"/>
  </r>
  <r>
    <s v="Union 5 Pipas"/>
    <x v="0"/>
    <s v="No growth Potential"/>
    <x v="0"/>
    <x v="0"/>
    <s v="TBD"/>
    <n v="120677"/>
    <d v="2022-12-11T00:00:00"/>
    <n v="0"/>
    <d v="2022-02-12T00:00:00"/>
  </r>
  <r>
    <s v="Deteos"/>
    <x v="0"/>
    <s v="No growth Potential"/>
    <x v="0"/>
    <x v="0"/>
    <s v="TBD"/>
    <n v="235793"/>
    <d v="2022-03-10T00:00:00"/>
    <n v="0"/>
    <d v="2022-02-11T00:00:00"/>
  </r>
  <r>
    <s v="Diputacion de aragon"/>
    <x v="0"/>
    <s v="No growth Potential"/>
    <x v="0"/>
    <x v="0"/>
    <s v="ZARAGOZA"/>
    <n v="87037"/>
    <d v="2022-03-04T00:00:00"/>
    <n v="0"/>
    <d v="2022-02-06T00:00:00"/>
  </r>
  <r>
    <s v="Biogen Spain S.L."/>
    <x v="0"/>
    <s v="No growth Potential"/>
    <x v="0"/>
    <x v="0"/>
    <s v="Madrid"/>
    <n v="138786"/>
    <s v="23-08-2022"/>
    <n v="0"/>
    <d v="2022-02-10T00:00:00"/>
  </r>
  <r>
    <s v="Quality Suites SL"/>
    <x v="0"/>
    <s v="No growth Potential"/>
    <x v="0"/>
    <x v="0"/>
    <s v="Madrid"/>
    <n v="115160"/>
    <d v="2022-11-01T00:00:00"/>
    <n v="0"/>
    <d v="2022-02-03T00:00:00"/>
  </r>
  <r>
    <s v="Custo Justo"/>
    <x v="0"/>
    <s v="No growth Potential"/>
    <x v="0"/>
    <x v="1"/>
    <s v="Lisboa"/>
    <n v="169608"/>
    <s v="24-08-2022"/>
    <n v="0"/>
    <d v="2022-02-11T00:00:00"/>
  </r>
  <r>
    <s v="Admotion Interactive Services S.L"/>
    <x v="0"/>
    <s v="No growth Potential"/>
    <x v="0"/>
    <x v="0"/>
    <s v="Madrid"/>
    <n v="189835"/>
    <s v="31-01-2023"/>
    <n v="0"/>
    <d v="2023-02-03T00:00:00"/>
  </r>
  <r>
    <s v="Diputacio de Lleida"/>
    <x v="0"/>
    <s v="No growth Potential"/>
    <x v="0"/>
    <x v="0"/>
    <s v="Lleida"/>
    <n v="219470"/>
    <d v="2022-03-04T00:00:00"/>
    <n v="0"/>
    <d v="2022-02-06T00:00:00"/>
  </r>
  <r>
    <s v="Portugalres"/>
    <x v="0"/>
    <s v="Medium Growth"/>
    <x v="0"/>
    <x v="1"/>
    <s v="Evora"/>
    <n v="134196"/>
    <s v="22-06-2022"/>
    <n v="0"/>
    <d v="2022-02-07T00:00:00"/>
  </r>
  <r>
    <s v="SOLIUM/AFYVE"/>
    <x v="0"/>
    <s v="Medium Growth"/>
    <x v="0"/>
    <x v="0"/>
    <s v="MADRID"/>
    <n v="132539"/>
    <s v="24-08-2022"/>
    <n v="0"/>
    <d v="2022-02-11T00:00:00"/>
  </r>
  <r>
    <s v="LA CASA DE LAS CARCASAS"/>
    <x v="0"/>
    <s v="Medium Growth"/>
    <x v="0"/>
    <x v="0"/>
    <s v="Jaraíz de la Vera"/>
    <n v="108925"/>
    <s v="13-10-2022"/>
    <n v="0"/>
    <d v="2022-02-11T00:00:00"/>
  </r>
  <r>
    <s v="DAXYS"/>
    <x v="0"/>
    <s v="No growth Potential"/>
    <x v="0"/>
    <x v="0"/>
    <s v="Barcelona"/>
    <n v="142085"/>
    <s v="23-10-2022"/>
    <n v="0"/>
    <d v="2022-02-11T00:00:00"/>
  </r>
  <r>
    <s v="Distribuidora De Ediciones"/>
    <x v="0"/>
    <s v="No growth Potential"/>
    <x v="0"/>
    <x v="0"/>
    <s v="BARCELONA"/>
    <n v="115580"/>
    <s v="13-11-2022"/>
    <n v="0"/>
    <d v="2023-02-01T00:00:00"/>
  </r>
  <r>
    <s v="IFS Applications Iberica"/>
    <x v="0"/>
    <s v="No growth Potential"/>
    <x v="0"/>
    <x v="4"/>
    <s v="Linköping"/>
    <n v="32000"/>
    <d v="2022-03-10T00:00:00"/>
    <n v="0"/>
    <d v="2022-02-11T00:00:00"/>
  </r>
  <r>
    <s v="Global Registry Services Limited"/>
    <x v="0"/>
    <s v="No growth Potential"/>
    <x v="0"/>
    <x v="5"/>
    <s v="TBD"/>
    <n v="74045"/>
    <d v="2022-02-04T00:00:00"/>
    <n v="0"/>
    <d v="2022-02-05T00:00:00"/>
  </r>
  <r>
    <s v="Enimbos"/>
    <x v="0"/>
    <s v="No growth Potential"/>
    <x v="0"/>
    <x v="0"/>
    <s v="Madrid"/>
    <n v="104988"/>
    <s v="13-09-2022"/>
    <n v="0"/>
    <d v="2022-02-11T00:00:00"/>
  </r>
  <r>
    <s v="Bolsas y mercados españoles"/>
    <x v="0"/>
    <s v="No growth Potential"/>
    <x v="0"/>
    <x v="0"/>
    <s v="MADRID"/>
    <n v="235733"/>
    <s v="13-03-2022"/>
    <n v="0"/>
    <d v="2022-02-05T00:00:00"/>
  </r>
  <r>
    <s v="Corinthia Hotels"/>
    <x v="0"/>
    <s v="No growth Potential"/>
    <x v="0"/>
    <x v="1"/>
    <s v="LISBOA"/>
    <n v="204921"/>
    <s v="24-07-2022"/>
    <n v="0"/>
    <d v="2022-02-09T00:00:00"/>
  </r>
  <r>
    <s v="TODOCOLECCION.NET"/>
    <x v="0"/>
    <s v="No growth Potential"/>
    <x v="0"/>
    <x v="0"/>
    <s v="TBD"/>
    <n v="88858"/>
    <s v="13-09-2022"/>
    <n v="0"/>
    <d v="2022-02-11T00:00:00"/>
  </r>
  <r>
    <s v="TR US"/>
    <x v="1"/>
    <s v="High Growth potential"/>
    <x v="0"/>
    <x v="0"/>
    <s v="Alcalá de Henares"/>
    <n v="108983"/>
    <s v="28-10-2022"/>
    <n v="54491"/>
    <s v="17-11-2022"/>
  </r>
  <r>
    <s v="Telefonica International Wholesale Services II S.L."/>
    <x v="0"/>
    <s v="No growth Potential"/>
    <x v="0"/>
    <x v="0"/>
    <s v="TBD"/>
    <n v="75881"/>
    <d v="2022-12-09T00:00:00"/>
    <n v="0"/>
    <d v="2022-02-10T00:00:00"/>
  </r>
  <r>
    <s v="TPTI"/>
    <x v="0"/>
    <s v="No growth Potential"/>
    <x v="0"/>
    <x v="0"/>
    <s v="Madrid"/>
    <n v="120013"/>
    <s v="13-09-2022"/>
    <n v="0"/>
    <d v="2022-02-11T00:00:00"/>
  </r>
  <r>
    <s v="Senado de Espana"/>
    <x v="1"/>
    <s v="Medium Growth"/>
    <x v="0"/>
    <x v="0"/>
    <s v="Madrid"/>
    <n v="124126"/>
    <s v="14-02-2022"/>
    <n v="62063"/>
    <d v="2022-05-04T00:00:00"/>
  </r>
  <r>
    <s v="Zafiro Hotels"/>
    <x v="0"/>
    <s v="No growth Potential"/>
    <x v="0"/>
    <x v="0"/>
    <s v="TBD"/>
    <n v="138692"/>
    <s v="13-01-2022"/>
    <n v="0"/>
    <d v="2022-02-02T00:00:00"/>
  </r>
  <r>
    <s v="Gamma Solutions"/>
    <x v="0"/>
    <s v="No growth Potential"/>
    <x v="0"/>
    <x v="0"/>
    <s v="Cáceres"/>
    <n v="147362"/>
    <s v="24-11-2021"/>
    <n v="0"/>
    <d v="2022-02-02T00:00:00"/>
  </r>
  <r>
    <s v="Expertus"/>
    <x v="0"/>
    <s v="No growth Potential"/>
    <x v="0"/>
    <x v="0"/>
    <s v="Barcelona"/>
    <n v="106526"/>
    <s v="24-08-2022"/>
    <n v="0"/>
    <d v="2022-02-11T00:00:00"/>
  </r>
  <r>
    <s v="Eurofred SA"/>
    <x v="0"/>
    <s v="No growth Potential"/>
    <x v="0"/>
    <x v="0"/>
    <s v="Barcelona"/>
    <n v="70969"/>
    <s v="13-10-2022"/>
    <n v="0"/>
    <d v="2022-02-11T00:00:00"/>
  </r>
  <r>
    <s v="BuleVip"/>
    <x v="0"/>
    <s v="No growth Potential"/>
    <x v="0"/>
    <x v="0"/>
    <s v="TBD"/>
    <n v="100034"/>
    <s v="13-10-2022"/>
    <n v="0"/>
    <d v="2022-02-11T00:00:00"/>
  </r>
  <r>
    <s v="Broker Luxury Yacht"/>
    <x v="0"/>
    <s v="No growth Potential"/>
    <x v="0"/>
    <x v="0"/>
    <s v="TBD"/>
    <n v="107069"/>
    <s v="21-02-2023"/>
    <n v="0"/>
    <d v="2023-02-04T00:00:00"/>
  </r>
  <r>
    <s v="Altran CIS"/>
    <x v="0"/>
    <s v="No growth Potential"/>
    <x v="0"/>
    <x v="1"/>
    <s v="Lisboa"/>
    <n v="143517"/>
    <d v="2022-03-03T00:00:00"/>
    <n v="0"/>
    <d v="2022-02-05T00:00:00"/>
  </r>
  <r>
    <s v="Amadeus IT Group SA"/>
    <x v="1"/>
    <s v="Medium Growth"/>
    <x v="0"/>
    <x v="0"/>
    <s v="Madrid"/>
    <n v="58504"/>
    <s v="23-01-2022"/>
    <n v="6500"/>
    <s v="14-03-2022"/>
  </r>
  <r>
    <s v="Universitat Politècnica de Cataluny"/>
    <x v="0"/>
    <s v="No growth Potential"/>
    <x v="0"/>
    <x v="0"/>
    <s v="TBD"/>
    <n v="95966"/>
    <d v="2022-03-08T00:00:00"/>
    <n v="0"/>
    <d v="2022-02-10T00:00:00"/>
  </r>
  <r>
    <s v="SICO"/>
    <x v="0"/>
    <s v="No growth Potential"/>
    <x v="0"/>
    <x v="0"/>
    <s v="Madrid"/>
    <n v="54725"/>
    <d v="2022-03-10T00:00:00"/>
    <n v="0"/>
    <d v="2022-02-11T00:00:00"/>
  </r>
  <r>
    <s v="Vortal"/>
    <x v="0"/>
    <s v="No growth Potential"/>
    <x v="0"/>
    <x v="1"/>
    <s v="LISBOA"/>
    <n v="147868"/>
    <d v="2022-03-03T00:00:00"/>
    <n v="0"/>
    <d v="2022-02-05T00:00:00"/>
  </r>
  <r>
    <s v="Bodaclick"/>
    <x v="0"/>
    <s v="No growth Potential"/>
    <x v="0"/>
    <x v="0"/>
    <s v="Madrid"/>
    <n v="112714"/>
    <s v="23-03-2022"/>
    <n v="0"/>
    <d v="2022-02-04T00:00:00"/>
  </r>
  <r>
    <s v="Patatas Bonet S.A."/>
    <x v="0"/>
    <s v="No growth Potential"/>
    <x v="0"/>
    <x v="0"/>
    <s v="Barcelona"/>
    <n v="74208"/>
    <s v="24-12-2021"/>
    <n v="0"/>
    <d v="2022-02-02T00:00:00"/>
  </r>
  <r>
    <s v="Murtra"/>
    <x v="0"/>
    <s v="No growth Potential"/>
    <x v="0"/>
    <x v="0"/>
    <s v="Granollers"/>
    <n v="90068"/>
    <s v="23-04-2022"/>
    <n v="0"/>
    <d v="2022-02-06T00:00:00"/>
  </r>
  <r>
    <s v="Dronas 2002 S.L.U"/>
    <x v="0"/>
    <s v="No growth Potential"/>
    <x v="0"/>
    <x v="0"/>
    <s v="Sant Andreu De La Barca"/>
    <n v="80085"/>
    <d v="2022-03-03T00:00:00"/>
    <n v="0"/>
    <d v="2022-02-05T00:00:00"/>
  </r>
  <r>
    <s v="CEMI_Ayuntamiento de Málaga"/>
    <x v="0"/>
    <s v="No growth Potential"/>
    <x v="0"/>
    <x v="0"/>
    <s v="Málaga"/>
    <n v="157857"/>
    <d v="2022-03-09T00:00:00"/>
    <n v="0"/>
    <d v="2022-02-11T00:00:00"/>
  </r>
  <r>
    <s v="77Agency Ltd - SWEDEN"/>
    <x v="0"/>
    <s v="No growth Potential"/>
    <x v="0"/>
    <x v="2"/>
    <s v="MILANO"/>
    <n v="88677"/>
    <d v="2022-03-09T00:00:00"/>
    <n v="0"/>
    <d v="2022-02-11T00:00:00"/>
  </r>
  <r>
    <s v="CIVIR"/>
    <x v="0"/>
    <s v="No growth Potential"/>
    <x v="0"/>
    <x v="0"/>
    <s v="Pozuelo"/>
    <n v="203793"/>
    <s v="13-09-2022"/>
    <n v="0"/>
    <d v="2022-02-11T00:00:00"/>
  </r>
  <r>
    <s v="A Bola"/>
    <x v="0"/>
    <s v="No growth Potential"/>
    <x v="0"/>
    <x v="1"/>
    <s v="Lisboa"/>
    <n v="55037"/>
    <s v="23-05-2022"/>
    <n v="0"/>
    <d v="2022-02-06T00:00:00"/>
  </r>
  <r>
    <s v="Arnaiz-Urbimatica"/>
    <x v="0"/>
    <s v="No growth Potential"/>
    <x v="0"/>
    <x v="0"/>
    <s v="MADRID"/>
    <n v="106786"/>
    <s v="23-03-2022"/>
    <n v="0"/>
    <d v="2022-02-04T00:00:00"/>
  </r>
  <r>
    <s v="ORO DIRECT SALE SL"/>
    <x v="0"/>
    <s v="No growth Potential"/>
    <x v="0"/>
    <x v="0"/>
    <s v="VALENCIA"/>
    <n v="83160"/>
    <s v="23-09-2022"/>
    <n v="0"/>
    <d v="2022-02-11T00:00:00"/>
  </r>
  <r>
    <s v="Best Hotels"/>
    <x v="0"/>
    <s v="No growth Potential"/>
    <x v="0"/>
    <x v="0"/>
    <s v="Salou"/>
    <n v="137608"/>
    <s v="23-10-2022"/>
    <n v="0"/>
    <d v="2022-02-11T00:00:00"/>
  </r>
  <r>
    <s v="FarmaIndustria"/>
    <x v="0"/>
    <s v="No growth Potential"/>
    <x v="0"/>
    <x v="0"/>
    <s v="Madrid"/>
    <n v="157835"/>
    <s v="23-01-2022"/>
    <n v="0"/>
    <d v="2022-02-02T00:00:00"/>
  </r>
  <r>
    <s v="Elogos S.L."/>
    <x v="0"/>
    <s v="No growth Potential"/>
    <x v="0"/>
    <x v="0"/>
    <s v="Madrid"/>
    <n v="187470"/>
    <d v="2022-03-09T00:00:00"/>
    <n v="0"/>
    <d v="2022-02-11T00:00:00"/>
  </r>
  <r>
    <s v="EUNASA ELECTRONICA SL"/>
    <x v="1"/>
    <s v="High Growth potential"/>
    <x v="0"/>
    <x v="0"/>
    <s v="Barcelona"/>
    <n v="102196"/>
    <d v="2022-06-09T00:00:00"/>
    <n v="6387"/>
    <d v="2022-05-11T00:00:00"/>
  </r>
  <r>
    <s v="IT-LATINO.NET"/>
    <x v="0"/>
    <s v="No growth Potential"/>
    <x v="0"/>
    <x v="0"/>
    <s v="Barcelona"/>
    <n v="100539"/>
    <s v="23-10-2022"/>
    <n v="0"/>
    <d v="2022-02-11T00:00:00"/>
  </r>
  <r>
    <s v="GRUPO FARMASIERRA S.L."/>
    <x v="0"/>
    <s v="No growth Potential"/>
    <x v="0"/>
    <x v="0"/>
    <s v="Madrid"/>
    <n v="76925"/>
    <s v="23-10-2022"/>
    <n v="0"/>
    <d v="2022-02-11T00:00:00"/>
  </r>
  <r>
    <s v="Espana SA Seguros"/>
    <x v="0"/>
    <s v="No growth Potential"/>
    <x v="0"/>
    <x v="0"/>
    <s v="Madrid"/>
    <n v="110085"/>
    <d v="2022-03-03T00:00:00"/>
    <n v="0"/>
    <d v="2022-02-04T00:00:00"/>
  </r>
  <r>
    <s v="ADE"/>
    <x v="0"/>
    <s v="No growth Potential"/>
    <x v="0"/>
    <x v="0"/>
    <s v="TBD"/>
    <n v="83580"/>
    <s v="23-10-2022"/>
    <n v="0"/>
    <d v="2022-02-11T00:00:00"/>
  </r>
  <r>
    <s v="Nurun Crazy Labs"/>
    <x v="0"/>
    <s v="No growth Potential"/>
    <x v="0"/>
    <x v="0"/>
    <s v="Alcobendas"/>
    <m/>
    <s v="24-07-2022"/>
    <n v="0"/>
    <d v="2022-02-09T00:00:00"/>
  </r>
  <r>
    <s v="MARCH-JLT CORREDURIA DE SEGUROS Y REASEGUROS SA"/>
    <x v="0"/>
    <s v="No growth Potential"/>
    <x v="0"/>
    <x v="0"/>
    <s v="MADRID"/>
    <n v="42045"/>
    <s v="24-08-2022"/>
    <n v="0"/>
    <d v="2022-02-11T00:00:00"/>
  </r>
  <r>
    <s v="Casa Del Libro"/>
    <x v="0"/>
    <s v="No growth Potential"/>
    <x v="0"/>
    <x v="0"/>
    <s v="Madrid"/>
    <n v="72988"/>
    <s v="23-01-2022"/>
    <n v="0"/>
    <d v="2022-02-02T00:00:00"/>
  </r>
  <r>
    <s v="Smartclip"/>
    <x v="0"/>
    <s v="No growth Potential"/>
    <x v="0"/>
    <x v="0"/>
    <s v="Las Rozas"/>
    <n v="203733"/>
    <d v="2022-11-01T00:00:00"/>
    <n v="0"/>
    <d v="2022-02-03T00:00:00"/>
  </r>
  <r>
    <s v="Gesintur"/>
    <x v="0"/>
    <s v="No growth Potential"/>
    <x v="0"/>
    <x v="0"/>
    <s v="TBD"/>
    <n v="172921"/>
    <d v="2022-03-09T00:00:00"/>
    <n v="0"/>
    <d v="2022-02-11T00:00:00"/>
  </r>
  <r>
    <s v="LogicaNova"/>
    <x v="0"/>
    <s v="Medium Growth"/>
    <x v="0"/>
    <x v="2"/>
    <s v="Roma"/>
    <n v="56858"/>
    <s v="23-05-2022"/>
    <n v="0"/>
    <d v="2022-02-06T00:00:00"/>
  </r>
  <r>
    <s v="PARATY HOTELES SLFranz"/>
    <x v="0"/>
    <s v="No growth Potential"/>
    <x v="0"/>
    <x v="0"/>
    <s v="Málaga"/>
    <n v="70969"/>
    <s v="22-08-2021"/>
    <n v="0"/>
    <d v="2021-01-09T00:00:00"/>
  </r>
  <r>
    <s v="Buy Vip SL"/>
    <x v="0"/>
    <s v="No growth Potential"/>
    <x v="0"/>
    <x v="0"/>
    <s v="Pozuelo de Alarcon"/>
    <n v="100034"/>
    <s v="24-08-2022"/>
    <n v="0"/>
    <d v="2022-02-11T00:00:00"/>
  </r>
  <r>
    <s v="Weblogs S.L"/>
    <x v="0"/>
    <s v="Medium Growth"/>
    <x v="0"/>
    <x v="0"/>
    <s v="MADRID"/>
    <n v="107069"/>
    <d v="2022-03-10T00:00:00"/>
    <n v="0"/>
    <d v="2022-02-11T00:00:00"/>
  </r>
  <r>
    <s v="tsys cursos"/>
    <x v="0"/>
    <s v="Medium Growth"/>
    <x v="0"/>
    <x v="0"/>
    <s v="Logroño"/>
    <n v="143517"/>
    <d v="2022-03-10T00:00:00"/>
    <n v="0"/>
    <d v="2022-02-11T00:00:00"/>
  </r>
  <r>
    <s v="ALMACENES NUMERO 1"/>
    <x v="0"/>
    <s v="No growth Potential"/>
    <x v="0"/>
    <x v="0"/>
    <s v="La Laguna"/>
    <n v="58504"/>
    <d v="2022-03-10T00:00:00"/>
    <n v="0"/>
    <d v="2022-02-11T00:00:00"/>
  </r>
  <r>
    <s v="Xplain"/>
    <x v="0"/>
    <s v="No growth Potential"/>
    <x v="0"/>
    <x v="0"/>
    <s v="TBD"/>
    <n v="95966"/>
    <s v="22-01-2022"/>
    <n v="0"/>
    <d v="2022-02-04T00:00:00"/>
  </r>
  <r>
    <s v="ISASTUR SERVICIOS"/>
    <x v="0"/>
    <s v="No growth Potential"/>
    <x v="0"/>
    <x v="0"/>
    <s v="Asturias"/>
    <n v="54725"/>
    <s v="13-10-2022"/>
    <n v="0"/>
    <d v="2022-02-11T00:00:00"/>
  </r>
  <r>
    <s v="CCOO de Catalunya"/>
    <x v="0"/>
    <s v="No growth Potential"/>
    <x v="0"/>
    <x v="0"/>
    <s v="TBD"/>
    <n v="147868"/>
    <s v="24-07-2022"/>
    <n v="0"/>
    <d v="2022-02-10T00:00:00"/>
  </r>
  <r>
    <s v="T-Systems Italia S.p.A."/>
    <x v="0"/>
    <s v="No growth Potential"/>
    <x v="0"/>
    <x v="2"/>
    <s v="Assago"/>
    <n v="112714"/>
    <s v="24-10-2022"/>
    <n v="0"/>
    <d v="2023-02-01T00:00:00"/>
  </r>
  <r>
    <s v="Adveo"/>
    <x v="0"/>
    <s v="No growth Potential"/>
    <x v="0"/>
    <x v="0"/>
    <s v="TBD"/>
    <n v="74208"/>
    <s v="24-08-2022"/>
    <n v="0"/>
    <d v="2022-02-11T00:00:00"/>
  </r>
  <r>
    <s v="Ricon Group"/>
    <x v="0"/>
    <s v="No growth Potential"/>
    <x v="0"/>
    <x v="1"/>
    <s v="TBD"/>
    <n v="90068"/>
    <s v="23-10-2022"/>
    <n v="0"/>
    <d v="2022-02-11T00:00:00"/>
  </r>
  <r>
    <s v="Telefonica Cuenta Agregada 2 Public Sector"/>
    <x v="1"/>
    <s v="High Growth potential"/>
    <x v="0"/>
    <x v="0"/>
    <s v="TBD"/>
    <n v="80085"/>
    <d v="2022-11-09T00:00:00"/>
    <n v="10011"/>
    <d v="2022-11-10T00:00:00"/>
  </r>
  <r>
    <s v="Buckerbook"/>
    <x v="0"/>
    <s v="No growth Potential"/>
    <x v="0"/>
    <x v="0"/>
    <s v="TBD"/>
    <n v="157857"/>
    <s v="23-10-2022"/>
    <n v="0"/>
    <d v="2022-02-11T00:00:00"/>
  </r>
  <r>
    <s v="modalia.com"/>
    <x v="0"/>
    <s v="No growth Potential"/>
    <x v="0"/>
    <x v="0"/>
    <s v="ORIHUELA"/>
    <n v="88677"/>
    <d v="2022-01-02T00:00:00"/>
    <n v="0"/>
    <d v="2022-02-04T00:00:00"/>
  </r>
  <r>
    <s v="Actiu Berbegal Y Formas Sa"/>
    <x v="0"/>
    <s v="No growth Potential"/>
    <x v="0"/>
    <x v="0"/>
    <s v="Castalla"/>
    <n v="203793"/>
    <s v="13-12-2022"/>
    <n v="0"/>
    <d v="2023-02-01T00:00:00"/>
  </r>
  <r>
    <s v="Mascoteros"/>
    <x v="0"/>
    <s v="No growth Potential"/>
    <x v="0"/>
    <x v="0"/>
    <s v="TBD"/>
    <n v="55037"/>
    <s v="23-01-2022"/>
    <n v="0"/>
    <d v="2022-02-02T00:00:00"/>
  </r>
  <r>
    <s v="Sermicro"/>
    <x v="0"/>
    <s v="No growth Potential"/>
    <x v="0"/>
    <x v="0"/>
    <s v="TBD"/>
    <n v="106786"/>
    <s v="13-10-2022"/>
    <n v="0"/>
    <d v="2022-02-11T00:00:00"/>
  </r>
  <r>
    <s v="Barcelona Turisme"/>
    <x v="0"/>
    <s v="Medium Growth"/>
    <x v="0"/>
    <x v="0"/>
    <s v="Barcelona"/>
    <n v="83160"/>
    <s v="23-01-2022"/>
    <n v="0"/>
    <d v="2022-02-02T00:00:00"/>
  </r>
  <r>
    <s v="Indra Elecciones Arg"/>
    <x v="0"/>
    <s v="No growth Potential"/>
    <x v="0"/>
    <x v="0"/>
    <s v="TBD"/>
    <n v="137608"/>
    <s v="13-03-2022"/>
    <n v="0"/>
    <d v="2022-02-05T00:00:00"/>
  </r>
  <r>
    <s v="Nectar"/>
    <x v="0"/>
    <s v="No growth Potential"/>
    <x v="0"/>
    <x v="0"/>
    <s v="Madrid"/>
    <n v="157835"/>
    <s v="23-03-2022"/>
    <n v="0"/>
    <d v="2022-02-05T00:00:00"/>
  </r>
  <r>
    <s v="Mr.Wonderful"/>
    <x v="0"/>
    <s v="No growth Potential"/>
    <x v="0"/>
    <x v="0"/>
    <s v="TBD"/>
    <n v="187470"/>
    <s v="23-10-2022"/>
    <n v="0"/>
    <d v="2022-02-11T00:00:00"/>
  </r>
  <r>
    <s v="Interxion Espana S.L."/>
    <x v="0"/>
    <s v="No growth Potential"/>
    <x v="0"/>
    <x v="0"/>
    <s v="Madrid"/>
    <n v="102196"/>
    <d v="2022-04-12T00:00:00"/>
    <n v="0"/>
    <d v="2023-02-02T00:00:00"/>
  </r>
  <r>
    <s v="La Ciudad Interactiva S.A."/>
    <x v="0"/>
    <s v="No growth Potential"/>
    <x v="0"/>
    <x v="0"/>
    <s v="Madrid"/>
    <n v="100539"/>
    <s v="24-12-2021"/>
    <n v="0"/>
    <d v="2022-02-02T00:00:00"/>
  </r>
  <r>
    <s v="remsa"/>
    <x v="0"/>
    <s v="No growth Potential"/>
    <x v="0"/>
    <x v="0"/>
    <s v="TBD"/>
    <n v="76925"/>
    <d v="2022-03-03T00:00:00"/>
    <n v="0"/>
    <d v="2022-02-05T00:00:00"/>
  </r>
  <r>
    <s v="Instituto de Empresa S.L."/>
    <x v="1"/>
    <s v="High Growth potential"/>
    <x v="0"/>
    <x v="0"/>
    <s v="Madrid"/>
    <n v="110085"/>
    <d v="2021-07-08T00:00:00"/>
    <n v="110085"/>
    <s v="16-09-2021"/>
  </r>
  <r>
    <s v="Minube"/>
    <x v="1"/>
    <s v="Medium Growth"/>
    <x v="0"/>
    <x v="0"/>
    <s v="Alcorcón - Madrid"/>
    <n v="83580"/>
    <d v="2022-06-09T00:00:00"/>
    <n v="41790"/>
    <d v="2022-05-11T00:00:00"/>
  </r>
  <r>
    <s v="Indra Elecciones Pais Vasco"/>
    <x v="0"/>
    <s v="No growth Potential"/>
    <x v="0"/>
    <x v="0"/>
    <s v="TBD"/>
    <m/>
    <s v="22-04-2022"/>
    <n v="0"/>
    <d v="2022-02-05T00:00:00"/>
  </r>
  <r>
    <s v="Catalonia Hotels &amp; Resorts"/>
    <x v="0"/>
    <s v="No growth Potential"/>
    <x v="0"/>
    <x v="0"/>
    <s v="Barcelona"/>
    <n v="42045"/>
    <s v="13-01-2022"/>
    <n v="0"/>
    <d v="2022-02-02T00:00:00"/>
  </r>
  <r>
    <s v="Parlamento de Galicia"/>
    <x v="1"/>
    <s v="High Growth potential"/>
    <x v="0"/>
    <x v="0"/>
    <s v="Santiago de Compostela"/>
    <n v="72988"/>
    <s v="13-02-2022"/>
    <n v="4055"/>
    <s v="23-02-2022"/>
  </r>
  <r>
    <s v="Unipost S.A."/>
    <x v="0"/>
    <s v="No growth Potential"/>
    <x v="0"/>
    <x v="0"/>
    <s v="Barcelona"/>
    <n v="203733"/>
    <s v="24-08-2022"/>
    <n v="0"/>
    <d v="2022-02-11T00:00:00"/>
  </r>
  <r>
    <s v="Redsys España"/>
    <x v="0"/>
    <s v="No growth Potential"/>
    <x v="0"/>
    <x v="0"/>
    <s v="Madrid"/>
    <n v="172921"/>
    <s v="23-10-2022"/>
    <n v="0"/>
    <d v="2022-02-11T00:00:00"/>
  </r>
  <r>
    <s v="Hoteles Viva"/>
    <x v="0"/>
    <s v="No growth Potential"/>
    <x v="0"/>
    <x v="0"/>
    <s v="ALCUDIA"/>
    <n v="56858"/>
    <d v="2022-02-11T00:00:00"/>
    <n v="0"/>
    <d v="2022-02-12T00:00:00"/>
  </r>
  <r>
    <s v="EDISA SISTEMAS DE INFORMACION S.A."/>
    <x v="0"/>
    <s v="No growth Potential"/>
    <x v="0"/>
    <x v="0"/>
    <s v="TBD"/>
    <n v="76983"/>
    <s v="24-08-2022"/>
    <n v="0"/>
    <d v="2022-02-11T00:00:00"/>
  </r>
  <r>
    <s v="Caja de Ingenieros"/>
    <x v="0"/>
    <s v="No growth Potential"/>
    <x v="0"/>
    <x v="0"/>
    <s v="TBD"/>
    <n v="43881"/>
    <s v="23-01-2022"/>
    <n v="0"/>
    <d v="2022-02-02T00:00:00"/>
  </r>
  <r>
    <s v="Brac Saajan Spain"/>
    <x v="0"/>
    <s v="No growth Potential"/>
    <x v="0"/>
    <x v="0"/>
    <s v="TBD"/>
    <n v="88013"/>
    <d v="2022-10-02T00:00:00"/>
    <n v="0"/>
    <d v="2022-02-03T00:00:00"/>
  </r>
  <r>
    <s v="Sata"/>
    <x v="0"/>
    <s v="No growth Potential"/>
    <x v="0"/>
    <x v="1"/>
    <s v="PONTA DELGADA"/>
    <n v="92126"/>
    <s v="23-01-2022"/>
    <n v="0"/>
    <d v="2022-02-02T00:00:00"/>
  </r>
  <r>
    <s v="Ticket Bureau"/>
    <x v="1"/>
    <s v="Medium Growth"/>
    <x v="0"/>
    <x v="0"/>
    <s v="Barcelona"/>
    <n v="106692"/>
    <s v="25-11-2022"/>
    <n v="53346"/>
    <d v="2022-05-12T00:00:00"/>
  </r>
  <r>
    <s v="E Shop - Granada"/>
    <x v="0"/>
    <s v="No growth Potential"/>
    <x v="0"/>
    <x v="0"/>
    <s v="Granada"/>
    <n v="133858"/>
    <s v="23-09-2022"/>
    <n v="0"/>
    <d v="2022-02-12T00:00:00"/>
  </r>
  <r>
    <s v="JobisJob S.L."/>
    <x v="0"/>
    <s v="No growth Potential"/>
    <x v="0"/>
    <x v="0"/>
    <s v="SANT CUGAT DEL VALLES"/>
    <n v="368455"/>
    <s v="24-08-2022"/>
    <n v="0"/>
    <d v="2022-02-11T00:00:00"/>
  </r>
  <r>
    <s v="Philips"/>
    <x v="0"/>
    <s v="No growth Potential"/>
    <x v="0"/>
    <x v="0"/>
    <s v="TBD"/>
    <n v="107211"/>
    <s v="13-09-2022"/>
    <n v="0"/>
    <d v="2022-02-11T00:00:00"/>
  </r>
  <r>
    <s v="Soppiday"/>
    <x v="0"/>
    <s v="No growth Potential"/>
    <x v="0"/>
    <x v="0"/>
    <s v="TBD"/>
    <n v="115087"/>
    <d v="2022-02-06T00:00:00"/>
    <n v="0"/>
    <d v="2022-02-07T00:00:00"/>
  </r>
  <r>
    <s v="KUKA Iberia S.A.U."/>
    <x v="0"/>
    <s v="No growth Potential"/>
    <x v="0"/>
    <x v="0"/>
    <s v="Barcelona"/>
    <n v="104166"/>
    <d v="2022-03-10T00:00:00"/>
    <n v="0"/>
    <d v="2022-02-11T00:00:00"/>
  </r>
  <r>
    <s v="ANACOM"/>
    <x v="0"/>
    <s v="No growth Potential"/>
    <x v="0"/>
    <x v="1"/>
    <s v="Lisbon"/>
    <n v="143497"/>
    <d v="2022-03-09T00:00:00"/>
    <n v="0"/>
    <d v="2022-02-11T00:00:00"/>
  </r>
  <r>
    <s v="Indra Elecciones Municipales"/>
    <x v="0"/>
    <s v="No growth Potential"/>
    <x v="0"/>
    <x v="0"/>
    <s v="TBD"/>
    <n v="127427"/>
    <d v="2022-12-04T00:00:00"/>
    <n v="0"/>
    <d v="2022-02-05T00:00:00"/>
  </r>
  <r>
    <s v="Evolution Iberica"/>
    <x v="0"/>
    <s v="No growth Potential"/>
    <x v="0"/>
    <x v="0"/>
    <s v="Barcelona"/>
    <n v="355370"/>
    <s v="13-03-2023"/>
    <n v="0"/>
    <d v="2023-02-05T00:00:00"/>
  </r>
  <r>
    <s v="Grupalia Internet S.A."/>
    <x v="0"/>
    <s v="No growth Potential"/>
    <x v="0"/>
    <x v="0"/>
    <s v="Madrid"/>
    <n v="191190"/>
    <d v="2022-02-04T00:00:00"/>
    <n v="0"/>
    <d v="2022-02-05T00:00:00"/>
  </r>
  <r>
    <s v="ALSA"/>
    <x v="1"/>
    <s v="High Growth potential"/>
    <x v="0"/>
    <x v="0"/>
    <s v="MADRID"/>
    <n v="209817"/>
    <s v="28-09-2022"/>
    <n v="104909"/>
    <s v="17-11-2022"/>
  </r>
  <r>
    <s v="INFUN GROUP"/>
    <x v="0"/>
    <s v="No growth Potential"/>
    <x v="0"/>
    <x v="0"/>
    <s v="SANT VICENC DELS HORTS"/>
    <n v="49625"/>
    <s v="13-09-2022"/>
    <n v="0"/>
    <d v="2022-02-11T00:00:00"/>
  </r>
  <r>
    <s v="AlterKeys"/>
    <x v="0"/>
    <s v="No growth Potential"/>
    <x v="0"/>
    <x v="0"/>
    <s v="TBD"/>
    <n v="101488"/>
    <d v="2022-03-10T00:00:00"/>
    <n v="0"/>
    <d v="2022-02-11T00:00:00"/>
  </r>
  <r>
    <s v="Tous"/>
    <x v="1"/>
    <s v="High Growth potential"/>
    <x v="0"/>
    <x v="0"/>
    <s v="MANRESA"/>
    <n v="101400"/>
    <d v="2022-08-09T00:00:00"/>
    <n v="50700"/>
    <s v="17-11-2022"/>
  </r>
  <r>
    <s v="Jaso Equipos de Obras y Cnes. S.L."/>
    <x v="0"/>
    <s v="No growth Potential"/>
    <x v="0"/>
    <x v="0"/>
    <s v="TBD"/>
    <n v="67715"/>
    <s v="24-12-2021"/>
    <n v="0"/>
    <d v="2022-02-02T00:00:00"/>
  </r>
  <r>
    <s v="Indra TI"/>
    <x v="0"/>
    <s v="No growth Potential"/>
    <x v="0"/>
    <x v="0"/>
    <s v="Alcobendas"/>
    <n v="80523"/>
    <s v="13-03-2022"/>
    <n v="0"/>
    <d v="2022-02-05T00:00:00"/>
  </r>
  <r>
    <s v="MTNG Experience (MUSTANG)"/>
    <x v="0"/>
    <s v="No growth Potential"/>
    <x v="0"/>
    <x v="0"/>
    <s v="ELCHE"/>
    <n v="67742"/>
    <d v="2022-03-09T00:00:00"/>
    <n v="0"/>
    <d v="2022-02-11T00:00:00"/>
  </r>
  <r>
    <s v="Sagaci Research"/>
    <x v="0"/>
    <s v="No growth Potential"/>
    <x v="0"/>
    <x v="0"/>
    <s v="Barcelona"/>
    <n v="96217"/>
    <s v="24-11-2021"/>
    <n v="0"/>
    <d v="2022-02-02T00:00:00"/>
  </r>
  <r>
    <s v="Eurest Colectividades Sl"/>
    <x v="0"/>
    <s v="No growth Potential"/>
    <x v="0"/>
    <x v="0"/>
    <s v="Madrid"/>
    <n v="90293"/>
    <s v="13-04-2023"/>
    <n v="0"/>
    <d v="2023-02-06T00:00:00"/>
  </r>
  <r>
    <s v="AMC GRUPO ALIMENTACION FRESCO Y ZUMOS S.A."/>
    <x v="0"/>
    <s v="No growth Potential"/>
    <x v="0"/>
    <x v="0"/>
    <s v="Espinardo"/>
    <n v="270429"/>
    <s v="13-10-2022"/>
    <n v="0"/>
    <d v="2022-02-11T00:00:00"/>
  </r>
  <r>
    <s v="Eurekakids"/>
    <x v="0"/>
    <s v="No growth Potential"/>
    <x v="0"/>
    <x v="0"/>
    <s v="RIUDELLOTS DE LA SELVA"/>
    <n v="63020"/>
    <s v="13-04-2022"/>
    <n v="0"/>
    <d v="2022-02-06T00:00:00"/>
  </r>
  <r>
    <s v="Napptilus Tech Labs"/>
    <x v="0"/>
    <s v="No growth Potential"/>
    <x v="0"/>
    <x v="0"/>
    <s v="Barcelona"/>
    <n v="71125"/>
    <s v="24-12-2021"/>
    <n v="0"/>
    <d v="2022-02-02T00:00:00"/>
  </r>
  <r>
    <s v="Ministerio de Educación Cultura y Deporte"/>
    <x v="0"/>
    <s v="No growth Potential"/>
    <x v="0"/>
    <x v="0"/>
    <s v="TBD"/>
    <n v="48820"/>
    <d v="2021-12-06T00:00:00"/>
    <n v="0"/>
    <d v="2021-01-08T00:00:00"/>
  </r>
  <r>
    <s v="Alestis Aerospace"/>
    <x v="0"/>
    <s v="No growth Potential"/>
    <x v="0"/>
    <x v="0"/>
    <s v="TBD"/>
    <n v="118761"/>
    <s v="21-01-2023"/>
    <n v="0"/>
    <d v="2023-02-03T00:00:00"/>
  </r>
  <r>
    <s v="ATLANTIC COPPER S.L.U."/>
    <x v="0"/>
    <s v="No growth Potential"/>
    <x v="0"/>
    <x v="0"/>
    <s v="HUELVA"/>
    <n v="74208"/>
    <d v="2022-03-09T00:00:00"/>
    <n v="0"/>
    <d v="2022-02-11T00:00:00"/>
  </r>
  <r>
    <s v="AMICHI"/>
    <x v="0"/>
    <s v="No growth Potential"/>
    <x v="0"/>
    <x v="0"/>
    <s v="Las Rozas"/>
    <n v="62337"/>
    <s v="13-09-2022"/>
    <n v="0"/>
    <d v="2022-02-11T00:00:00"/>
  </r>
  <r>
    <s v="CASE on IT"/>
    <x v="0"/>
    <s v="No growth Potential"/>
    <x v="0"/>
    <x v="0"/>
    <s v="Madrid"/>
    <n v="143588"/>
    <s v="23-09-2022"/>
    <n v="0"/>
    <d v="2022-02-11T00:00:00"/>
  </r>
  <r>
    <s v="Ontecnia"/>
    <x v="1"/>
    <s v="High Growth potential"/>
    <x v="0"/>
    <x v="0"/>
    <s v="Valencia"/>
    <n v="61002"/>
    <d v="2022-06-07T00:00:00"/>
    <n v="8715"/>
    <d v="2022-05-08T00:00:00"/>
  </r>
  <r>
    <s v="Digital You"/>
    <x v="0"/>
    <s v="No growth Potential"/>
    <x v="0"/>
    <x v="0"/>
    <s v="TBD"/>
    <n v="109980"/>
    <d v="2022-03-04T00:00:00"/>
    <n v="0"/>
    <d v="2022-02-06T00:00:00"/>
  </r>
  <r>
    <s v="Ilunion"/>
    <x v="0"/>
    <s v="No growth Potential"/>
    <x v="0"/>
    <x v="0"/>
    <s v="TBD"/>
    <n v="106526"/>
    <s v="23-09-2022"/>
    <n v="0"/>
    <d v="2022-02-11T00:00:00"/>
  </r>
  <r>
    <s v="Tolsa SA"/>
    <x v="0"/>
    <s v="No growth Potential"/>
    <x v="0"/>
    <x v="0"/>
    <s v="Madrid"/>
    <n v="70969"/>
    <d v="2022-03-03T00:00:00"/>
    <n v="0"/>
    <d v="2022-02-05T00:00:00"/>
  </r>
  <r>
    <s v="Miquel Alimentacio Grup"/>
    <x v="0"/>
    <s v="No growth Potential"/>
    <x v="0"/>
    <x v="0"/>
    <s v="Vilamalla"/>
    <n v="100034"/>
    <d v="2023-01-01T00:00:00"/>
    <n v="0"/>
    <d v="2023-02-03T00:00:00"/>
  </r>
  <r>
    <s v="NAE Comunicacions"/>
    <x v="0"/>
    <s v="No growth Potential"/>
    <x v="0"/>
    <x v="0"/>
    <s v="Barcelona"/>
    <n v="107069"/>
    <d v="2022-02-11T00:00:00"/>
    <n v="0"/>
    <d v="2022-02-12T00:00:00"/>
  </r>
  <r>
    <s v="UniqueGate"/>
    <x v="0"/>
    <s v="No growth Potential"/>
    <x v="0"/>
    <x v="1"/>
    <s v="TBD"/>
    <n v="143517"/>
    <s v="24-05-2022"/>
    <n v="0"/>
    <d v="2022-02-08T00:00:00"/>
  </r>
  <r>
    <s v="ABAMOBILE SOLUTIONS SLU"/>
    <x v="0"/>
    <s v="No growth Potential"/>
    <x v="0"/>
    <x v="0"/>
    <s v="LLANERA"/>
    <n v="58504"/>
    <s v="23-09-2022"/>
    <n v="0"/>
    <d v="2022-02-11T00:00:00"/>
  </r>
  <r>
    <s v="DISTRICENTER S.A."/>
    <x v="0"/>
    <s v="No growth Potential"/>
    <x v="0"/>
    <x v="0"/>
    <s v="BARCELONA"/>
    <n v="95966"/>
    <s v="24-08-2022"/>
    <n v="0"/>
    <d v="2022-02-11T00:00:00"/>
  </r>
  <r>
    <s v="FUERTE HOTELES"/>
    <x v="1"/>
    <s v="High Growth potential"/>
    <x v="0"/>
    <x v="0"/>
    <s v="Marbella"/>
    <n v="54725"/>
    <s v="16-10-2022"/>
    <n v="27362"/>
    <d v="2022-05-11T00:00:00"/>
  </r>
  <r>
    <s v="Addilate"/>
    <x v="0"/>
    <s v="No growth Potential"/>
    <x v="0"/>
    <x v="0"/>
    <s v="Barcelona"/>
    <n v="147868"/>
    <s v="13-05-2022"/>
    <n v="0"/>
    <d v="2022-02-06T00:00:00"/>
  </r>
  <r>
    <s v="MEDIABIT EVENT SL"/>
    <x v="0"/>
    <s v="No growth Potential"/>
    <x v="0"/>
    <x v="0"/>
    <s v="VALDEPENAS"/>
    <n v="112714"/>
    <d v="2022-03-09T00:00:00"/>
    <n v="0"/>
    <d v="2022-02-11T00:00:00"/>
  </r>
  <r>
    <s v="Everpross S.L."/>
    <x v="0"/>
    <s v="No growth Potential"/>
    <x v="0"/>
    <x v="0"/>
    <s v="Madrid"/>
    <n v="74208"/>
    <s v="13-10-2022"/>
    <n v="0"/>
    <d v="2022-02-11T00:00:00"/>
  </r>
  <r>
    <s v="Nice People At Work"/>
    <x v="0"/>
    <s v="No growth Potential"/>
    <x v="0"/>
    <x v="0"/>
    <s v="Barcelona"/>
    <n v="90068"/>
    <s v="13-09-2022"/>
    <n v="0"/>
    <d v="2022-02-11T00:00:00"/>
  </r>
  <r>
    <s v="SAN PATRICK S.L"/>
    <x v="0"/>
    <s v="No growth Potential"/>
    <x v="0"/>
    <x v="0"/>
    <s v="EL PRAT DE LLOBREGAT"/>
    <n v="80085"/>
    <s v="13-10-2022"/>
    <n v="0"/>
    <d v="2022-02-11T00:00:00"/>
  </r>
  <r>
    <s v="Grupo Visabeira"/>
    <x v="0"/>
    <s v="No growth Potential"/>
    <x v="0"/>
    <x v="1"/>
    <s v="Viseu"/>
    <n v="157857"/>
    <s v="13-08-2022"/>
    <n v="0"/>
    <d v="2022-02-10T00:00:00"/>
  </r>
  <r>
    <s v="Eulen S.A."/>
    <x v="0"/>
    <s v="No growth Potential"/>
    <x v="0"/>
    <x v="0"/>
    <s v="Madrid"/>
    <n v="88677"/>
    <d v="2022-03-09T00:00:00"/>
    <n v="0"/>
    <d v="2022-02-11T00:00:00"/>
  </r>
  <r>
    <s v="GENERAL OPTICA S.A."/>
    <x v="0"/>
    <s v="No growth Potential"/>
    <x v="0"/>
    <x v="0"/>
    <s v="Barcelona"/>
    <n v="203793"/>
    <d v="2022-03-09T00:00:00"/>
    <n v="0"/>
    <d v="2022-02-11T00:00:00"/>
  </r>
  <r>
    <s v="Amtega Xunta de Galicia"/>
    <x v="1"/>
    <s v="High Growth potential"/>
    <x v="0"/>
    <x v="0"/>
    <s v="Sada"/>
    <n v="55037"/>
    <d v="2022-02-05T00:00:00"/>
    <n v="2752"/>
    <d v="2022-11-06T00:00:00"/>
  </r>
  <r>
    <s v="United Nations Data Cenre"/>
    <x v="0"/>
    <s v="No growth Potential"/>
    <x v="0"/>
    <x v="0"/>
    <s v="TBD"/>
    <n v="106786"/>
    <s v="14-07-2022"/>
    <n v="0"/>
    <d v="2022-02-09T00:00:00"/>
  </r>
  <r>
    <s v="ARAG"/>
    <x v="0"/>
    <s v="No growth Potential"/>
    <x v="0"/>
    <x v="0"/>
    <s v="Barcelona"/>
    <n v="83160"/>
    <d v="2022-03-10T00:00:00"/>
    <n v="0"/>
    <d v="2022-02-11T00:00:00"/>
  </r>
  <r>
    <s v="BlaBlaCar"/>
    <x v="0"/>
    <s v="No growth Potential"/>
    <x v="0"/>
    <x v="0"/>
    <s v="TBD"/>
    <n v="137608"/>
    <d v="2022-10-02T00:00:00"/>
    <n v="0"/>
    <d v="2022-02-03T00:00:00"/>
  </r>
  <r>
    <s v="CESPA"/>
    <x v="0"/>
    <s v="No growth Potential"/>
    <x v="0"/>
    <x v="0"/>
    <s v="TBD"/>
    <n v="157835"/>
    <s v="23-10-2022"/>
    <n v="0"/>
    <d v="2022-02-11T00:00:00"/>
  </r>
  <r>
    <s v="de martina"/>
    <x v="0"/>
    <s v="No growth Potential"/>
    <x v="0"/>
    <x v="0"/>
    <s v="SEVILLA"/>
    <n v="187470"/>
    <s v="22-04-2022"/>
    <n v="0"/>
    <d v="2022-02-05T00:00:00"/>
  </r>
  <r>
    <s v="080 webs"/>
    <x v="0"/>
    <s v="No growth Potential"/>
    <x v="0"/>
    <x v="0"/>
    <s v="Barcelona"/>
    <n v="102196"/>
    <d v="2022-03-10T00:00:00"/>
    <n v="0"/>
    <d v="2022-02-11T00:00:00"/>
  </r>
  <r>
    <s v="Lanidor"/>
    <x v="0"/>
    <s v="No growth Potential"/>
    <x v="0"/>
    <x v="1"/>
    <s v="PORTO"/>
    <n v="100539"/>
    <s v="23-01-2022"/>
    <n v="0"/>
    <d v="2022-02-02T00:00:00"/>
  </r>
  <r>
    <s v="The Stikets Company"/>
    <x v="0"/>
    <s v="No growth Potential"/>
    <x v="0"/>
    <x v="0"/>
    <s v="TBD"/>
    <n v="76925"/>
    <d v="2023-03-03T00:00:00"/>
    <n v="0"/>
    <d v="2023-02-05T00:00:00"/>
  </r>
  <r>
    <s v="Fergus Hotels"/>
    <x v="0"/>
    <s v="No growth Potential"/>
    <x v="0"/>
    <x v="0"/>
    <s v="TBD"/>
    <n v="110085"/>
    <d v="2022-03-09T00:00:00"/>
    <n v="0"/>
    <d v="2022-02-11T00:00:00"/>
  </r>
  <r>
    <s v="Vallstein"/>
    <x v="0"/>
    <s v="No growth Potential"/>
    <x v="0"/>
    <x v="1"/>
    <s v="TBD"/>
    <n v="83580"/>
    <d v="2021-04-12T00:00:00"/>
    <n v="0"/>
    <d v="2022-02-02T00:00:00"/>
  </r>
  <r>
    <s v="SKUNKFUNK"/>
    <x v="0"/>
    <s v="No growth Potential"/>
    <x v="0"/>
    <x v="0"/>
    <s v="GERNIKA"/>
    <m/>
    <s v="13-10-2022"/>
    <n v="0"/>
    <d v="2022-02-11T00:00:00"/>
  </r>
  <r>
    <s v="Cajasur"/>
    <x v="0"/>
    <s v="No growth Potential"/>
    <x v="0"/>
    <x v="0"/>
    <s v="TBD"/>
    <n v="42045"/>
    <s v="23-01-2022"/>
    <n v="0"/>
    <d v="2022-02-02T00:00:00"/>
  </r>
  <r>
    <s v="INFOSERNT"/>
    <x v="0"/>
    <s v="No growth Potential"/>
    <x v="0"/>
    <x v="0"/>
    <s v="TBD"/>
    <n v="72988"/>
    <s v="13-10-2022"/>
    <n v="0"/>
    <d v="2022-02-11T00:00:00"/>
  </r>
  <r>
    <s v="BeFactory"/>
    <x v="0"/>
    <s v="Medium Growth"/>
    <x v="0"/>
    <x v="0"/>
    <s v="TBD"/>
    <n v="203733"/>
    <d v="2022-11-02T00:00:00"/>
    <n v="0"/>
    <d v="2022-02-04T00:00:00"/>
  </r>
  <r>
    <s v="Buywins"/>
    <x v="0"/>
    <s v="Medium Growth"/>
    <x v="0"/>
    <x v="0"/>
    <s v="Elche"/>
    <n v="172921"/>
    <s v="13-09-2022"/>
    <n v="0"/>
    <d v="2022-02-11T00:00:00"/>
  </r>
  <r>
    <s v="Inforges"/>
    <x v="0"/>
    <s v="Medium Growth"/>
    <x v="0"/>
    <x v="0"/>
    <s v="TBD"/>
    <n v="56858"/>
    <d v="2022-03-09T00:00:00"/>
    <n v="0"/>
    <d v="2022-02-11T00:00:00"/>
  </r>
  <r>
    <s v="Power8"/>
    <x v="0"/>
    <s v="No growth Potential"/>
    <x v="0"/>
    <x v="0"/>
    <s v="Barcelona"/>
    <n v="76983"/>
    <s v="23-10-2022"/>
    <n v="0"/>
    <d v="2022-02-11T00:00:00"/>
  </r>
  <r>
    <s v="Juniper"/>
    <x v="0"/>
    <s v="No growth Potential"/>
    <x v="0"/>
    <x v="0"/>
    <s v="Palma de Mallorca"/>
    <n v="43881"/>
    <s v="23-09-2022"/>
    <n v="0"/>
    <d v="2022-02-11T00:00:00"/>
  </r>
  <r>
    <s v="Investing PROFit Wisely"/>
    <x v="0"/>
    <s v="No growth Potential"/>
    <x v="0"/>
    <x v="0"/>
    <s v="TBD"/>
    <n v="88013"/>
    <d v="2022-03-09T00:00:00"/>
    <n v="0"/>
    <d v="2022-02-11T00:00:00"/>
  </r>
  <r>
    <s v="Arcadja"/>
    <x v="0"/>
    <s v="No growth Potential"/>
    <x v="0"/>
    <x v="2"/>
    <s v="BRESCIA"/>
    <n v="92126"/>
    <s v="21-02-2022"/>
    <n v="0"/>
    <d v="2022-02-04T00:00:00"/>
  </r>
  <r>
    <s v="Digital Studio Tratamiento digital de la imagen S.A."/>
    <x v="0"/>
    <s v="No growth Potential"/>
    <x v="0"/>
    <x v="0"/>
    <s v="San Sebastian"/>
    <n v="106692"/>
    <d v="2022-03-04T00:00:00"/>
    <n v="0"/>
    <d v="2022-02-06T00:00:00"/>
  </r>
  <r>
    <s v="Aao Optico Sa."/>
    <x v="0"/>
    <s v="No growth Potential"/>
    <x v="0"/>
    <x v="0"/>
    <s v="Madrid"/>
    <n v="133858"/>
    <d v="2022-03-01T00:00:00"/>
    <n v="0"/>
    <d v="2022-02-02T00:00:00"/>
  </r>
  <r>
    <s v="Fagor Electrodomesticos S.Coop."/>
    <x v="0"/>
    <s v="No growth Potential"/>
    <x v="0"/>
    <x v="0"/>
    <s v="Basauri"/>
    <n v="368455"/>
    <s v="14-12-2021"/>
    <n v="0"/>
    <d v="2022-02-02T00:00:00"/>
  </r>
  <r>
    <s v="LINPAC PLASTICS PRAVIA (TERPLA) S.A."/>
    <x v="0"/>
    <s v="No growth Potential"/>
    <x v="0"/>
    <x v="0"/>
    <s v="Pravia"/>
    <n v="107211"/>
    <s v="13-09-2022"/>
    <n v="0"/>
    <d v="2022-02-11T00:00:00"/>
  </r>
  <r>
    <s v="Outletic"/>
    <x v="0"/>
    <s v="No growth Potential"/>
    <x v="0"/>
    <x v="0"/>
    <s v="Barcelona"/>
    <n v="115087"/>
    <s v="23-09-2022"/>
    <n v="0"/>
    <d v="2022-02-11T00:00:00"/>
  </r>
  <r>
    <s v="Marriott International Inc. Spain"/>
    <x v="0"/>
    <s v="No growth Potential"/>
    <x v="0"/>
    <x v="0"/>
    <s v="TBD"/>
    <n v="104166"/>
    <s v="24-11-2021"/>
    <n v="0"/>
    <d v="2022-02-02T00:00:00"/>
  </r>
  <r>
    <s v="BERGE Y CIA S.A (BERGE Y COMPAÑÍA)"/>
    <x v="0"/>
    <s v="No growth Potential"/>
    <x v="0"/>
    <x v="0"/>
    <s v="Madrid"/>
    <n v="143497"/>
    <s v="13-10-2022"/>
    <n v="0"/>
    <d v="2022-02-11T00:00:00"/>
  </r>
  <r>
    <s v="Aernnova"/>
    <x v="0"/>
    <s v="No growth Potential"/>
    <x v="0"/>
    <x v="0"/>
    <s v="TBD"/>
    <n v="127427"/>
    <s v="23-06-2022"/>
    <n v="0"/>
    <d v="2022-02-08T00:00:00"/>
  </r>
  <r>
    <s v="Doctoralia"/>
    <x v="0"/>
    <s v="No growth Potential"/>
    <x v="0"/>
    <x v="0"/>
    <s v="TBD"/>
    <n v="355370"/>
    <s v="13-05-2022"/>
    <n v="0"/>
    <d v="2022-02-07T00:00:00"/>
  </r>
  <r>
    <s v="TIREA"/>
    <x v="0"/>
    <s v="No growth Potential"/>
    <x v="0"/>
    <x v="0"/>
    <s v="TBD"/>
    <n v="191190"/>
    <s v="24-08-2022"/>
    <n v="0"/>
    <d v="2022-02-11T00:00:00"/>
  </r>
  <r>
    <s v="Party Fiesta"/>
    <x v="0"/>
    <s v="No growth Potential"/>
    <x v="0"/>
    <x v="0"/>
    <s v="TBD"/>
    <n v="209817"/>
    <s v="24-11-2021"/>
    <n v="0"/>
    <d v="2022-02-02T00:00:00"/>
  </r>
  <r>
    <s v="Visualforma-Forma"/>
    <x v="0"/>
    <s v="No growth Potential"/>
    <x v="0"/>
    <x v="1"/>
    <s v="FARO"/>
    <n v="49625"/>
    <s v="23-03-2022"/>
    <n v="0"/>
    <d v="2022-02-05T00:00:00"/>
  </r>
  <r>
    <s v="La Suite Comunicación"/>
    <x v="0"/>
    <s v="No growth Potential"/>
    <x v="0"/>
    <x v="0"/>
    <s v="TBD"/>
    <n v="101488"/>
    <s v="14-12-2021"/>
    <n v="0"/>
    <d v="2022-02-02T00:00:00"/>
  </r>
  <r>
    <s v="Grupauto"/>
    <x v="0"/>
    <s v="No growth Potential"/>
    <x v="0"/>
    <x v="0"/>
    <s v="TBD"/>
    <n v="101400"/>
    <d v="2022-12-04T00:00:00"/>
    <n v="0"/>
    <d v="2022-02-05T00:00:00"/>
  </r>
  <r>
    <s v="Kaizen Networks"/>
    <x v="0"/>
    <s v="No growth Potential"/>
    <x v="0"/>
    <x v="0"/>
    <s v="TBD"/>
    <n v="67715"/>
    <s v="13-01-2022"/>
    <n v="0"/>
    <d v="2022-02-02T00:00:00"/>
  </r>
  <r>
    <s v="URIACH-AQUILEA OTC S.L. (ESPA?OL)"/>
    <x v="0"/>
    <s v="No growth Potential"/>
    <x v="0"/>
    <x v="0"/>
    <s v="BARCELONA"/>
    <n v="80523"/>
    <s v="23-10-2022"/>
    <n v="0"/>
    <d v="2022-02-11T00:00:00"/>
  </r>
  <r>
    <s v="Club La Costa Spain"/>
    <x v="0"/>
    <s v="No growth Potential"/>
    <x v="0"/>
    <x v="0"/>
    <s v="TBD"/>
    <n v="67742"/>
    <d v="2022-12-06T00:00:00"/>
    <n v="0"/>
    <d v="2022-02-07T00:00:00"/>
  </r>
  <r>
    <s v="Asociación Nacional Emprender en España"/>
    <x v="0"/>
    <s v="No growth Potential"/>
    <x v="0"/>
    <x v="0"/>
    <s v="TBD"/>
    <n v="96217"/>
    <s v="13-05-2022"/>
    <n v="0"/>
    <d v="2022-02-06T00:00:00"/>
  </r>
  <r>
    <s v="Eelp!"/>
    <x v="0"/>
    <s v="No growth Potential"/>
    <x v="0"/>
    <x v="0"/>
    <s v="TBD"/>
    <n v="90293"/>
    <s v="13-10-2022"/>
    <n v="0"/>
    <d v="2022-02-11T00:00:00"/>
  </r>
  <r>
    <s v="Autodescuento.es"/>
    <x v="0"/>
    <s v="No growth Potential"/>
    <x v="0"/>
    <x v="0"/>
    <s v="Madrid"/>
    <n v="270429"/>
    <s v="23-10-2022"/>
    <n v="0"/>
    <d v="2022-02-11T00:00:00"/>
  </r>
  <r>
    <s v="Ohlala Mobile SL"/>
    <x v="0"/>
    <s v="No growth Potential"/>
    <x v="0"/>
    <x v="0"/>
    <s v="Madrid"/>
    <n v="63020"/>
    <d v="2022-03-03T00:00:00"/>
    <n v="0"/>
    <d v="2022-02-04T00:00:00"/>
  </r>
  <r>
    <s v="Carnes Selectas 2000 S.A"/>
    <x v="0"/>
    <s v="Medium Growth"/>
    <x v="0"/>
    <x v="0"/>
    <s v="Burgos"/>
    <n v="71125"/>
    <s v="24-12-2021"/>
    <n v="0"/>
    <d v="2022-02-02T00:00:00"/>
  </r>
  <r>
    <s v="Fotoprix"/>
    <x v="0"/>
    <s v="No growth Potential"/>
    <x v="0"/>
    <x v="0"/>
    <s v="Barcelona"/>
    <n v="48820"/>
    <s v="13-09-2022"/>
    <n v="0"/>
    <d v="2022-02-11T00:00:00"/>
  </r>
  <r>
    <s v="SEDAL S.A."/>
    <x v="0"/>
    <s v="Medium Growth"/>
    <x v="0"/>
    <x v="0"/>
    <s v="MOLINS DE REI"/>
    <n v="118761"/>
    <d v="2022-03-09T00:00:00"/>
    <n v="0"/>
    <d v="2022-02-11T00:00:00"/>
  </r>
  <r>
    <s v="Grandcloset"/>
    <x v="0"/>
    <s v="No growth Potential"/>
    <x v="0"/>
    <x v="0"/>
    <s v="MADRID"/>
    <n v="74208"/>
    <s v="22-12-2021"/>
    <n v="0"/>
    <d v="2022-02-03T00:00:00"/>
  </r>
  <r>
    <s v="Diputacion Provincial de la Coruna"/>
    <x v="0"/>
    <s v="No growth Potential"/>
    <x v="0"/>
    <x v="0"/>
    <s v="A CORUNA"/>
    <n v="62337"/>
    <d v="2022-03-04T00:00:00"/>
    <n v="0"/>
    <d v="2022-02-06T00:00:00"/>
  </r>
  <r>
    <s v="Credito y Caucion"/>
    <x v="0"/>
    <s v="No growth Potential"/>
    <x v="0"/>
    <x v="0"/>
    <s v="MADRID"/>
    <n v="106208"/>
    <s v="13-10-2022"/>
    <n v="0"/>
    <d v="2022-02-12T00:00:00"/>
  </r>
  <r>
    <s v="Roland Iberia Sl"/>
    <x v="0"/>
    <s v="Medium Growth"/>
    <x v="0"/>
    <x v="0"/>
    <s v="Barcelona"/>
    <n v="122068"/>
    <s v="22-01-2022"/>
    <n v="0"/>
    <d v="2022-02-04T00:00:00"/>
  </r>
  <r>
    <s v="Loger S.a."/>
    <x v="0"/>
    <s v="No growth Potential"/>
    <x v="0"/>
    <x v="0"/>
    <s v="Castello De La Plana"/>
    <n v="112085"/>
    <d v="2022-03-08T00:00:00"/>
    <n v="0"/>
    <d v="2022-02-09T00:00:00"/>
  </r>
  <r>
    <s v="Instituciones Penitenciarias"/>
    <x v="0"/>
    <s v="No growth Potential"/>
    <x v="0"/>
    <x v="0"/>
    <s v="Madrid"/>
    <n v="189857"/>
    <d v="2021-02-12T00:00:00"/>
    <n v="0"/>
    <d v="2022-01-01T00:00:00"/>
  </r>
  <r>
    <s v="Narada Robotics"/>
    <x v="0"/>
    <s v="No growth Potential"/>
    <x v="0"/>
    <x v="0"/>
    <s v="Barcelona"/>
    <n v="120677"/>
    <s v="14-12-2021"/>
    <n v="0"/>
    <d v="2022-02-02T00:00:00"/>
  </r>
  <r>
    <s v="FREEPIK"/>
    <x v="1"/>
    <s v="High Growth potential"/>
    <x v="0"/>
    <x v="0"/>
    <s v="TBD"/>
    <n v="235793"/>
    <s v="26-09-2022"/>
    <n v="39299"/>
    <d v="2022-05-11T00:00:00"/>
  </r>
  <r>
    <s v="IFEMA"/>
    <x v="0"/>
    <s v="No growth Potential"/>
    <x v="0"/>
    <x v="0"/>
    <s v="MADRID"/>
    <n v="87037"/>
    <s v="13-10-2022"/>
    <n v="0"/>
    <d v="2022-02-11T00:00:00"/>
  </r>
  <r>
    <s v="Aprendetec"/>
    <x v="0"/>
    <s v="Medium Growth"/>
    <x v="0"/>
    <x v="0"/>
    <s v="TBD"/>
    <n v="138786"/>
    <s v="13-09-2022"/>
    <n v="0"/>
    <d v="2022-02-11T00:00:00"/>
  </r>
  <r>
    <s v="WEALTH SA"/>
    <x v="0"/>
    <s v="No growth Potential"/>
    <x v="0"/>
    <x v="0"/>
    <s v="Barcelona"/>
    <n v="115160"/>
    <s v="23-10-2022"/>
    <n v="0"/>
    <d v="2022-02-11T00:00:00"/>
  </r>
  <r>
    <s v="MHP Servicios de Control"/>
    <x v="0"/>
    <s v="No growth Potential"/>
    <x v="0"/>
    <x v="0"/>
    <s v="Las Palmas De Gran Canaria"/>
    <n v="169608"/>
    <s v="23-10-2022"/>
    <n v="0"/>
    <d v="2022-02-11T00:00:00"/>
  </r>
  <r>
    <s v="CORPORACION BORGES"/>
    <x v="0"/>
    <s v="No growth Potential"/>
    <x v="0"/>
    <x v="0"/>
    <s v="REUS"/>
    <n v="189835"/>
    <s v="13-10-2022"/>
    <n v="0"/>
    <d v="2022-02-11T00:00:00"/>
  </r>
  <r>
    <s v="Solutex"/>
    <x v="0"/>
    <s v="No growth Potential"/>
    <x v="0"/>
    <x v="0"/>
    <s v="MALLEN"/>
    <n v="219470"/>
    <d v="2022-03-09T00:00:00"/>
    <n v="0"/>
    <d v="2022-02-11T00:00:00"/>
  </r>
  <r>
    <s v="AnfiGROUP"/>
    <x v="0"/>
    <s v="Medium Growth"/>
    <x v="0"/>
    <x v="0"/>
    <s v="TBD"/>
    <n v="134196"/>
    <s v="13-09-2022"/>
    <n v="0"/>
    <d v="2022-02-11T00:00:00"/>
  </r>
  <r>
    <s v="MR. BOHO"/>
    <x v="0"/>
    <s v="No growth Potential"/>
    <x v="0"/>
    <x v="0"/>
    <s v="Madrid"/>
    <n v="132539"/>
    <d v="2022-03-10T00:00:00"/>
    <n v="0"/>
    <d v="2022-02-11T00:00:00"/>
  </r>
  <r>
    <s v="OPTICA SALAS S.L."/>
    <x v="0"/>
    <s v="Medium Growth"/>
    <x v="0"/>
    <x v="0"/>
    <s v="TBD"/>
    <n v="108925"/>
    <s v="23-09-2022"/>
    <n v="0"/>
    <d v="2022-02-11T00:00:00"/>
  </r>
  <r>
    <s v="Dinamic Comunicació"/>
    <x v="0"/>
    <s v="No growth Potential"/>
    <x v="0"/>
    <x v="0"/>
    <s v="Barcelona"/>
    <n v="142085"/>
    <d v="2022-01-02T00:00:00"/>
    <n v="0"/>
    <d v="2022-02-04T00:00:00"/>
  </r>
  <r>
    <s v="LeasePlan"/>
    <x v="0"/>
    <s v="No growth Potential"/>
    <x v="0"/>
    <x v="0"/>
    <s v="TBD"/>
    <n v="115580"/>
    <d v="2022-11-01T00:00:00"/>
    <n v="0"/>
    <d v="2022-02-03T00:00:00"/>
  </r>
  <r>
    <s v="Premium Ingredients"/>
    <x v="0"/>
    <s v="Medium Growth"/>
    <x v="0"/>
    <x v="0"/>
    <s v="Murcia"/>
    <n v="32000"/>
    <s v="13-09-2022"/>
    <n v="0"/>
    <d v="2022-02-11T00:00:00"/>
  </r>
  <r>
    <s v="El taller"/>
    <x v="0"/>
    <s v="No growth Potential"/>
    <x v="0"/>
    <x v="0"/>
    <s v="MADRID"/>
    <n v="74045"/>
    <s v="21-02-2022"/>
    <n v="0"/>
    <d v="2022-02-05T00:00:00"/>
  </r>
  <r>
    <s v="PRIORITY SOLUTIONS"/>
    <x v="0"/>
    <s v="No growth Potential"/>
    <x v="0"/>
    <x v="0"/>
    <s v="MADRID"/>
    <n v="104988"/>
    <d v="2022-03-10T00:00:00"/>
    <n v="0"/>
    <d v="2022-02-11T00:00:00"/>
  </r>
  <r>
    <s v="SOCIEDAD ANÓNIMA INDUSTRIAS CELULOSA ARAGONESA - SAICA"/>
    <x v="0"/>
    <s v="No growth Potential"/>
    <x v="0"/>
    <x v="0"/>
    <s v="EL BURGO DE EBRO"/>
    <n v="235733"/>
    <s v="13-10-2022"/>
    <n v="0"/>
    <d v="2022-02-11T00:00:00"/>
  </r>
  <r>
    <s v="Top Rural"/>
    <x v="0"/>
    <s v="No growth Potential"/>
    <x v="0"/>
    <x v="0"/>
    <s v="MADRID"/>
    <n v="204921"/>
    <s v="23-07-2022"/>
    <n v="0"/>
    <d v="2022-02-08T00:00:00"/>
  </r>
  <r>
    <s v="Universidad de Cordoba"/>
    <x v="0"/>
    <s v="No growth Potential"/>
    <x v="0"/>
    <x v="0"/>
    <s v="Cordoba"/>
    <n v="88858"/>
    <s v="22-09-2022"/>
    <n v="0"/>
    <d v="2022-02-10T00:00:00"/>
  </r>
  <r>
    <s v="Entersoftweb"/>
    <x v="0"/>
    <s v="No growth Potential"/>
    <x v="0"/>
    <x v="0"/>
    <s v="Malaga"/>
    <n v="108983"/>
    <s v="13-10-2022"/>
    <n v="0"/>
    <d v="2022-02-11T00:00:00"/>
  </r>
  <r>
    <s v="Fundacion Marq. Comunidad Valenciana"/>
    <x v="0"/>
    <s v="No growth Potential"/>
    <x v="0"/>
    <x v="0"/>
    <s v="Alicante"/>
    <n v="75881"/>
    <d v="2022-12-04T00:00:00"/>
    <n v="0"/>
    <d v="2022-02-05T00:00:00"/>
  </r>
  <r>
    <s v="Neck Child SA"/>
    <x v="0"/>
    <s v="No growth Potential"/>
    <x v="0"/>
    <x v="0"/>
    <s v="SAN FERNANDO DE HENARES"/>
    <n v="120013"/>
    <d v="2022-03-10T00:00:00"/>
    <n v="0"/>
    <d v="2022-02-11T00:00:00"/>
  </r>
  <r>
    <s v="Fomento De Centros De Ensenanza S.A"/>
    <x v="0"/>
    <s v="No growth Potential"/>
    <x v="0"/>
    <x v="0"/>
    <s v="Madrid"/>
    <n v="124126"/>
    <d v="2022-03-04T00:00:00"/>
    <n v="0"/>
    <d v="2022-03-05T00:00:00"/>
  </r>
  <r>
    <s v="MANTENIMIENTOS AYUDA EXPLOTACION |Y SERVICIOS SA"/>
    <x v="0"/>
    <s v="No growth Potential"/>
    <x v="0"/>
    <x v="0"/>
    <s v="Madrid"/>
    <n v="138692"/>
    <s v="23-09-2022"/>
    <n v="0"/>
    <d v="2022-02-11T00:00:00"/>
  </r>
  <r>
    <s v="CRISTIAN LAY SA"/>
    <x v="0"/>
    <s v="No growth Potential"/>
    <x v="0"/>
    <x v="0"/>
    <s v="JEREZ DE LOS CABALLEROS"/>
    <n v="147362"/>
    <s v="23-09-2022"/>
    <n v="0"/>
    <d v="2022-02-11T00:00:00"/>
  </r>
  <r>
    <s v="UNIVERSITAT DE BARCELONA"/>
    <x v="0"/>
    <s v="No growth Potential"/>
    <x v="0"/>
    <x v="0"/>
    <s v="Barcelona"/>
    <n v="106526"/>
    <s v="13-09-2022"/>
    <n v="0"/>
    <d v="2022-02-11T00:00:00"/>
  </r>
  <r>
    <s v="CONFIRMA SISTEMAS"/>
    <x v="0"/>
    <s v="No growth Potential"/>
    <x v="0"/>
    <x v="0"/>
    <s v="TRES CANTOS"/>
    <n v="70969"/>
    <s v="23-10-2022"/>
    <n v="0"/>
    <d v="2022-02-11T00:00:00"/>
  </r>
  <r>
    <s v="Capside"/>
    <x v="0"/>
    <s v="No growth Potential"/>
    <x v="0"/>
    <x v="0"/>
    <s v="Barcelona"/>
    <n v="100034"/>
    <d v="2022-03-01T00:00:00"/>
    <n v="0"/>
    <d v="2022-02-02T00:00:00"/>
  </r>
  <r>
    <s v="Invent Farma"/>
    <x v="0"/>
    <s v="No growth Potential"/>
    <x v="0"/>
    <x v="0"/>
    <s v="TBD"/>
    <n v="101400"/>
    <s v="24-07-2022"/>
    <n v="0"/>
    <d v="2022-02-09T00:00:00"/>
  </r>
  <r>
    <s v="MC2I GROUPE - CONSEIL EN SYSTEMES D'INFORMATION"/>
    <x v="0"/>
    <s v="No growth Potential"/>
    <x v="0"/>
    <x v="3"/>
    <s v="Paris"/>
    <n v="67715"/>
    <s v="23-09-2022"/>
    <n v="0"/>
    <d v="2022-02-11T00:00:00"/>
  </r>
  <r>
    <s v="Smartcommerce"/>
    <x v="0"/>
    <s v="No growth Potential"/>
    <x v="0"/>
    <x v="0"/>
    <s v="TBD"/>
    <n v="80523"/>
    <d v="2022-11-01T00:00:00"/>
    <n v="0"/>
    <d v="2022-02-03T00:00:00"/>
  </r>
  <r>
    <s v="CRUZ ROJA ESPAÑOLA"/>
    <x v="0"/>
    <s v="No growth Potential"/>
    <x v="0"/>
    <x v="0"/>
    <s v="MADRID"/>
    <n v="67742"/>
    <s v="23-10-2022"/>
    <n v="0"/>
    <d v="2022-02-11T00:00:00"/>
  </r>
  <r>
    <s v="Animalear"/>
    <x v="0"/>
    <s v="No growth Potential"/>
    <x v="0"/>
    <x v="0"/>
    <s v="TBD"/>
    <n v="96217"/>
    <s v="22-04-2022"/>
    <n v="0"/>
    <d v="2022-02-05T00:00:00"/>
  </r>
  <r>
    <s v="UX is Ready"/>
    <x v="0"/>
    <s v="No growth Potential"/>
    <x v="0"/>
    <x v="0"/>
    <s v="Barcelona"/>
    <n v="90293"/>
    <s v="24-06-2022"/>
    <n v="0"/>
    <d v="2022-02-09T00:00:00"/>
  </r>
  <r>
    <s v="ASEI"/>
    <x v="0"/>
    <s v="No growth Potential"/>
    <x v="0"/>
    <x v="0"/>
    <s v="Zarautz"/>
    <n v="270429"/>
    <s v="23-10-2022"/>
    <n v="0"/>
    <d v="2022-02-11T00:00:00"/>
  </r>
  <r>
    <s v="Webs Catalunya"/>
    <x v="0"/>
    <s v="No growth Potential"/>
    <x v="0"/>
    <x v="0"/>
    <s v="Barcelona"/>
    <n v="63020"/>
    <s v="22-06-2022"/>
    <n v="0"/>
    <d v="2022-02-07T00:00:00"/>
  </r>
  <r>
    <s v="ZANKYOU VENTURES"/>
    <x v="0"/>
    <s v="Medium Growth"/>
    <x v="0"/>
    <x v="0"/>
    <s v="Madrid"/>
    <n v="71125"/>
    <s v="23-09-2022"/>
    <n v="0"/>
    <d v="2022-02-11T00:00:00"/>
  </r>
  <r>
    <s v="IES Beatriz Galindo"/>
    <x v="0"/>
    <s v="No growth Potential"/>
    <x v="0"/>
    <x v="0"/>
    <s v="Madrid"/>
    <n v="48820"/>
    <s v="22-06-2022"/>
    <n v="0"/>
    <d v="2022-02-07T00:00:00"/>
  </r>
  <r>
    <s v="Koloxo"/>
    <x v="0"/>
    <s v="No growth Potential"/>
    <x v="0"/>
    <x v="0"/>
    <s v="Madrid"/>
    <n v="118761"/>
    <d v="2022-03-10T00:00:00"/>
    <n v="0"/>
    <d v="2022-02-11T00:00:00"/>
  </r>
  <r>
    <s v="Via directa"/>
    <x v="0"/>
    <s v="No growth Potential"/>
    <x v="0"/>
    <x v="1"/>
    <s v="LISBOA"/>
    <n v="74208"/>
    <s v="22-12-2021"/>
    <n v="0"/>
    <d v="2022-02-03T00:00:00"/>
  </r>
  <r>
    <s v="Web Security Auditors"/>
    <x v="0"/>
    <s v="No growth Potential"/>
    <x v="0"/>
    <x v="1"/>
    <s v="Porto"/>
    <n v="62337"/>
    <s v="13-09-2022"/>
    <n v="0"/>
    <d v="2022-02-11T00:00:00"/>
  </r>
  <r>
    <s v="Clemente Gomez De Zamora S.A."/>
    <x v="0"/>
    <s v="No growth Potential"/>
    <x v="0"/>
    <x v="0"/>
    <s v="Alcobendas"/>
    <n v="143588"/>
    <s v="22-08-2021"/>
    <n v="0"/>
    <d v="2021-01-09T00:00:00"/>
  </r>
  <r>
    <s v="Ferrovial"/>
    <x v="1"/>
    <s v="Medium Growth"/>
    <x v="0"/>
    <x v="0"/>
    <s v="Madrid"/>
    <n v="61002"/>
    <s v="16-06-2022"/>
    <n v="8715"/>
    <d v="2022-05-08T00:00:00"/>
  </r>
  <r>
    <s v="Shoppydoo SL"/>
    <x v="0"/>
    <s v="No growth Potential"/>
    <x v="0"/>
    <x v="0"/>
    <s v="MADRID"/>
    <n v="109980"/>
    <s v="23-09-2022"/>
    <n v="0"/>
    <d v="2022-02-11T00:00:00"/>
  </r>
  <r>
    <s v="KPMG Spain"/>
    <x v="0"/>
    <s v="No growth Potential"/>
    <x v="0"/>
    <x v="0"/>
    <s v="TBD"/>
    <n v="106526"/>
    <s v="13-06-2022"/>
    <n v="0"/>
    <d v="2022-02-08T00:00:00"/>
  </r>
  <r>
    <s v="C.E.M.I CTRO.MUNICIPAL INFORMAT. MALAG."/>
    <x v="0"/>
    <s v="No growth Potential"/>
    <x v="0"/>
    <x v="0"/>
    <s v="Málaga"/>
    <n v="70969"/>
    <s v="13-09-2022"/>
    <n v="0"/>
    <d v="2022-02-11T00:00:00"/>
  </r>
  <r>
    <s v="SERVINFORM SA"/>
    <x v="1"/>
    <s v="High Growth potential"/>
    <x v="0"/>
    <x v="0"/>
    <s v="Mairena del Aljarafe"/>
    <n v="100034"/>
    <s v="29-09-2022"/>
    <n v="20007"/>
    <d v="2022-08-11T00:00:00"/>
  </r>
  <r>
    <s v="Grupo El Arbol S. A."/>
    <x v="0"/>
    <s v="No growth Potential"/>
    <x v="0"/>
    <x v="0"/>
    <s v="Valladolid"/>
    <n v="107069"/>
    <s v="24-08-2022"/>
    <n v="0"/>
    <d v="2022-02-11T00:00:00"/>
  </r>
  <r>
    <s v="MIQUEL Y COSTAS &amp; MIQUEL SA"/>
    <x v="0"/>
    <s v="No growth Potential"/>
    <x v="0"/>
    <x v="0"/>
    <s v="Barcelona"/>
    <n v="143517"/>
    <s v="13-10-2022"/>
    <n v="0"/>
    <d v="2022-02-11T00:00:00"/>
  </r>
  <r>
    <s v="AECID"/>
    <x v="0"/>
    <s v="No growth Potential"/>
    <x v="0"/>
    <x v="0"/>
    <s v="Madrid"/>
    <n v="58504"/>
    <s v="13-10-2022"/>
    <n v="0"/>
    <d v="2022-02-11T00:00:00"/>
  </r>
  <r>
    <s v="UPCNET SL"/>
    <x v="0"/>
    <s v="No growth Potential"/>
    <x v="0"/>
    <x v="0"/>
    <s v="BARCELONA"/>
    <n v="95966"/>
    <s v="13-09-2022"/>
    <n v="0"/>
    <d v="2022-02-11T00:00:00"/>
  </r>
  <r>
    <s v="MMT Seguros"/>
    <x v="0"/>
    <s v="No growth Potential"/>
    <x v="0"/>
    <x v="0"/>
    <s v="TBD"/>
    <n v="54725"/>
    <d v="2022-03-10T00:00:00"/>
    <n v="0"/>
    <d v="2022-02-11T00:00:00"/>
  </r>
  <r>
    <s v="Able Consultores"/>
    <x v="0"/>
    <s v="No growth Potential"/>
    <x v="0"/>
    <x v="0"/>
    <s v="TBD"/>
    <n v="147868"/>
    <s v="13-10-2022"/>
    <n v="0"/>
    <d v="2022-02-11T00:00:00"/>
  </r>
  <r>
    <s v="Ayuntamiento de Alcobendas"/>
    <x v="0"/>
    <s v="No growth Potential"/>
    <x v="0"/>
    <x v="0"/>
    <s v="TBD"/>
    <n v="112714"/>
    <s v="23-04-2022"/>
    <n v="0"/>
    <d v="2022-02-06T00:00:00"/>
  </r>
  <r>
    <s v="Ttsistemas"/>
    <x v="0"/>
    <s v="No growth Potential"/>
    <x v="0"/>
    <x v="0"/>
    <s v="TBD"/>
    <n v="74208"/>
    <s v="24-07-2022"/>
    <n v="0"/>
    <d v="2022-02-09T00:00:00"/>
  </r>
  <r>
    <s v="Pingui"/>
    <x v="0"/>
    <s v="No growth Potential"/>
    <x v="0"/>
    <x v="0"/>
    <s v="Barcelona"/>
    <n v="90068"/>
    <s v="23-10-2022"/>
    <n v="0"/>
    <d v="2022-02-11T00:00:00"/>
  </r>
  <r>
    <s v="MICHELIN ESPANA PORTUGAL S.A."/>
    <x v="0"/>
    <s v="No growth Potential"/>
    <x v="0"/>
    <x v="0"/>
    <s v="TBD"/>
    <n v="80085"/>
    <s v="13-09-2022"/>
    <n v="0"/>
    <d v="2022-02-11T00:00:00"/>
  </r>
  <r>
    <s v="Cheto Corporation SA"/>
    <x v="0"/>
    <s v="Medium Growth"/>
    <x v="0"/>
    <x v="1"/>
    <s v="TBD"/>
    <n v="157857"/>
    <d v="2022-03-12T00:00:00"/>
    <n v="0"/>
    <d v="2023-02-01T00:00:00"/>
  </r>
  <r>
    <s v="Escuela Universitaria De Estudios"/>
    <x v="0"/>
    <s v="No growth Potential"/>
    <x v="0"/>
    <x v="0"/>
    <s v="Bilbo"/>
    <n v="88677"/>
    <d v="2022-12-06T00:00:00"/>
    <n v="0"/>
    <d v="2022-02-07T00:00:00"/>
  </r>
  <r>
    <s v="MIRTO"/>
    <x v="0"/>
    <s v="No growth Potential"/>
    <x v="0"/>
    <x v="0"/>
    <s v="Madrid"/>
    <n v="203793"/>
    <d v="2022-03-09T00:00:00"/>
    <n v="0"/>
    <d v="2022-02-11T00:00:00"/>
  </r>
  <r>
    <s v="MABAR"/>
    <x v="0"/>
    <s v="No growth Potential"/>
    <x v="0"/>
    <x v="0"/>
    <s v="Soria"/>
    <n v="55037"/>
    <d v="2022-03-10T00:00:00"/>
    <n v="0"/>
    <d v="2022-02-11T00:00:00"/>
  </r>
  <r>
    <s v="KW España"/>
    <x v="0"/>
    <s v="No growth Potential"/>
    <x v="0"/>
    <x v="0"/>
    <s v="Marbella"/>
    <n v="106786"/>
    <d v="2022-02-06T00:00:00"/>
    <n v="0"/>
    <d v="2022-02-07T00:00:00"/>
  </r>
  <r>
    <s v="Lenceria Emi"/>
    <x v="0"/>
    <s v="No growth Potential"/>
    <x v="0"/>
    <x v="0"/>
    <s v="Zaragoza"/>
    <n v="83160"/>
    <s v="23-07-2022"/>
    <n v="0"/>
    <d v="2022-02-08T00:00:00"/>
  </r>
  <r>
    <s v="familiafacil.es"/>
    <x v="0"/>
    <s v="No growth Potential"/>
    <x v="0"/>
    <x v="0"/>
    <s v="TBD"/>
    <n v="137608"/>
    <s v="24-12-2021"/>
    <n v="0"/>
    <d v="2022-02-02T00:00:00"/>
  </r>
  <r>
    <s v="Empresarios Agrupados"/>
    <x v="0"/>
    <s v="No growth Potential"/>
    <x v="0"/>
    <x v="0"/>
    <s v="Madrid"/>
    <n v="157835"/>
    <d v="2022-03-05T00:00:00"/>
    <n v="0"/>
    <d v="2022-02-07T00:00:00"/>
  </r>
  <r>
    <s v="Parc Sanitari Sant Joan de Déu"/>
    <x v="0"/>
    <s v="No growth Potential"/>
    <x v="0"/>
    <x v="0"/>
    <s v="TBD"/>
    <n v="187470"/>
    <s v="14-12-2021"/>
    <n v="0"/>
    <d v="2022-02-02T00:00:00"/>
  </r>
  <r>
    <s v="Roca Sanitario S.A."/>
    <x v="0"/>
    <s v="No growth Potential"/>
    <x v="0"/>
    <x v="0"/>
    <s v="Gava"/>
    <n v="102196"/>
    <s v="22-01-2022"/>
    <n v="0"/>
    <d v="2022-02-04T00:00:00"/>
  </r>
  <r>
    <s v="Bull Hotels"/>
    <x v="0"/>
    <s v="No growth Potential"/>
    <x v="0"/>
    <x v="0"/>
    <s v="Las Palmas"/>
    <n v="100539"/>
    <s v="24-08-2022"/>
    <n v="0"/>
    <d v="2022-02-11T00:00:00"/>
  </r>
  <r>
    <s v="APSL.NET"/>
    <x v="0"/>
    <s v="No growth Potential"/>
    <x v="0"/>
    <x v="0"/>
    <s v="Palma de Mallorca"/>
    <n v="76925"/>
    <s v="24-08-2022"/>
    <n v="0"/>
    <d v="2022-02-11T00:00:00"/>
  </r>
  <r>
    <s v="Secretaria Geral da PR"/>
    <x v="1"/>
    <s v="High Growth potential"/>
    <x v="0"/>
    <x v="1"/>
    <s v="Lisboa"/>
    <n v="110085"/>
    <s v="15-06-2022"/>
    <n v="12232"/>
    <d v="2022-05-07T00:00:00"/>
  </r>
  <r>
    <s v="Laboratorios Normon"/>
    <x v="0"/>
    <s v="No growth Potential"/>
    <x v="0"/>
    <x v="0"/>
    <s v="Madrid"/>
    <n v="83580"/>
    <s v="24-12-2021"/>
    <n v="0"/>
    <d v="2022-02-02T00:00:00"/>
  </r>
  <r>
    <s v="fitnesspowerfood"/>
    <x v="0"/>
    <s v="No growth Potential"/>
    <x v="0"/>
    <x v="0"/>
    <s v="TBD"/>
    <m/>
    <s v="13-10-2022"/>
    <n v="0"/>
    <d v="2022-02-11T00:00:00"/>
  </r>
  <r>
    <s v="General Dynamic Santa Barbara Sistemas S.A."/>
    <x v="0"/>
    <s v="No growth Potential"/>
    <x v="0"/>
    <x v="0"/>
    <s v="GRANADA"/>
    <n v="42045"/>
    <d v="2022-03-05T00:00:00"/>
    <n v="0"/>
    <d v="2022-02-06T00:00:00"/>
  </r>
  <r>
    <s v="UVA UNIVERSIDAD DE VALLADOLID RECTORADO"/>
    <x v="0"/>
    <s v="Medium Growth"/>
    <x v="0"/>
    <x v="0"/>
    <s v="Valladolid"/>
    <n v="72988"/>
    <s v="13-10-2022"/>
    <n v="0"/>
    <d v="2022-02-11T00:00:00"/>
  </r>
  <r>
    <s v="MR HOUSTON TECH SOLUTIONS"/>
    <x v="0"/>
    <s v="No growth Potential"/>
    <x v="0"/>
    <x v="0"/>
    <s v="MADRID"/>
    <n v="203733"/>
    <d v="2022-03-10T00:00:00"/>
    <n v="0"/>
    <d v="2022-02-11T00:00:00"/>
  </r>
  <r>
    <s v="MVAgusta"/>
    <x v="0"/>
    <s v="No growth Potential"/>
    <x v="0"/>
    <x v="2"/>
    <s v="Varese"/>
    <n v="172921"/>
    <s v="23-07-2022"/>
    <n v="0"/>
    <d v="2022-02-08T00:00:00"/>
  </r>
  <r>
    <s v="CNP Partners"/>
    <x v="0"/>
    <s v="No growth Potential"/>
    <x v="0"/>
    <x v="0"/>
    <s v="Madrid"/>
    <n v="56858"/>
    <d v="2022-03-05T00:00:00"/>
    <n v="0"/>
    <d v="2022-02-06T00:00:00"/>
  </r>
  <r>
    <s v="Vilalúa"/>
    <x v="0"/>
    <s v="No growth Potential"/>
    <x v="0"/>
    <x v="0"/>
    <s v="TBD"/>
    <n v="76983"/>
    <s v="13-03-2022"/>
    <n v="0"/>
    <d v="2022-02-04T00:00:00"/>
  </r>
  <r>
    <s v="La Oca"/>
    <x v="0"/>
    <s v="No growth Potential"/>
    <x v="0"/>
    <x v="0"/>
    <s v="TBD"/>
    <n v="43881"/>
    <s v="14-12-2021"/>
    <n v="0"/>
    <d v="2022-02-02T00:00:00"/>
  </r>
  <r>
    <s v="Diputación de Granada"/>
    <x v="0"/>
    <s v="No growth Potential"/>
    <x v="0"/>
    <x v="0"/>
    <s v="Granada"/>
    <n v="88013"/>
    <s v="23-04-2022"/>
    <n v="0"/>
    <d v="2022-02-06T00:00:00"/>
  </r>
  <r>
    <s v="Santi Lorenzo Photography"/>
    <x v="0"/>
    <s v="No growth Potential"/>
    <x v="0"/>
    <x v="0"/>
    <s v="TBD"/>
    <n v="92126"/>
    <d v="2021-04-12T00:00:00"/>
    <n v="0"/>
    <d v="2022-02-02T00:00:00"/>
  </r>
  <r>
    <s v="ARMERÍA ÁLVAREZ S.L."/>
    <x v="0"/>
    <s v="No growth Potential"/>
    <x v="0"/>
    <x v="0"/>
    <s v="A Coruña"/>
    <n v="106692"/>
    <d v="2022-03-09T00:00:00"/>
    <n v="0"/>
    <d v="2022-02-11T00:00:00"/>
  </r>
  <r>
    <s v="EDUCAEDU BUSINESS SOCIEDAD LIMITADA"/>
    <x v="0"/>
    <s v="No growth Potential"/>
    <x v="0"/>
    <x v="0"/>
    <s v="BILBAO"/>
    <n v="133858"/>
    <s v="23-10-2022"/>
    <n v="0"/>
    <d v="2022-02-11T00:00:00"/>
  </r>
  <r>
    <s v="Kiuwan"/>
    <x v="0"/>
    <s v="No growth Potential"/>
    <x v="0"/>
    <x v="0"/>
    <s v="Majadahonda"/>
    <n v="368455"/>
    <d v="2022-02-04T00:00:00"/>
    <n v="0"/>
    <d v="2022-02-05T00:00:00"/>
  </r>
  <r>
    <s v="JIG Internet Consulting"/>
    <x v="0"/>
    <s v="No growth Potential"/>
    <x v="0"/>
    <x v="0"/>
    <s v="TBD"/>
    <n v="107211"/>
    <s v="13-10-2022"/>
    <n v="0"/>
    <d v="2022-02-11T00:00:00"/>
  </r>
  <r>
    <s v="Brother Iberia S.L.U."/>
    <x v="0"/>
    <s v="No growth Potential"/>
    <x v="0"/>
    <x v="0"/>
    <s v="TBD"/>
    <n v="115087"/>
    <d v="2023-03-01T00:00:00"/>
    <n v="0"/>
    <d v="2023-02-02T00:00:00"/>
  </r>
  <r>
    <s v="SUPERMERCADO SANCHEZ ROMERO SL"/>
    <x v="0"/>
    <s v="No growth Potential"/>
    <x v="0"/>
    <x v="0"/>
    <s v="Majadahonda"/>
    <n v="104166"/>
    <s v="13-10-2022"/>
    <n v="0"/>
    <d v="2022-02-11T00:00:00"/>
  </r>
  <r>
    <s v="Electrocosto"/>
    <x v="0"/>
    <s v="No growth Potential"/>
    <x v="0"/>
    <x v="0"/>
    <s v="Cordoba"/>
    <n v="143497"/>
    <d v="2022-03-10T00:00:00"/>
    <n v="0"/>
    <d v="2022-02-11T00:00:00"/>
  </r>
  <r>
    <s v="JESUITES EDUCACIO"/>
    <x v="0"/>
    <s v="No growth Potential"/>
    <x v="0"/>
    <x v="0"/>
    <s v="Barcelona"/>
    <n v="127427"/>
    <s v="23-10-2022"/>
    <n v="0"/>
    <d v="2022-02-11T00:00:00"/>
  </r>
  <r>
    <s v="BLISSBOOKER"/>
    <x v="0"/>
    <s v="Medium Growth"/>
    <x v="0"/>
    <x v="0"/>
    <s v="TBD"/>
    <n v="355370"/>
    <s v="13-09-2022"/>
    <n v="0"/>
    <d v="2022-02-11T00:00:00"/>
  </r>
  <r>
    <s v="Megavista Online"/>
    <x v="0"/>
    <s v="No growth Potential"/>
    <x v="0"/>
    <x v="0"/>
    <s v="Elche"/>
    <n v="191190"/>
    <d v="2022-01-02T00:00:00"/>
    <n v="0"/>
    <d v="2022-02-04T00:00:00"/>
  </r>
  <r>
    <s v="MOTHERCARE IBERIA"/>
    <x v="0"/>
    <s v="No growth Potential"/>
    <x v="0"/>
    <x v="0"/>
    <s v="Las Rozas"/>
    <n v="209817"/>
    <s v="13-10-2022"/>
    <n v="0"/>
    <d v="2022-02-11T00:00:00"/>
  </r>
  <r>
    <s v="Inycom"/>
    <x v="0"/>
    <s v="No growth Potential"/>
    <x v="0"/>
    <x v="0"/>
    <s v="Zaragoza"/>
    <n v="49625"/>
    <s v="24-08-2022"/>
    <n v="0"/>
    <d v="2022-02-11T00:00:00"/>
  </r>
  <r>
    <s v="expohotels.com"/>
    <x v="0"/>
    <s v="No growth Potential"/>
    <x v="0"/>
    <x v="0"/>
    <s v="Barcelona"/>
    <n v="101488"/>
    <d v="2022-03-10T00:00:00"/>
    <n v="0"/>
    <d v="2022-02-11T00:00:00"/>
  </r>
  <r>
    <s v="Joinso"/>
    <x v="0"/>
    <s v="No growth Potential"/>
    <x v="0"/>
    <x v="0"/>
    <s v="Sabadell"/>
    <n v="101400"/>
    <s v="23-09-2022"/>
    <n v="0"/>
    <d v="2022-02-11T00:00:00"/>
  </r>
  <r>
    <s v="Globalred"/>
    <x v="0"/>
    <s v="No growth Potential"/>
    <x v="0"/>
    <x v="0"/>
    <s v="Palma de Mallorca"/>
    <n v="67715"/>
    <s v="23-03-2022"/>
    <n v="0"/>
    <d v="2022-02-05T00:00:00"/>
  </r>
  <r>
    <s v="Universidad Zaragoza"/>
    <x v="0"/>
    <s v="No growth Potential"/>
    <x v="0"/>
    <x v="0"/>
    <s v="TBD"/>
    <n v="80523"/>
    <s v="13-08-2022"/>
    <n v="0"/>
    <d v="2022-02-10T00:00:00"/>
  </r>
  <r>
    <s v="Gonvarri Industrial S.L."/>
    <x v="0"/>
    <s v="No growth Potential"/>
    <x v="0"/>
    <x v="0"/>
    <s v="Madrid"/>
    <n v="67742"/>
    <s v="21-02-2022"/>
    <n v="0"/>
    <d v="2022-02-05T00:00:00"/>
  </r>
  <r>
    <s v="lookyourfashion"/>
    <x v="0"/>
    <s v="No growth Potential"/>
    <x v="0"/>
    <x v="1"/>
    <s v="Portugal"/>
    <n v="96217"/>
    <d v="2022-12-09T00:00:00"/>
    <n v="0"/>
    <d v="2022-02-10T00:00:00"/>
  </r>
  <r>
    <s v="Progreso Analytics"/>
    <x v="0"/>
    <s v="No growth Potential"/>
    <x v="0"/>
    <x v="0"/>
    <s v="TBD"/>
    <n v="90293"/>
    <d v="2022-12-11T00:00:00"/>
    <n v="0"/>
    <d v="2022-02-12T00:00:00"/>
  </r>
  <r>
    <s v="MTI"/>
    <x v="0"/>
    <s v="No growth Potential"/>
    <x v="0"/>
    <x v="0"/>
    <s v="Bilbao"/>
    <n v="270429"/>
    <s v="24-08-2022"/>
    <n v="0"/>
    <d v="2022-02-11T00:00:00"/>
  </r>
  <r>
    <s v="NOTEGES"/>
    <x v="0"/>
    <s v="Medium Growth"/>
    <x v="0"/>
    <x v="0"/>
    <s v="TBD"/>
    <n v="63020"/>
    <d v="2022-03-09T00:00:00"/>
    <n v="0"/>
    <d v="2022-02-11T00:00:00"/>
  </r>
  <r>
    <s v="BMC"/>
    <x v="0"/>
    <s v="No growth Potential"/>
    <x v="0"/>
    <x v="0"/>
    <s v="TBD"/>
    <n v="71125"/>
    <s v="23-10-2022"/>
    <n v="0"/>
    <d v="2022-02-11T00:00:00"/>
  </r>
  <r>
    <s v="Availpro SA Spain"/>
    <x v="0"/>
    <s v="No growth Potential"/>
    <x v="0"/>
    <x v="0"/>
    <s v="Barcelona"/>
    <n v="48820"/>
    <d v="2022-11-01T00:00:00"/>
    <n v="0"/>
    <d v="2022-02-03T00:00:00"/>
  </r>
  <r>
    <s v="Parque Isla Mágica S.A."/>
    <x v="0"/>
    <s v="No growth Potential"/>
    <x v="0"/>
    <x v="0"/>
    <s v="Sevilla"/>
    <n v="118761"/>
    <s v="13-01-2022"/>
    <n v="0"/>
    <d v="2022-02-02T00:00:00"/>
  </r>
  <r>
    <s v="Instituto Politécnico de Tomar (IPT)"/>
    <x v="0"/>
    <s v="No growth Potential"/>
    <x v="0"/>
    <x v="1"/>
    <s v="Tomar"/>
    <n v="74208"/>
    <d v="2022-03-04T00:00:00"/>
    <n v="0"/>
    <d v="2022-02-06T00:00:00"/>
  </r>
  <r>
    <s v="European Food Safety Authority"/>
    <x v="0"/>
    <s v="No growth Potential"/>
    <x v="0"/>
    <x v="2"/>
    <s v="Parma"/>
    <n v="62337"/>
    <d v="2022-12-06T00:00:00"/>
    <n v="0"/>
    <d v="2022-02-07T00:00:00"/>
  </r>
  <r>
    <s v="TIER 1"/>
    <x v="0"/>
    <s v="No growth Potential"/>
    <x v="0"/>
    <x v="0"/>
    <s v="Sevilla"/>
    <n v="106208"/>
    <s v="13-10-2022"/>
    <n v="0"/>
    <d v="2022-02-11T00:00:00"/>
  </r>
  <r>
    <s v="Agriconsa"/>
    <x v="0"/>
    <s v="No growth Potential"/>
    <x v="0"/>
    <x v="0"/>
    <s v="TBD"/>
    <n v="122068"/>
    <s v="24-07-2022"/>
    <n v="0"/>
    <d v="2022-02-09T00:00:00"/>
  </r>
  <r>
    <s v="Xpcamd"/>
    <x v="0"/>
    <s v="Medium Growth"/>
    <x v="0"/>
    <x v="0"/>
    <s v="TBD"/>
    <n v="112085"/>
    <d v="2022-03-03T00:00:00"/>
    <n v="0"/>
    <d v="2022-02-04T00:00:00"/>
  </r>
  <r>
    <s v="Openwebinars"/>
    <x v="0"/>
    <s v="No growth Potential"/>
    <x v="0"/>
    <x v="0"/>
    <s v="Seville"/>
    <n v="189857"/>
    <s v="22-09-2022"/>
    <n v="0"/>
    <d v="2022-02-10T00:00:00"/>
  </r>
  <r>
    <s v="Camino a Casa"/>
    <x v="0"/>
    <s v="No growth Potential"/>
    <x v="0"/>
    <x v="0"/>
    <s v="Fuenlabrada"/>
    <n v="120677"/>
    <s v="24-12-2021"/>
    <n v="0"/>
    <d v="2022-02-02T00:00:00"/>
  </r>
  <r>
    <s v="IntroRed"/>
    <x v="0"/>
    <s v="No growth Potential"/>
    <x v="0"/>
    <x v="0"/>
    <s v="Paterna"/>
    <n v="235793"/>
    <s v="13-10-2022"/>
    <n v="0"/>
    <d v="2022-02-11T00:00:00"/>
  </r>
  <r>
    <s v="Familia JGP"/>
    <x v="0"/>
    <s v="No growth Potential"/>
    <x v="0"/>
    <x v="0"/>
    <s v="Albalat De La Ribera"/>
    <n v="87037"/>
    <s v="24-12-2021"/>
    <n v="0"/>
    <d v="2022-02-02T00:00:00"/>
  </r>
  <r>
    <s v="Futuver"/>
    <x v="0"/>
    <s v="No growth Potential"/>
    <x v="0"/>
    <x v="0"/>
    <s v="TBD"/>
    <n v="138786"/>
    <d v="2022-03-09T00:00:00"/>
    <n v="0"/>
    <d v="2022-02-11T00:00:00"/>
  </r>
  <r>
    <s v="Paperam"/>
    <x v="0"/>
    <s v="No growth Potential"/>
    <x v="0"/>
    <x v="0"/>
    <s v="Castello"/>
    <n v="115160"/>
    <d v="2022-03-01T00:00:00"/>
    <n v="0"/>
    <d v="2022-02-02T00:00:00"/>
  </r>
  <r>
    <s v="ICP Logistica"/>
    <x v="0"/>
    <s v="No growth Potential"/>
    <x v="0"/>
    <x v="0"/>
    <s v="MECO"/>
    <n v="169608"/>
    <s v="23-11-2022"/>
    <n v="0"/>
    <d v="2023-02-01T00:00:00"/>
  </r>
  <r>
    <s v="Rastreator.com"/>
    <x v="0"/>
    <s v="No growth Potential"/>
    <x v="0"/>
    <x v="0"/>
    <s v="TBD"/>
    <n v="189835"/>
    <d v="2021-04-12T00:00:00"/>
    <n v="0"/>
    <d v="2022-02-02T00:00:00"/>
  </r>
  <r>
    <s v="Oliva Nova Golf"/>
    <x v="0"/>
    <s v="No growth Potential"/>
    <x v="0"/>
    <x v="0"/>
    <s v="Oliva"/>
    <n v="219470"/>
    <d v="2022-02-04T00:00:00"/>
    <n v="0"/>
    <d v="2022-02-05T00:00:00"/>
  </r>
  <r>
    <s v="UNIVERSIDAD DE SALAMANCA"/>
    <x v="0"/>
    <s v="No growth Potential"/>
    <x v="0"/>
    <x v="0"/>
    <s v="Salamanca"/>
    <n v="134196"/>
    <s v="24-08-2022"/>
    <n v="0"/>
    <d v="2022-02-11T00:00:00"/>
  </r>
  <r>
    <s v="COMPRACTICA"/>
    <x v="0"/>
    <s v="No growth Potential"/>
    <x v="0"/>
    <x v="0"/>
    <s v="BARCELONA"/>
    <n v="132539"/>
    <s v="24-08-2022"/>
    <n v="0"/>
    <d v="2022-02-11T00:00:00"/>
  </r>
  <r>
    <s v="Indra Elecciones El Salvador"/>
    <x v="0"/>
    <s v="No growth Potential"/>
    <x v="0"/>
    <x v="0"/>
    <s v="Alcobendas"/>
    <n v="108925"/>
    <d v="2022-03-03T00:00:00"/>
    <n v="0"/>
    <d v="2022-02-05T00:00:00"/>
  </r>
  <r>
    <s v="Supermercados Sabeco S.A."/>
    <x v="0"/>
    <s v="No growth Potential"/>
    <x v="0"/>
    <x v="0"/>
    <s v="Villanueva De Gallego"/>
    <n v="142085"/>
    <d v="2022-02-09T00:00:00"/>
    <n v="0"/>
    <d v="2022-02-10T00:00:00"/>
  </r>
  <r>
    <s v="CIUDADANOS"/>
    <x v="0"/>
    <s v="No growth Potential"/>
    <x v="0"/>
    <x v="0"/>
    <s v="Madrid"/>
    <n v="115580"/>
    <d v="2022-03-10T00:00:00"/>
    <n v="0"/>
    <d v="2022-02-11T00:00:00"/>
  </r>
  <r>
    <s v="HOFMANN S.L.U"/>
    <x v="0"/>
    <s v="No growth Potential"/>
    <x v="0"/>
    <x v="0"/>
    <s v="Paterna"/>
    <n v="32000"/>
    <d v="2022-03-10T00:00:00"/>
    <n v="0"/>
    <d v="2022-02-11T00:00:00"/>
  </r>
  <r>
    <s v="TERMINAL CATALUNYA SA"/>
    <x v="0"/>
    <s v="No growth Potential"/>
    <x v="0"/>
    <x v="0"/>
    <s v="EL PRAT DE LLOBREGAT"/>
    <n v="74045"/>
    <s v="24-08-2022"/>
    <n v="0"/>
    <d v="2022-02-11T00:00:00"/>
  </r>
  <r>
    <s v="DECIMAS"/>
    <x v="0"/>
    <s v="No growth Potential"/>
    <x v="0"/>
    <x v="0"/>
    <s v="Alcobendas"/>
    <n v="104988"/>
    <s v="13-10-2022"/>
    <n v="0"/>
    <d v="2022-02-11T00:00:00"/>
  </r>
  <r>
    <s v="Universidad de Granada"/>
    <x v="0"/>
    <s v="No growth Potential"/>
    <x v="0"/>
    <x v="0"/>
    <s v="TBD"/>
    <n v="235733"/>
    <s v="22-09-2022"/>
    <n v="0"/>
    <d v="2022-02-10T00:00:00"/>
  </r>
  <r>
    <s v="juguettos"/>
    <x v="0"/>
    <s v="No growth Potential"/>
    <x v="0"/>
    <x v="0"/>
    <s v="TBD"/>
    <n v="204921"/>
    <s v="23-09-2022"/>
    <n v="0"/>
    <d v="2022-02-11T00:00:00"/>
  </r>
  <r>
    <s v="Hdeprada Web Design"/>
    <x v="0"/>
    <s v="No growth Potential"/>
    <x v="0"/>
    <x v="0"/>
    <s v="León"/>
    <n v="88858"/>
    <s v="13-04-2022"/>
    <n v="0"/>
    <d v="2022-02-06T00:00:00"/>
  </r>
  <r>
    <s v="Diemer SL C"/>
    <x v="0"/>
    <s v="No growth Potential"/>
    <x v="0"/>
    <x v="0"/>
    <s v="Valencia"/>
    <n v="108983"/>
    <s v="13-10-2022"/>
    <n v="0"/>
    <d v="2022-02-11T00:00:00"/>
  </r>
  <r>
    <s v="derecho.com"/>
    <x v="0"/>
    <s v="No growth Potential"/>
    <x v="0"/>
    <x v="0"/>
    <s v="BARCELONA"/>
    <n v="75881"/>
    <s v="24-08-2022"/>
    <n v="0"/>
    <d v="2022-02-11T00:00:00"/>
  </r>
  <r>
    <s v="Adolfo Dominguez"/>
    <x v="1"/>
    <s v="High Growth potential"/>
    <x v="0"/>
    <x v="0"/>
    <s v="SAN CIBRAO DAS VINAS"/>
    <n v="120013"/>
    <s v="22-10-2022"/>
    <n v="10910"/>
    <d v="2022-11-11T00:00:00"/>
  </r>
  <r>
    <s v="Desguaces Gil"/>
    <x v="0"/>
    <s v="No growth Potential"/>
    <x v="0"/>
    <x v="0"/>
    <s v="Cabral"/>
    <n v="124126"/>
    <d v="2022-03-05T00:00:00"/>
    <n v="0"/>
    <d v="2022-02-06T00:00:00"/>
  </r>
  <r>
    <s v="SHIELD DOMAIN S.A."/>
    <x v="0"/>
    <s v="No growth Potential"/>
    <x v="0"/>
    <x v="1"/>
    <s v="LISBOA"/>
    <n v="138692"/>
    <d v="2022-03-10T00:00:00"/>
    <n v="0"/>
    <d v="2022-02-11T00:00:00"/>
  </r>
  <r>
    <s v="soysuper"/>
    <x v="0"/>
    <s v="No growth Potential"/>
    <x v="0"/>
    <x v="0"/>
    <s v="TBD"/>
    <n v="147362"/>
    <s v="24-08-2022"/>
    <n v="0"/>
    <d v="2022-02-11T00:00:00"/>
  </r>
  <r>
    <s v="Castañer - Claudio Coello"/>
    <x v="0"/>
    <s v="No growth Potential"/>
    <x v="0"/>
    <x v="0"/>
    <s v="TBD"/>
    <n v="106526"/>
    <d v="2022-03-01T00:00:00"/>
    <n v="0"/>
    <d v="2022-02-02T00:00:00"/>
  </r>
  <r>
    <s v="OpenCmsHispano"/>
    <x v="0"/>
    <s v="No growth Potential"/>
    <x v="0"/>
    <x v="0"/>
    <s v="TBD"/>
    <n v="70969"/>
    <d v="2022-03-10T00:00:00"/>
    <n v="0"/>
    <d v="2022-02-12T00:00:00"/>
  </r>
  <r>
    <s v="ROIBACK / GLOBAL OBI"/>
    <x v="0"/>
    <s v="No growth Potential"/>
    <x v="0"/>
    <x v="0"/>
    <s v="Palma"/>
    <n v="100034"/>
    <d v="2022-03-09T00:00:00"/>
    <n v="0"/>
    <d v="2022-02-11T00:00:00"/>
  </r>
  <r>
    <s v="Tutellus"/>
    <x v="0"/>
    <s v="No growth Potential"/>
    <x v="0"/>
    <x v="0"/>
    <s v="Madrid"/>
    <n v="101400"/>
    <s v="23-09-2022"/>
    <n v="0"/>
    <d v="2022-02-11T00:00:00"/>
  </r>
  <r>
    <s v="Grupo Casa Viva"/>
    <x v="0"/>
    <s v="No growth Potential"/>
    <x v="0"/>
    <x v="0"/>
    <s v="TBD"/>
    <n v="67715"/>
    <s v="13-07-2022"/>
    <n v="0"/>
    <d v="2022-02-08T00:00:00"/>
  </r>
  <r>
    <s v="PC COMPONENTES Y MULTIMEDIA SL"/>
    <x v="0"/>
    <s v="No growth Potential"/>
    <x v="0"/>
    <x v="0"/>
    <s v="Alhama de Murcia"/>
    <n v="80523"/>
    <d v="2022-03-10T00:00:00"/>
    <n v="0"/>
    <d v="2022-02-11T00:00:00"/>
  </r>
  <r>
    <s v="INNOVA-TSN"/>
    <x v="0"/>
    <s v="No growth Potential"/>
    <x v="0"/>
    <x v="0"/>
    <s v="TBD"/>
    <n v="67742"/>
    <s v="23-10-2022"/>
    <n v="0"/>
    <d v="2022-02-11T00:00:00"/>
  </r>
  <r>
    <s v="Refer Telecom"/>
    <x v="0"/>
    <s v="No growth Potential"/>
    <x v="0"/>
    <x v="1"/>
    <s v="LISBOA"/>
    <n v="96217"/>
    <d v="2022-03-10T00:00:00"/>
    <n v="0"/>
    <d v="2022-02-11T00:00:00"/>
  </r>
  <r>
    <s v="PWC españa"/>
    <x v="0"/>
    <s v="No growth Potential"/>
    <x v="0"/>
    <x v="0"/>
    <s v="madrid"/>
    <n v="90293"/>
    <s v="13-06-2022"/>
    <n v="0"/>
    <d v="2022-02-08T00:00:00"/>
  </r>
  <r>
    <s v="DIRECTO A CASA"/>
    <x v="0"/>
    <s v="No growth Potential"/>
    <x v="0"/>
    <x v="0"/>
    <s v="DAGANZO DE ARRIBA"/>
    <n v="270429"/>
    <d v="2022-03-10T00:00:00"/>
    <n v="0"/>
    <d v="2022-02-11T00:00:00"/>
  </r>
  <r>
    <s v="Lavinia"/>
    <x v="0"/>
    <s v="No growth Potential"/>
    <x v="0"/>
    <x v="0"/>
    <s v="Madrid"/>
    <n v="63020"/>
    <s v="14-12-2021"/>
    <n v="0"/>
    <d v="2022-02-02T00:00:00"/>
  </r>
  <r>
    <s v="Universidad Publica De Navarra"/>
    <x v="0"/>
    <s v="No growth Potential"/>
    <x v="0"/>
    <x v="0"/>
    <s v="PAMPLONA/IRUÑA"/>
    <n v="71125"/>
    <s v="23-08-2022"/>
    <n v="0"/>
    <d v="2022-02-10T00:00:00"/>
  </r>
  <r>
    <s v="Doctor Madera"/>
    <x v="0"/>
    <s v="No growth Potential"/>
    <x v="0"/>
    <x v="0"/>
    <s v="Barcelona"/>
    <n v="48820"/>
    <s v="24-07-2022"/>
    <n v="0"/>
    <d v="2022-02-09T00:00:00"/>
  </r>
  <r>
    <s v="Moventia"/>
    <x v="0"/>
    <s v="No growth Potential"/>
    <x v="0"/>
    <x v="0"/>
    <s v="Barcelona"/>
    <n v="118761"/>
    <s v="23-07-2022"/>
    <n v="0"/>
    <d v="2022-02-08T00:00:00"/>
  </r>
  <r>
    <s v="Agapea.com"/>
    <x v="0"/>
    <s v="No growth Potential"/>
    <x v="0"/>
    <x v="0"/>
    <s v="MALAGA"/>
    <n v="74208"/>
    <d v="2022-11-01T00:00:00"/>
    <n v="0"/>
    <d v="2022-02-03T00:00:00"/>
  </r>
  <r>
    <s v="Seidor"/>
    <x v="0"/>
    <s v="No growth Potential"/>
    <x v="0"/>
    <x v="0"/>
    <s v="TBD"/>
    <n v="62337"/>
    <d v="2022-03-09T00:00:00"/>
    <n v="0"/>
    <d v="2022-02-11T00:00:00"/>
  </r>
  <r>
    <s v="Miebach Spain"/>
    <x v="0"/>
    <s v="No growth Potential"/>
    <x v="0"/>
    <x v="0"/>
    <s v="TBD"/>
    <n v="143588"/>
    <d v="2022-02-04T00:00:00"/>
    <n v="0"/>
    <d v="2022-02-05T00:00:00"/>
  </r>
  <r>
    <s v="LABORATORIOS LETI S.L."/>
    <x v="0"/>
    <s v="No growth Potential"/>
    <x v="0"/>
    <x v="0"/>
    <s v="Barcelona"/>
    <n v="61002"/>
    <s v="23-09-2022"/>
    <n v="0"/>
    <d v="2022-02-11T00:00:00"/>
  </r>
  <r>
    <s v="UCI"/>
    <x v="0"/>
    <s v="No growth Potential"/>
    <x v="0"/>
    <x v="0"/>
    <s v="TBD"/>
    <n v="109980"/>
    <s v="23-09-2022"/>
    <n v="0"/>
    <d v="2022-02-11T00:00:00"/>
  </r>
  <r>
    <s v="habitaclia"/>
    <x v="0"/>
    <s v="No growth Potential"/>
    <x v="0"/>
    <x v="0"/>
    <s v="TBD"/>
    <n v="106526"/>
    <d v="2021-04-12T00:00:00"/>
    <n v="0"/>
    <d v="2022-02-02T00:00:00"/>
  </r>
  <r>
    <s v="IRTA"/>
    <x v="0"/>
    <s v="No growth Potential"/>
    <x v="0"/>
    <x v="0"/>
    <s v="BARCELONA"/>
    <n v="70969"/>
    <d v="2022-03-10T00:00:00"/>
    <n v="0"/>
    <d v="2022-02-11T00:00:00"/>
  </r>
  <r>
    <s v="NEUGEST 1957"/>
    <x v="0"/>
    <s v="No growth Potential"/>
    <x v="0"/>
    <x v="0"/>
    <s v="Barcelona"/>
    <n v="100034"/>
    <d v="2022-03-09T00:00:00"/>
    <n v="0"/>
    <d v="2022-02-11T00:00:00"/>
  </r>
  <r>
    <s v="Mundivia SA"/>
    <x v="0"/>
    <s v="No growth Potential"/>
    <x v="0"/>
    <x v="0"/>
    <s v="Santander"/>
    <n v="107069"/>
    <s v="24-05-2022"/>
    <n v="0"/>
    <d v="2022-02-08T00:00:00"/>
  </r>
  <r>
    <s v="Indra Sistemas S.A."/>
    <x v="0"/>
    <s v="No growth Potential"/>
    <x v="0"/>
    <x v="0"/>
    <s v="Alcobendas"/>
    <n v="143517"/>
    <d v="2022-12-04T00:00:00"/>
    <n v="0"/>
    <d v="2022-02-05T00:00:00"/>
  </r>
  <r>
    <s v="FitnessBit SL"/>
    <x v="0"/>
    <s v="No growth Potential"/>
    <x v="0"/>
    <x v="0"/>
    <s v="VITORIA-GASTEIZ"/>
    <n v="58504"/>
    <d v="2022-03-09T00:00:00"/>
    <n v="0"/>
    <d v="2022-02-11T00:00:00"/>
  </r>
  <r>
    <s v="Ayuntamiento de zagoza"/>
    <x v="0"/>
    <s v="No growth Potential"/>
    <x v="0"/>
    <x v="0"/>
    <s v="TBD"/>
    <n v="95966"/>
    <s v="23-04-2022"/>
    <n v="0"/>
    <d v="2022-02-06T00:00:00"/>
  </r>
  <r>
    <s v="Kling"/>
    <x v="0"/>
    <s v="No growth Potential"/>
    <x v="0"/>
    <x v="0"/>
    <s v="MADRID"/>
    <n v="54725"/>
    <s v="23-09-2022"/>
    <n v="0"/>
    <d v="2022-02-11T00:00:00"/>
  </r>
  <r>
    <s v="CONNECTIS"/>
    <x v="0"/>
    <s v="No growth Potential"/>
    <x v="0"/>
    <x v="0"/>
    <s v="Madrid"/>
    <n v="147868"/>
    <d v="2022-03-10T00:00:00"/>
    <n v="0"/>
    <d v="2022-02-11T00:00:00"/>
  </r>
  <r>
    <s v="FICOSA INTERNATIONAL S.A."/>
    <x v="0"/>
    <s v="No growth Potential"/>
    <x v="0"/>
    <x v="0"/>
    <s v="TBD"/>
    <n v="112714"/>
    <s v="23-09-2022"/>
    <n v="0"/>
    <d v="2022-02-11T00:00:00"/>
  </r>
  <r>
    <s v="Honeywell Movilizer"/>
    <x v="0"/>
    <s v="No growth Potential"/>
    <x v="0"/>
    <x v="0"/>
    <s v="TBD"/>
    <n v="74208"/>
    <d v="2022-03-10T00:00:00"/>
    <n v="0"/>
    <d v="2022-02-11T00:00:00"/>
  </r>
  <r>
    <s v="Aurora Blockchain S.L"/>
    <x v="0"/>
    <s v="No growth Potential"/>
    <x v="0"/>
    <x v="0"/>
    <s v="TBD"/>
    <n v="90068"/>
    <s v="23-04-2022"/>
    <n v="0"/>
    <d v="2022-02-06T00:00:00"/>
  </r>
  <r>
    <s v="IriWorldwide Spain"/>
    <x v="0"/>
    <s v="No growth Potential"/>
    <x v="0"/>
    <x v="0"/>
    <s v="Madrid"/>
    <n v="80085"/>
    <s v="23-03-2023"/>
    <n v="0"/>
    <d v="2023-02-04T00:00:00"/>
  </r>
  <r>
    <s v="Fnmt Rcm"/>
    <x v="0"/>
    <s v="No growth Potential"/>
    <x v="0"/>
    <x v="0"/>
    <s v="Madrid"/>
    <n v="157857"/>
    <s v="24-08-2022"/>
    <n v="0"/>
    <d v="2022-02-11T00:00:00"/>
  </r>
  <r>
    <s v="XOTELS"/>
    <x v="0"/>
    <s v="No growth Potential"/>
    <x v="0"/>
    <x v="0"/>
    <s v="Barcelona"/>
    <n v="88677"/>
    <s v="24-08-2022"/>
    <n v="0"/>
    <d v="2022-02-11T00:00:00"/>
  </r>
  <r>
    <s v="MerkaMueble"/>
    <x v="0"/>
    <s v="No growth Potential"/>
    <x v="0"/>
    <x v="0"/>
    <s v="TBD"/>
    <n v="203793"/>
    <s v="23-03-2022"/>
    <n v="0"/>
    <d v="2022-02-05T00:00:00"/>
  </r>
  <r>
    <s v="Abb Sistemas Industriales S.A."/>
    <x v="0"/>
    <s v="No growth Potential"/>
    <x v="0"/>
    <x v="0"/>
    <s v="Sant Quirze Del Valles"/>
    <n v="55037"/>
    <s v="13-09-2022"/>
    <n v="0"/>
    <d v="2022-02-11T00:00:00"/>
  </r>
  <r>
    <s v="Fersa Bearings S.A."/>
    <x v="0"/>
    <s v="No growth Potential"/>
    <x v="0"/>
    <x v="0"/>
    <s v="Zaragoza"/>
    <n v="106786"/>
    <d v="2022-03-03T00:00:00"/>
    <n v="0"/>
    <d v="2022-02-05T00:00:00"/>
  </r>
  <r>
    <s v="Grupo Yorga"/>
    <x v="1"/>
    <s v="High Growth potential"/>
    <x v="0"/>
    <x v="0"/>
    <s v="PATERNA"/>
    <n v="83160"/>
    <s v="31-10-2022"/>
    <n v="41580"/>
    <s v="20-11-2022"/>
  </r>
  <r>
    <s v="tuexperto.com"/>
    <x v="0"/>
    <s v="No growth Potential"/>
    <x v="0"/>
    <x v="0"/>
    <s v="MADRID"/>
    <n v="137608"/>
    <s v="23-09-2022"/>
    <n v="0"/>
    <d v="2022-02-11T00:00:00"/>
  </r>
  <r>
    <s v="Futbol Emotion"/>
    <x v="0"/>
    <s v="No growth Potential"/>
    <x v="0"/>
    <x v="0"/>
    <s v="TBD"/>
    <n v="157835"/>
    <s v="13-10-2022"/>
    <n v="0"/>
    <d v="2022-02-11T00:00:00"/>
  </r>
  <r>
    <s v="Arte y Naturaleza Gespart SL"/>
    <x v="0"/>
    <s v="No growth Potential"/>
    <x v="0"/>
    <x v="0"/>
    <s v="TBD"/>
    <n v="187470"/>
    <s v="13-08-2022"/>
    <n v="0"/>
    <d v="2022-02-09T00:00:00"/>
  </r>
  <r>
    <s v="Emdep"/>
    <x v="0"/>
    <s v="No growth Potential"/>
    <x v="0"/>
    <x v="0"/>
    <s v="TBD"/>
    <n v="102196"/>
    <d v="2022-03-09T00:00:00"/>
    <n v="0"/>
    <d v="2022-02-11T00:00:00"/>
  </r>
  <r>
    <s v="GENESIS MOBILE S.L."/>
    <x v="0"/>
    <s v="No growth Potential"/>
    <x v="0"/>
    <x v="0"/>
    <s v="Madrid"/>
    <n v="100539"/>
    <s v="13-10-2022"/>
    <n v="0"/>
    <d v="2022-02-11T00:00:00"/>
  </r>
  <r>
    <s v="Ricoh Espana"/>
    <x v="0"/>
    <s v="No growth Potential"/>
    <x v="0"/>
    <x v="0"/>
    <s v="Barcelona"/>
    <n v="76925"/>
    <s v="23-08-2022"/>
    <n v="0"/>
    <d v="2022-02-10T00:00:00"/>
  </r>
  <r>
    <s v="GFI INFORMATIQUE SPAIN"/>
    <x v="0"/>
    <s v="No growth Potential"/>
    <x v="0"/>
    <x v="0"/>
    <s v="TBD"/>
    <n v="110085"/>
    <s v="24-08-2022"/>
    <n v="0"/>
    <d v="2022-02-11T00:00:00"/>
  </r>
  <r>
    <s v="Marketingcom"/>
    <x v="0"/>
    <s v="No growth Potential"/>
    <x v="0"/>
    <x v="0"/>
    <s v="TBD"/>
    <n v="83580"/>
    <s v="23-01-2022"/>
    <n v="0"/>
    <d v="2022-02-02T00:00:00"/>
  </r>
  <r>
    <s v="Apser"/>
    <x v="0"/>
    <s v="No growth Potential"/>
    <x v="0"/>
    <x v="0"/>
    <s v="Zaragoza"/>
    <m/>
    <s v="24-08-2022"/>
    <n v="0"/>
    <d v="2022-02-11T00:00:00"/>
  </r>
  <r>
    <s v="Juan Fornes Fornes S.A."/>
    <x v="0"/>
    <s v="No growth Potential"/>
    <x v="0"/>
    <x v="0"/>
    <s v="Pedreguer"/>
    <n v="42045"/>
    <d v="2022-11-01T00:00:00"/>
    <n v="0"/>
    <d v="2022-02-03T00:00:00"/>
  </r>
  <r>
    <s v="Indra Elecciones Comunidad de Madrid"/>
    <x v="0"/>
    <s v="No growth Potential"/>
    <x v="0"/>
    <x v="0"/>
    <s v="TBD"/>
    <n v="72988"/>
    <s v="22-04-2022"/>
    <n v="0"/>
    <d v="2022-02-05T00:00:00"/>
  </r>
  <r>
    <s v="Grupo Samca"/>
    <x v="0"/>
    <s v="No growth Potential"/>
    <x v="0"/>
    <x v="0"/>
    <s v="Zaragoza"/>
    <n v="203733"/>
    <s v="13-07-2022"/>
    <n v="0"/>
    <d v="2022-02-08T00:00:00"/>
  </r>
  <r>
    <s v="Pikolín"/>
    <x v="0"/>
    <s v="No growth Potential"/>
    <x v="0"/>
    <x v="0"/>
    <s v="Zaragoza"/>
    <n v="172921"/>
    <s v="23-09-2022"/>
    <n v="0"/>
    <d v="2022-02-11T00:00:00"/>
  </r>
  <r>
    <s v="Bebitus"/>
    <x v="0"/>
    <s v="No growth Potential"/>
    <x v="0"/>
    <x v="0"/>
    <s v="TBD"/>
    <n v="56858"/>
    <s v="13-09-2022"/>
    <n v="0"/>
    <d v="2022-02-11T00:00:00"/>
  </r>
  <r>
    <s v="CleverTask"/>
    <x v="0"/>
    <s v="No growth Potential"/>
    <x v="0"/>
    <x v="0"/>
    <s v="TBD"/>
    <n v="76983"/>
    <d v="2022-03-06T00:00:00"/>
    <n v="0"/>
    <d v="2022-02-08T00:00:00"/>
  </r>
  <r>
    <s v="ADP Spain"/>
    <x v="0"/>
    <s v="No growth Potential"/>
    <x v="0"/>
    <x v="0"/>
    <s v="TBD"/>
    <n v="43881"/>
    <d v="2022-12-06T00:00:00"/>
    <n v="0"/>
    <d v="2022-02-07T00:00:00"/>
  </r>
  <r>
    <s v="Switch Digital Consulting"/>
    <x v="0"/>
    <s v="No growth Potential"/>
    <x v="0"/>
    <x v="1"/>
    <s v="TBD"/>
    <n v="88013"/>
    <d v="2022-03-11T00:00:00"/>
    <n v="0"/>
    <d v="2023-02-01T00:00:00"/>
  </r>
  <r>
    <s v="Eurecat - Technology Centre of Catalonia"/>
    <x v="0"/>
    <s v="No growth Potential"/>
    <x v="0"/>
    <x v="0"/>
    <s v="Barcelona"/>
    <n v="92126"/>
    <s v="23-05-2022"/>
    <n v="0"/>
    <d v="2022-02-06T00:00:00"/>
  </r>
  <r>
    <s v="European Union Intellectual Property Office (EUIPO)"/>
    <x v="1"/>
    <s v="High Growth potential"/>
    <x v="0"/>
    <x v="0"/>
    <s v="Alicante"/>
    <n v="106692"/>
    <s v="24-05-2022"/>
    <n v="8891"/>
    <s v="23-07-2022"/>
  </r>
  <r>
    <s v="Deltanet"/>
    <x v="0"/>
    <s v="No growth Potential"/>
    <x v="0"/>
    <x v="0"/>
    <s v="TBD"/>
    <n v="133858"/>
    <d v="2022-12-04T00:00:00"/>
    <n v="0"/>
    <d v="2022-02-05T00:00:00"/>
  </r>
  <r>
    <s v="THB Hotels"/>
    <x v="0"/>
    <s v="No growth Potential"/>
    <x v="0"/>
    <x v="0"/>
    <s v="Ca?n Picafort"/>
    <n v="368455"/>
    <d v="2022-03-09T00:00:00"/>
    <n v="0"/>
    <d v="2022-02-11T00:00:00"/>
  </r>
  <r>
    <s v="Jumari S.A."/>
    <x v="0"/>
    <s v="No growth Potential"/>
    <x v="0"/>
    <x v="0"/>
    <s v="SON SERVERA"/>
    <n v="107211"/>
    <s v="21-02-2022"/>
    <n v="0"/>
    <d v="2022-02-04T00:00:00"/>
  </r>
  <r>
    <s v="Consorcio de Aguas Bilbao Bizkaia"/>
    <x v="0"/>
    <s v="No growth Potential"/>
    <x v="0"/>
    <x v="0"/>
    <s v="Bilbao"/>
    <n v="115087"/>
    <s v="13-03-2023"/>
    <n v="0"/>
    <d v="2023-02-05T00:00:00"/>
  </r>
  <r>
    <s v="Ingeteam"/>
    <x v="0"/>
    <s v="No growth Potential"/>
    <x v="0"/>
    <x v="0"/>
    <s v="Zamudio"/>
    <n v="104166"/>
    <s v="23-04-2022"/>
    <n v="0"/>
    <d v="2022-02-07T00:00:00"/>
  </r>
  <r>
    <s v="AEMET"/>
    <x v="1"/>
    <s v="High Growth potential"/>
    <x v="0"/>
    <x v="0"/>
    <s v="Madrid"/>
    <n v="143497"/>
    <s v="28-10-2022"/>
    <n v="71749"/>
    <s v="17-11-2022"/>
  </r>
  <r>
    <s v="Xcentra"/>
    <x v="0"/>
    <s v="No growth Potential"/>
    <x v="0"/>
    <x v="0"/>
    <s v="Madrid"/>
    <n v="127427"/>
    <s v="13-05-2022"/>
    <n v="0"/>
    <d v="2022-02-07T00:00:00"/>
  </r>
  <r>
    <s v="jonnyrapp.com"/>
    <x v="0"/>
    <s v="No growth Potential"/>
    <x v="0"/>
    <x v="0"/>
    <s v="Mallorca"/>
    <n v="355370"/>
    <d v="2022-02-06T00:00:00"/>
    <n v="0"/>
    <d v="2022-02-07T00:00:00"/>
  </r>
  <r>
    <s v="Portucel Soporcel group"/>
    <x v="0"/>
    <s v="No growth Potential"/>
    <x v="0"/>
    <x v="1"/>
    <s v="LAVOS"/>
    <n v="191190"/>
    <s v="24-08-2022"/>
    <n v="0"/>
    <d v="2022-02-11T00:00:00"/>
  </r>
  <r>
    <s v="Ackcent Cybersecurity"/>
    <x v="0"/>
    <s v="No growth Potential"/>
    <x v="0"/>
    <x v="0"/>
    <s v="Barcelona"/>
    <n v="209817"/>
    <d v="2022-03-10T00:00:00"/>
    <n v="0"/>
    <d v="2022-02-11T00:00:00"/>
  </r>
  <r>
    <s v="RandomControl SLU"/>
    <x v="0"/>
    <s v="No growth Potential"/>
    <x v="0"/>
    <x v="0"/>
    <s v="Madrid"/>
    <n v="49625"/>
    <d v="2022-03-01T00:00:00"/>
    <n v="0"/>
    <d v="2022-02-02T00:00:00"/>
  </r>
  <r>
    <s v="CUNEXT COPPER INDUSTRIES"/>
    <x v="0"/>
    <s v="No growth Potential"/>
    <x v="0"/>
    <x v="0"/>
    <s v="CORDOBA"/>
    <n v="101488"/>
    <s v="23-09-2022"/>
    <n v="0"/>
    <d v="2022-02-11T00:00:00"/>
  </r>
  <r>
    <s v="Interface Safeaccess SL"/>
    <x v="0"/>
    <s v="No growth Potential"/>
    <x v="0"/>
    <x v="0"/>
    <s v="Barcelona"/>
    <n v="101400"/>
    <d v="2022-12-06T00:00:00"/>
    <n v="0"/>
    <d v="2022-02-07T00:00:00"/>
  </r>
  <r>
    <s v="Primavera BSS"/>
    <x v="0"/>
    <s v="No growth Potential"/>
    <x v="0"/>
    <x v="1"/>
    <s v="Braga"/>
    <n v="67715"/>
    <s v="13-03-2022"/>
    <n v="0"/>
    <d v="2022-02-05T00:00:00"/>
  </r>
  <r>
    <s v="Alcampo S.A."/>
    <x v="1"/>
    <s v="High Growth potential"/>
    <x v="0"/>
    <x v="0"/>
    <s v="Madrid"/>
    <n v="80523"/>
    <s v="15-03-2022"/>
    <n v="40262"/>
    <s v="14-04-2022"/>
  </r>
  <r>
    <s v="Cortizo"/>
    <x v="0"/>
    <s v="No growth Potential"/>
    <x v="0"/>
    <x v="0"/>
    <s v="Padron"/>
    <n v="67742"/>
    <s v="24-08-2022"/>
    <n v="0"/>
    <d v="2022-02-11T00:00:00"/>
  </r>
  <r>
    <s v="INDRA_elecciones argentinas"/>
    <x v="0"/>
    <s v="No growth Potential"/>
    <x v="0"/>
    <x v="0"/>
    <s v="Madrid"/>
    <n v="96217"/>
    <d v="2023-03-05T00:00:00"/>
    <n v="0"/>
    <d v="2023-02-06T00:00:00"/>
  </r>
  <r>
    <s v="Odisseias"/>
    <x v="0"/>
    <s v="No growth Potential"/>
    <x v="0"/>
    <x v="1"/>
    <s v="TBD"/>
    <n v="90293"/>
    <s v="13-06-2022"/>
    <n v="0"/>
    <d v="2022-02-08T00:00:00"/>
  </r>
  <r>
    <s v="ADISSEO"/>
    <x v="0"/>
    <s v="No growth Potential"/>
    <x v="0"/>
    <x v="0"/>
    <s v="TBD"/>
    <n v="270429"/>
    <d v="2022-03-09T00:00:00"/>
    <n v="0"/>
    <d v="2022-02-11T00:00:00"/>
  </r>
  <r>
    <s v="Agencia Best"/>
    <x v="0"/>
    <s v="No growth Potential"/>
    <x v="0"/>
    <x v="0"/>
    <s v="TBD"/>
    <n v="63020"/>
    <d v="2022-12-06T00:00:00"/>
    <n v="0"/>
    <d v="2022-02-07T00:00:00"/>
  </r>
  <r>
    <s v="Software Estrategico"/>
    <x v="0"/>
    <s v="No growth Potential"/>
    <x v="0"/>
    <x v="0"/>
    <s v="Medellin"/>
    <n v="71125"/>
    <s v="24-03-2022"/>
    <n v="0"/>
    <d v="2022-02-06T00:00:00"/>
  </r>
  <r>
    <s v="ACCIÓ - Agència per la Competitivitat de l'Empresa"/>
    <x v="0"/>
    <s v="No growth Potential"/>
    <x v="0"/>
    <x v="0"/>
    <s v="TBD"/>
    <n v="48820"/>
    <d v="2023-11-01T00:00:00"/>
    <n v="0"/>
    <d v="2023-02-03T00:00:00"/>
  </r>
  <r>
    <s v="British Council"/>
    <x v="0"/>
    <s v="No growth Potential"/>
    <x v="0"/>
    <x v="0"/>
    <s v="TBD"/>
    <n v="118761"/>
    <s v="24-08-2022"/>
    <n v="0"/>
    <d v="2022-02-11T00:00:00"/>
  </r>
  <r>
    <s v="TABLEROS DE FIBRAS"/>
    <x v="0"/>
    <s v="No growth Potential"/>
    <x v="0"/>
    <x v="0"/>
    <s v="TRES CANTOS"/>
    <n v="74208"/>
    <d v="2022-03-10T00:00:00"/>
    <n v="0"/>
    <d v="2022-02-11T00:00:00"/>
  </r>
  <r>
    <s v="Lindt Spain"/>
    <x v="0"/>
    <s v="No growth Potential"/>
    <x v="0"/>
    <x v="0"/>
    <s v="TBD"/>
    <n v="62337"/>
    <s v="24-07-2022"/>
    <n v="0"/>
    <d v="2022-02-09T00:00:00"/>
  </r>
  <r>
    <s v="World Duty Free Group Spain"/>
    <x v="0"/>
    <s v="No growth Potential"/>
    <x v="0"/>
    <x v="0"/>
    <s v="Madrid"/>
    <n v="106208"/>
    <s v="23-12-2021"/>
    <n v="0"/>
    <d v="2022-01-02T00:00:00"/>
  </r>
  <r>
    <s v="Aon Gil Y Carvajal S.A."/>
    <x v="0"/>
    <s v="No growth Potential"/>
    <x v="0"/>
    <x v="0"/>
    <s v="Madrid"/>
    <n v="122068"/>
    <s v="22-11-2022"/>
    <n v="0"/>
    <d v="2022-02-12T00:00:00"/>
  </r>
  <r>
    <s v="Castro Electronica"/>
    <x v="0"/>
    <s v="No growth Potential"/>
    <x v="0"/>
    <x v="1"/>
    <s v="TBD"/>
    <n v="112085"/>
    <s v="23-01-2022"/>
    <n v="0"/>
    <d v="2022-02-02T00:00:00"/>
  </r>
  <r>
    <s v="EsDemarca"/>
    <x v="0"/>
    <s v="No growth Potential"/>
    <x v="0"/>
    <x v="0"/>
    <s v="TBD"/>
    <n v="189857"/>
    <s v="23-05-2022"/>
    <n v="0"/>
    <d v="2022-02-06T00:00:00"/>
  </r>
  <r>
    <s v="Mr Informatica"/>
    <x v="0"/>
    <s v="No growth Potential"/>
    <x v="0"/>
    <x v="1"/>
    <s v="TBD"/>
    <n v="120677"/>
    <s v="23-08-2022"/>
    <n v="0"/>
    <d v="2022-02-10T00:00:00"/>
  </r>
  <r>
    <s v="Colorize Media"/>
    <x v="0"/>
    <s v="No growth Potential"/>
    <x v="0"/>
    <x v="1"/>
    <s v="Odivelas"/>
    <n v="235793"/>
    <s v="23-01-2023"/>
    <n v="0"/>
    <d v="2023-02-02T00:00:00"/>
  </r>
  <r>
    <s v="GPS Imagen y Comunicación"/>
    <x v="0"/>
    <s v="No growth Potential"/>
    <x v="0"/>
    <x v="0"/>
    <s v="TBD"/>
    <n v="87037"/>
    <s v="23-04-2022"/>
    <n v="0"/>
    <d v="2022-02-07T00:00:00"/>
  </r>
  <r>
    <s v="Nibble Group"/>
    <x v="0"/>
    <s v="No growth Potential"/>
    <x v="0"/>
    <x v="0"/>
    <s v="TBD"/>
    <n v="138786"/>
    <s v="23-09-2022"/>
    <n v="0"/>
    <d v="2022-02-11T00:00:00"/>
  </r>
  <r>
    <s v="MAWERSA S.A."/>
    <x v="0"/>
    <s v="No growth Potential"/>
    <x v="0"/>
    <x v="0"/>
    <s v="Madrid"/>
    <n v="115160"/>
    <s v="23-09-2022"/>
    <n v="0"/>
    <d v="2022-02-11T00:00:00"/>
  </r>
  <r>
    <s v="Sage Spain"/>
    <x v="0"/>
    <s v="No growth Potential"/>
    <x v="0"/>
    <x v="0"/>
    <s v="TBD"/>
    <n v="169608"/>
    <d v="2022-03-01T00:00:00"/>
    <n v="0"/>
    <d v="2022-02-02T00:00:00"/>
  </r>
  <r>
    <s v="VIAS Y CONSTRUCCIONES"/>
    <x v="0"/>
    <s v="No growth Potential"/>
    <x v="0"/>
    <x v="0"/>
    <s v="MADRID"/>
    <n v="189835"/>
    <s v="23-09-2022"/>
    <n v="0"/>
    <d v="2022-02-11T00:00:00"/>
  </r>
  <r>
    <s v="APWG:EU"/>
    <x v="0"/>
    <s v="No growth Potential"/>
    <x v="0"/>
    <x v="0"/>
    <s v="Barcelona"/>
    <n v="219470"/>
    <s v="23-10-2022"/>
    <n v="0"/>
    <d v="2022-02-11T00:00:00"/>
  </r>
  <r>
    <s v="Carmina Shoemaker"/>
    <x v="0"/>
    <s v="No growth Potential"/>
    <x v="0"/>
    <x v="0"/>
    <s v="Inca"/>
    <n v="134196"/>
    <d v="2021-04-12T00:00:00"/>
    <n v="0"/>
    <d v="2022-02-02T00:00:00"/>
  </r>
  <r>
    <s v="Aramark Servicios De Catering S.L."/>
    <x v="0"/>
    <s v="No growth Potential"/>
    <x v="0"/>
    <x v="0"/>
    <s v="Barcelona"/>
    <n v="132539"/>
    <d v="2022-10-02T00:00:00"/>
    <n v="0"/>
    <d v="2022-02-03T00:00:00"/>
  </r>
  <r>
    <s v="Divisa iT"/>
    <x v="0"/>
    <s v="No growth Potential"/>
    <x v="0"/>
    <x v="0"/>
    <s v="TBD"/>
    <n v="108925"/>
    <d v="2022-03-05T00:00:00"/>
    <n v="0"/>
    <d v="2022-02-06T00:00:00"/>
  </r>
  <r>
    <s v="SISTEMAS LORENTE &amp; ARÁN S.L."/>
    <x v="0"/>
    <s v="No growth Potential"/>
    <x v="0"/>
    <x v="0"/>
    <s v="PUIG"/>
    <n v="142085"/>
    <s v="23-10-2022"/>
    <n v="0"/>
    <d v="2022-02-11T00:00:00"/>
  </r>
  <r>
    <s v="Kiabi.es"/>
    <x v="0"/>
    <s v="No growth Potential"/>
    <x v="0"/>
    <x v="0"/>
    <s v="Majadahonda"/>
    <n v="115580"/>
    <s v="22-12-2021"/>
    <n v="0"/>
    <d v="2022-02-03T00:00:00"/>
  </r>
  <r>
    <s v="Port of Algeciras"/>
    <x v="0"/>
    <s v="No growth Potential"/>
    <x v="0"/>
    <x v="0"/>
    <s v="ALGECIRAS"/>
    <n v="32000"/>
    <s v="23-03-2023"/>
    <n v="0"/>
    <d v="2023-02-04T00:00:00"/>
  </r>
  <r>
    <s v="Ailanthus Advance"/>
    <x v="0"/>
    <s v="No growth Potential"/>
    <x v="0"/>
    <x v="0"/>
    <s v="TBD"/>
    <n v="74045"/>
    <s v="22-01-2022"/>
    <n v="0"/>
    <d v="2022-02-04T00:00:00"/>
  </r>
  <r>
    <s v="Quenti Tech"/>
    <x v="0"/>
    <s v="No growth Potential"/>
    <x v="0"/>
    <x v="0"/>
    <s v="TBD"/>
    <n v="104988"/>
    <s v="23-10-2022"/>
    <n v="0"/>
    <d v="2022-02-11T00:00:00"/>
  </r>
  <r>
    <s v="A&amp;G Banca Privada"/>
    <x v="0"/>
    <s v="No growth Potential"/>
    <x v="0"/>
    <x v="0"/>
    <s v="TBD"/>
    <n v="235733"/>
    <d v="2022-03-04T00:00:00"/>
    <n v="0"/>
    <d v="2022-02-06T00:00:00"/>
  </r>
  <r>
    <s v="OWENS CORNING FIBERGLAS ESPA A S.L."/>
    <x v="0"/>
    <s v="No growth Potential"/>
    <x v="0"/>
    <x v="0"/>
    <s v="TBD"/>
    <n v="204921"/>
    <s v="13-09-2022"/>
    <n v="0"/>
    <d v="2022-02-11T00:00:00"/>
  </r>
  <r>
    <s v="Aristocrazy Grupo Suárez"/>
    <x v="0"/>
    <s v="No growth Potential"/>
    <x v="0"/>
    <x v="0"/>
    <s v="TBD"/>
    <n v="88858"/>
    <s v="24-07-2022"/>
    <n v="0"/>
    <d v="2022-02-09T00:00:00"/>
  </r>
  <r>
    <s v="APM"/>
    <x v="0"/>
    <s v="No growth Potential"/>
    <x v="0"/>
    <x v="1"/>
    <s v="TBD"/>
    <n v="108983"/>
    <d v="2022-03-10T00:00:00"/>
    <n v="0"/>
    <d v="2022-02-11T00:00:00"/>
  </r>
  <r>
    <s v="Distribuciones Froiz"/>
    <x v="0"/>
    <s v="No growth Potential"/>
    <x v="0"/>
    <x v="0"/>
    <s v="Poio"/>
    <n v="75881"/>
    <s v="24-08-2022"/>
    <n v="0"/>
    <d v="2022-02-11T00:00:00"/>
  </r>
  <r>
    <s v="Bridgestone S.A"/>
    <x v="0"/>
    <s v="No growth Potential"/>
    <x v="0"/>
    <x v="0"/>
    <s v="BASAURI"/>
    <n v="120013"/>
    <s v="23-09-2022"/>
    <n v="0"/>
    <d v="2022-02-11T00:00:00"/>
  </r>
  <r>
    <s v="Area Metropolitana de Barcelona"/>
    <x v="0"/>
    <s v="No growth Potential"/>
    <x v="0"/>
    <x v="0"/>
    <s v="TBD"/>
    <n v="124126"/>
    <s v="21-02-2022"/>
    <n v="0"/>
    <d v="2022-02-04T00:00:00"/>
  </r>
  <r>
    <s v="Ayuntamiento de Ribarroja del Túria"/>
    <x v="0"/>
    <s v="No growth Potential"/>
    <x v="0"/>
    <x v="0"/>
    <s v="RIBA-ROJA DE TURIA"/>
    <n v="138692"/>
    <d v="2022-03-04T00:00:00"/>
    <n v="0"/>
    <d v="2022-02-06T00:00:00"/>
  </r>
  <r>
    <s v="Perfume's Club"/>
    <x v="0"/>
    <s v="No growth Potential"/>
    <x v="0"/>
    <x v="0"/>
    <s v="Palma de Mallorca"/>
    <n v="147362"/>
    <s v="13-10-2022"/>
    <n v="0"/>
    <d v="2022-02-11T00:00:00"/>
  </r>
  <r>
    <s v="cabify"/>
    <x v="0"/>
    <s v="No growth Potential"/>
    <x v="0"/>
    <x v="0"/>
    <s v="TBD"/>
    <n v="106526"/>
    <s v="24-11-2021"/>
    <n v="0"/>
    <d v="2022-02-02T00:00:00"/>
  </r>
  <r>
    <s v="StockCrowd"/>
    <x v="0"/>
    <s v="No growth Potential"/>
    <x v="0"/>
    <x v="0"/>
    <s v="Barcelona"/>
    <n v="70969"/>
    <s v="23-09-2022"/>
    <n v="0"/>
    <d v="2022-02-11T00:00:00"/>
  </r>
  <r>
    <s v="IQ-Pass"/>
    <x v="0"/>
    <s v="No growth Potential"/>
    <x v="0"/>
    <x v="0"/>
    <s v="TBD"/>
    <n v="100034"/>
    <s v="22-04-2022"/>
    <n v="0"/>
    <d v="2022-02-05T00:00:00"/>
  </r>
  <r>
    <s v="GoNetFPI"/>
    <x v="0"/>
    <s v="No growth Potential"/>
    <x v="0"/>
    <x v="0"/>
    <s v="TBD"/>
    <n v="101400"/>
    <s v="23-09-2022"/>
    <n v="0"/>
    <d v="2022-02-11T00:00:00"/>
  </r>
  <r>
    <s v="Barrabes"/>
    <x v="0"/>
    <s v="No growth Potential"/>
    <x v="0"/>
    <x v="0"/>
    <s v="TBD"/>
    <n v="67715"/>
    <s v="24-11-2021"/>
    <n v="0"/>
    <d v="2022-02-02T00:00:00"/>
  </r>
  <r>
    <s v="Canal de Isabel II SA"/>
    <x v="0"/>
    <s v="No growth Potential"/>
    <x v="0"/>
    <x v="0"/>
    <s v="Madrid"/>
    <n v="80523"/>
    <s v="23-01-2022"/>
    <n v="0"/>
    <d v="2022-02-02T00:00:00"/>
  </r>
  <r>
    <s v="Round Earth Consulting"/>
    <x v="0"/>
    <s v="No growth Potential"/>
    <x v="0"/>
    <x v="0"/>
    <s v="TBD"/>
    <n v="67742"/>
    <s v="13-07-2022"/>
    <n v="0"/>
    <d v="2022-02-08T00:00:00"/>
  </r>
  <r>
    <s v="Druni"/>
    <x v="0"/>
    <s v="No growth Potential"/>
    <x v="0"/>
    <x v="0"/>
    <s v="Carlet"/>
    <n v="96217"/>
    <s v="23-10-2022"/>
    <n v="0"/>
    <d v="2022-02-11T00:00:00"/>
  </r>
  <r>
    <s v="Mayoral Moda Infantil SA"/>
    <x v="1"/>
    <s v="High Growth potential"/>
    <x v="0"/>
    <x v="0"/>
    <s v="Malaga"/>
    <n v="90293"/>
    <d v="2021-12-12T00:00:00"/>
    <n v="6450"/>
    <s v="20-02-2022"/>
  </r>
  <r>
    <s v="ok rent a car"/>
    <x v="0"/>
    <s v="No growth Potential"/>
    <x v="0"/>
    <x v="0"/>
    <s v="TBD"/>
    <n v="270429"/>
    <s v="24-07-2022"/>
    <n v="0"/>
    <d v="2022-02-09T00:00:00"/>
  </r>
  <r>
    <s v="HombreCosmo"/>
    <x v="0"/>
    <s v="No growth Potential"/>
    <x v="0"/>
    <x v="0"/>
    <s v="TBD"/>
    <n v="63020"/>
    <s v="23-09-2022"/>
    <n v="0"/>
    <d v="2022-02-11T00:00:00"/>
  </r>
  <r>
    <s v="Tiendeo"/>
    <x v="0"/>
    <s v="No growth Potential"/>
    <x v="0"/>
    <x v="0"/>
    <s v="Barcelona"/>
    <n v="71125"/>
    <s v="23-10-2022"/>
    <n v="0"/>
    <d v="2022-02-11T00:00:00"/>
  </r>
  <r>
    <s v="Planeta Huerto"/>
    <x v="0"/>
    <s v="No growth Potential"/>
    <x v="0"/>
    <x v="0"/>
    <s v="TBD"/>
    <n v="48820"/>
    <d v="2022-01-01T00:00:00"/>
    <n v="0"/>
    <d v="2022-02-03T00:00:00"/>
  </r>
  <r>
    <s v="Pisamonas"/>
    <x v="0"/>
    <s v="No growth Potential"/>
    <x v="0"/>
    <x v="0"/>
    <s v="Montecarmelo"/>
    <n v="118761"/>
    <d v="2022-03-03T00:00:00"/>
    <n v="0"/>
    <d v="2022-02-04T00:00:00"/>
  </r>
  <r>
    <s v="Givaudan"/>
    <x v="0"/>
    <s v="No growth Potential"/>
    <x v="0"/>
    <x v="0"/>
    <s v="TBD"/>
    <n v="74208"/>
    <d v="2022-01-02T00:00:00"/>
    <n v="0"/>
    <d v="2022-02-04T00:00:00"/>
  </r>
  <r>
    <s v="TRAVENTIA"/>
    <x v="1"/>
    <s v="High Growth potential"/>
    <x v="0"/>
    <x v="0"/>
    <s v="Madrid"/>
    <n v="62337"/>
    <s v="29-10-2022"/>
    <n v="7792"/>
    <d v="2022-08-11T00:00:00"/>
  </r>
  <r>
    <s v="APTOIDE S.A."/>
    <x v="0"/>
    <s v="No growth Potential"/>
    <x v="0"/>
    <x v="1"/>
    <s v="EVORA"/>
    <n v="143588"/>
    <d v="2022-03-10T00:00:00"/>
    <n v="0"/>
    <d v="2022-02-11T00:00:00"/>
  </r>
  <r>
    <s v="PANGEA"/>
    <x v="0"/>
    <s v="No growth Potential"/>
    <x v="0"/>
    <x v="0"/>
    <s v="TBD"/>
    <n v="61002"/>
    <s v="23-10-2022"/>
    <n v="0"/>
    <d v="2022-02-11T00:00:00"/>
  </r>
  <r>
    <s v="Ibericar"/>
    <x v="0"/>
    <s v="No growth Potential"/>
    <x v="0"/>
    <x v="0"/>
    <s v="TBD"/>
    <n v="109980"/>
    <d v="2022-12-06T00:00:00"/>
    <n v="0"/>
    <d v="2022-02-07T00:00:00"/>
  </r>
  <r>
    <s v="G's España"/>
    <x v="0"/>
    <s v="No growth Potential"/>
    <x v="0"/>
    <x v="0"/>
    <s v="Torre Pacheco"/>
    <n v="106526"/>
    <s v="23-06-2022"/>
    <n v="0"/>
    <d v="2022-02-08T00:00:00"/>
  </r>
  <r>
    <s v="Loqr"/>
    <x v="0"/>
    <s v="No growth Potential"/>
    <x v="0"/>
    <x v="1"/>
    <s v="Braga"/>
    <n v="70969"/>
    <s v="23-09-2022"/>
    <n v="0"/>
    <d v="2022-02-11T00:00:00"/>
  </r>
  <r>
    <s v="Inesdi"/>
    <x v="0"/>
    <s v="No growth Potential"/>
    <x v="0"/>
    <x v="0"/>
    <s v="TBD"/>
    <n v="100034"/>
    <s v="13-10-2022"/>
    <n v="0"/>
    <d v="2022-02-11T00:00:00"/>
  </r>
  <r>
    <s v="PANAREHA"/>
    <x v="0"/>
    <s v="No growth Potential"/>
    <x v="0"/>
    <x v="1"/>
    <s v="Lisboa"/>
    <n v="107069"/>
    <s v="13-09-2022"/>
    <n v="0"/>
    <d v="2022-02-11T00:00:00"/>
  </r>
  <r>
    <s v="SUNSUNDEGUI"/>
    <x v="0"/>
    <s v="No growth Potential"/>
    <x v="0"/>
    <x v="0"/>
    <s v="Alsasua"/>
    <n v="143517"/>
    <d v="2022-03-09T00:00:00"/>
    <n v="0"/>
    <d v="2022-02-11T00:00:00"/>
  </r>
  <r>
    <s v="Queralto Ortopedia"/>
    <x v="0"/>
    <s v="No growth Potential"/>
    <x v="0"/>
    <x v="0"/>
    <s v="TBD"/>
    <n v="58504"/>
    <d v="2022-03-03T00:00:00"/>
    <n v="0"/>
    <d v="2022-02-05T00:00:00"/>
  </r>
  <r>
    <s v="TEXTURA INTERIORS"/>
    <x v="0"/>
    <s v="No growth Potential"/>
    <x v="0"/>
    <x v="0"/>
    <s v="TBD"/>
    <n v="95966"/>
    <s v="23-10-2022"/>
    <n v="0"/>
    <d v="2022-02-11T00:00:00"/>
  </r>
  <r>
    <s v="bodas.net (grupo intercom)"/>
    <x v="1"/>
    <s v="Medium Growth"/>
    <x v="0"/>
    <x v="0"/>
    <s v="Sant Cugat del Vallès"/>
    <n v="54725"/>
    <d v="2022-03-04T00:00:00"/>
    <n v="3040"/>
    <s v="23-04-2022"/>
  </r>
  <r>
    <s v="Wotrant SLU"/>
    <x v="0"/>
    <s v="No growth Potential"/>
    <x v="0"/>
    <x v="0"/>
    <s v="TBD"/>
    <n v="147868"/>
    <s v="22-04-2022"/>
    <n v="0"/>
    <d v="2022-02-05T00:00:00"/>
  </r>
  <r>
    <s v="Deliberry"/>
    <x v="0"/>
    <s v="No growth Potential"/>
    <x v="0"/>
    <x v="0"/>
    <s v="TBD"/>
    <n v="112714"/>
    <d v="2022-03-09T00:00:00"/>
    <n v="0"/>
    <d v="2022-02-11T00:00:00"/>
  </r>
  <r>
    <s v="PAGINADOTCOM SA"/>
    <x v="1"/>
    <s v="High Growth potential"/>
    <x v="0"/>
    <x v="1"/>
    <s v="Matosinhos"/>
    <n v="74208"/>
    <s v="31-10-2022"/>
    <n v="18552"/>
    <s v="20-11-2022"/>
  </r>
  <r>
    <s v="Balms Galicia"/>
    <x v="0"/>
    <s v="No growth Potential"/>
    <x v="0"/>
    <x v="0"/>
    <s v="TBD"/>
    <n v="90068"/>
    <s v="24-11-2021"/>
    <n v="0"/>
    <d v="2022-02-02T00:00:00"/>
  </r>
  <r>
    <s v="Hijos de Luis Rodríguez Supermercados Masymas"/>
    <x v="0"/>
    <s v="No growth Potential"/>
    <x v="0"/>
    <x v="0"/>
    <s v="Llanera"/>
    <n v="80085"/>
    <s v="23-10-2022"/>
    <n v="0"/>
    <d v="2022-02-11T00:00:00"/>
  </r>
  <r>
    <s v="NEMERTES"/>
    <x v="0"/>
    <s v="No growth Potential"/>
    <x v="0"/>
    <x v="0"/>
    <s v="Alicante"/>
    <n v="157857"/>
    <s v="23-09-2022"/>
    <n v="0"/>
    <d v="2022-02-11T00:00:00"/>
  </r>
  <r>
    <s v="Mossos d'Esquadra"/>
    <x v="0"/>
    <s v="No growth Potential"/>
    <x v="0"/>
    <x v="0"/>
    <s v="TBD"/>
    <n v="88677"/>
    <s v="13-01-2023"/>
    <n v="0"/>
    <d v="2023-02-02T00:00:00"/>
  </r>
  <r>
    <s v="Correos Express"/>
    <x v="0"/>
    <s v="No growth Potential"/>
    <x v="0"/>
    <x v="0"/>
    <s v="Coslada"/>
    <n v="203793"/>
    <s v="23-09-2022"/>
    <n v="0"/>
    <d v="2022-02-11T00:00:00"/>
  </r>
  <r>
    <s v="Pixelxen SL"/>
    <x v="0"/>
    <s v="No growth Potential"/>
    <x v="0"/>
    <x v="0"/>
    <s v="Barcelon"/>
    <n v="55037"/>
    <d v="2022-03-10T00:00:00"/>
    <n v="0"/>
    <d v="2022-02-11T00:00:00"/>
  </r>
  <r>
    <s v="JTSL - Soluções Técnicas Manutenção Metalomecânica SA"/>
    <x v="0"/>
    <s v="No growth Potential"/>
    <x v="0"/>
    <x v="1"/>
    <s v="Figueira de Lorvão ?"/>
    <n v="106786"/>
    <s v="23-09-2021"/>
    <n v="0"/>
    <d v="2021-02-12T00:00:00"/>
  </r>
  <r>
    <s v="Midas España"/>
    <x v="0"/>
    <s v="No growth Potential"/>
    <x v="0"/>
    <x v="0"/>
    <s v="Madrid"/>
    <n v="83160"/>
    <d v="2022-01-02T00:00:00"/>
    <n v="0"/>
    <d v="2022-02-04T00:00:00"/>
  </r>
  <r>
    <s v="OSPS"/>
    <x v="0"/>
    <s v="No growth Potential"/>
    <x v="0"/>
    <x v="0"/>
    <s v="TBD"/>
    <n v="137608"/>
    <s v="23-10-2022"/>
    <n v="0"/>
    <d v="2022-02-11T00:00:00"/>
  </r>
  <r>
    <s v="Grupo Comdifil"/>
    <x v="0"/>
    <s v="No growth Potential"/>
    <x v="0"/>
    <x v="0"/>
    <s v="TBD"/>
    <n v="157835"/>
    <s v="13-09-2022"/>
    <n v="0"/>
    <d v="2022-02-11T00:00:00"/>
  </r>
  <r>
    <s v="Volcano Teide"/>
    <x v="1"/>
    <s v="High Growth potential"/>
    <x v="0"/>
    <x v="0"/>
    <s v="TBD"/>
    <n v="187470"/>
    <s v="28-03-2022"/>
    <n v="17043"/>
    <s v="17-05-2022"/>
  </r>
  <r>
    <s v="Viesgo"/>
    <x v="0"/>
    <s v="No growth Potential"/>
    <x v="0"/>
    <x v="0"/>
    <s v="Madrid"/>
    <n v="102196"/>
    <s v="23-09-2022"/>
    <n v="0"/>
    <d v="2022-02-11T00:00:00"/>
  </r>
  <r>
    <s v="MAGNANNI"/>
    <x v="0"/>
    <s v="No growth Potential"/>
    <x v="0"/>
    <x v="0"/>
    <s v="TBD"/>
    <n v="100539"/>
    <s v="13-10-2022"/>
    <n v="0"/>
    <d v="2022-02-11T00:00:00"/>
  </r>
  <r>
    <s v="Miquel Rius"/>
    <x v="0"/>
    <s v="No growth Potential"/>
    <x v="0"/>
    <x v="0"/>
    <s v="Parets del Vallès"/>
    <n v="76925"/>
    <s v="13-10-2022"/>
    <n v="0"/>
    <d v="2022-02-11T00:00:00"/>
  </r>
  <r>
    <s v="Instituto Médico Estética"/>
    <x v="0"/>
    <s v="No growth Potential"/>
    <x v="0"/>
    <x v="0"/>
    <s v="Madrid"/>
    <n v="110085"/>
    <d v="2021-03-12T00:00:00"/>
    <n v="0"/>
    <d v="2022-01-02T00:00:00"/>
  </r>
  <r>
    <s v="Minsait"/>
    <x v="0"/>
    <s v="No growth Potential"/>
    <x v="0"/>
    <x v="0"/>
    <s v="TBD"/>
    <n v="83580"/>
    <s v="22-04-2022"/>
    <n v="0"/>
    <d v="2022-02-05T00:00:00"/>
  </r>
  <r>
    <s v="Verdecora"/>
    <x v="0"/>
    <s v="No growth Potential"/>
    <x v="0"/>
    <x v="0"/>
    <s v="TBD"/>
    <m/>
    <s v="23-08-2022"/>
    <n v="0"/>
    <d v="2022-02-09T00:00:00"/>
  </r>
  <r>
    <s v="Pladur Gypsum"/>
    <x v="0"/>
    <s v="No growth Potential"/>
    <x v="0"/>
    <x v="0"/>
    <s v="Madrid"/>
    <n v="42045"/>
    <s v="20-02-2022"/>
    <n v="0"/>
    <d v="2022-02-03T00:00:00"/>
  </r>
  <r>
    <s v="Juguetilandia"/>
    <x v="0"/>
    <s v="No growth Potential"/>
    <x v="0"/>
    <x v="0"/>
    <s v="TBD"/>
    <n v="72988"/>
    <s v="14-07-2022"/>
    <n v="0"/>
    <d v="2022-02-09T00:00:00"/>
  </r>
  <r>
    <s v="Neo Mountain"/>
    <x v="0"/>
    <s v="No growth Potential"/>
    <x v="0"/>
    <x v="0"/>
    <s v="TBD"/>
    <n v="203733"/>
    <s v="22-09-2022"/>
    <n v="0"/>
    <d v="2022-02-10T00:00:00"/>
  </r>
  <r>
    <s v="Banco Cooperative Espanol"/>
    <x v="0"/>
    <s v="No growth Potential"/>
    <x v="0"/>
    <x v="0"/>
    <s v="Madrid"/>
    <n v="172921"/>
    <d v="2022-03-01T00:00:00"/>
    <n v="0"/>
    <d v="2022-02-02T00:00:00"/>
  </r>
  <r>
    <s v="Megasur"/>
    <x v="0"/>
    <s v="No growth Potential"/>
    <x v="0"/>
    <x v="0"/>
    <s v="Escúzar"/>
    <n v="56858"/>
    <d v="2022-11-02T00:00:00"/>
    <n v="0"/>
    <d v="2022-02-04T00:00:00"/>
  </r>
  <r>
    <s v="Restaurantes.com"/>
    <x v="0"/>
    <s v="No growth Potential"/>
    <x v="0"/>
    <x v="0"/>
    <s v="TBD"/>
    <n v="76983"/>
    <d v="2022-12-04T00:00:00"/>
    <n v="0"/>
    <d v="2022-02-05T00:00:00"/>
  </r>
  <r>
    <s v="Accelya Group"/>
    <x v="0"/>
    <s v="No growth Potential"/>
    <x v="0"/>
    <x v="0"/>
    <s v="BARCELONA"/>
    <n v="43881"/>
    <d v="2022-03-05T00:00:00"/>
    <n v="0"/>
    <d v="2022-02-07T00:00:00"/>
  </r>
  <r>
    <s v="Dineo"/>
    <x v="0"/>
    <s v="No growth Potential"/>
    <x v="0"/>
    <x v="0"/>
    <s v="Madrid"/>
    <n v="88013"/>
    <d v="2022-03-10T00:00:00"/>
    <n v="0"/>
    <d v="2022-02-11T00:00:00"/>
  </r>
  <r>
    <s v="ALVARO MORENO SL"/>
    <x v="0"/>
    <s v="No growth Potential"/>
    <x v="0"/>
    <x v="0"/>
    <s v="OSUNA"/>
    <n v="92126"/>
    <s v="13-09-2022"/>
    <n v="0"/>
    <d v="2022-02-11T00:00:00"/>
  </r>
  <r>
    <s v="DVBlab Communiocation SL"/>
    <x v="0"/>
    <s v="No growth Potential"/>
    <x v="0"/>
    <x v="0"/>
    <s v="TBD"/>
    <n v="106692"/>
    <d v="2022-12-04T00:00:00"/>
    <n v="0"/>
    <d v="2022-02-05T00:00:00"/>
  </r>
  <r>
    <s v="Scalpers"/>
    <x v="0"/>
    <s v="No growth Potential"/>
    <x v="0"/>
    <x v="0"/>
    <s v="Sevilla"/>
    <n v="133858"/>
    <s v="20-02-2022"/>
    <n v="0"/>
    <d v="2022-02-03T00:00:00"/>
  </r>
  <r>
    <s v="Nice Things"/>
    <x v="0"/>
    <s v="No growth Potential"/>
    <x v="0"/>
    <x v="0"/>
    <s v="TBD"/>
    <n v="368455"/>
    <s v="24-08-2022"/>
    <n v="0"/>
    <d v="2022-02-11T00:00:00"/>
  </r>
  <r>
    <s v="Rosa Clará"/>
    <x v="0"/>
    <s v="No growth Potential"/>
    <x v="0"/>
    <x v="0"/>
    <s v="Madrid"/>
    <n v="107211"/>
    <s v="22-01-2022"/>
    <n v="0"/>
    <d v="2022-02-04T00:00:00"/>
  </r>
  <r>
    <s v="Promod Spain"/>
    <x v="0"/>
    <s v="No growth Potential"/>
    <x v="0"/>
    <x v="0"/>
    <s v="TBD"/>
    <n v="115087"/>
    <d v="2022-02-09T00:00:00"/>
    <n v="0"/>
    <d v="2022-02-10T00:00:00"/>
  </r>
  <r>
    <s v="Funidelia"/>
    <x v="1"/>
    <s v="High Growth potential"/>
    <x v="0"/>
    <x v="0"/>
    <s v="Huesca"/>
    <n v="104166"/>
    <d v="2022-07-09T00:00:00"/>
    <n v="26041"/>
    <s v="17-09-2022"/>
  </r>
  <r>
    <s v="Imesapi"/>
    <x v="0"/>
    <s v="No growth Potential"/>
    <x v="0"/>
    <x v="0"/>
    <s v="Madrid"/>
    <n v="143497"/>
    <d v="2022-02-04T00:00:00"/>
    <n v="0"/>
    <d v="2022-02-05T00:00:00"/>
  </r>
  <r>
    <s v="megasur"/>
    <x v="0"/>
    <s v="No growth Potential"/>
    <x v="0"/>
    <x v="0"/>
    <s v="TBD"/>
    <n v="127427"/>
    <d v="2022-11-02T00:00:00"/>
    <n v="0"/>
    <d v="2022-02-04T00:00:00"/>
  </r>
  <r>
    <s v="Superficies de Alimentación"/>
    <x v="0"/>
    <s v="No growth Potential"/>
    <x v="0"/>
    <x v="0"/>
    <s v="Granollers"/>
    <n v="355370"/>
    <d v="2021-12-11T00:00:00"/>
    <n v="0"/>
    <d v="2021-02-12T00:00:00"/>
  </r>
  <r>
    <s v="BRICOMART"/>
    <x v="0"/>
    <s v="No growth Potential"/>
    <x v="0"/>
    <x v="0"/>
    <s v="Leganes"/>
    <n v="191190"/>
    <s v="23-09-2022"/>
    <n v="0"/>
    <d v="2022-02-11T00:00:00"/>
  </r>
  <r>
    <s v="MADISON"/>
    <x v="0"/>
    <s v="No growth Potential"/>
    <x v="0"/>
    <x v="0"/>
    <s v="TBD"/>
    <n v="209817"/>
    <d v="2022-03-09T00:00:00"/>
    <n v="0"/>
    <d v="2022-02-11T00:00:00"/>
  </r>
  <r>
    <s v="Sareb...."/>
    <x v="0"/>
    <s v="No growth Potential"/>
    <x v="0"/>
    <x v="0"/>
    <s v="Madrid"/>
    <n v="49625"/>
    <s v="14-12-2021"/>
    <n v="0"/>
    <d v="2022-02-02T00:00:00"/>
  </r>
  <r>
    <s v="Sociedad de Prevención de Fremap"/>
    <x v="0"/>
    <s v="No growth Potential"/>
    <x v="0"/>
    <x v="0"/>
    <s v="LAS ROZAS DE MADRID"/>
    <n v="101488"/>
    <d v="2022-03-05T00:00:00"/>
    <n v="0"/>
    <d v="2022-02-07T00:00:00"/>
  </r>
  <r>
    <s v="Bodegas Torres"/>
    <x v="0"/>
    <s v="No growth Potential"/>
    <x v="0"/>
    <x v="0"/>
    <s v="TBD"/>
    <n v="101400"/>
    <s v="24-03-2022"/>
    <n v="0"/>
    <d v="2022-02-06T00:00:00"/>
  </r>
  <r>
    <s v="Transportes Municipales de Barcelona"/>
    <x v="0"/>
    <s v="No growth Potential"/>
    <x v="0"/>
    <x v="0"/>
    <s v="BARCELONA"/>
    <n v="67715"/>
    <s v="22-12-2021"/>
    <n v="0"/>
    <d v="2022-02-03T00:00:00"/>
  </r>
  <r>
    <s v="chicfy"/>
    <x v="0"/>
    <s v="No growth Potential"/>
    <x v="0"/>
    <x v="0"/>
    <s v="Madrid"/>
    <n v="80523"/>
    <s v="13-09-2022"/>
    <n v="0"/>
    <d v="2022-02-11T00:00:00"/>
  </r>
  <r>
    <s v="CICE Professional School of New Technologies"/>
    <x v="0"/>
    <s v="No growth Potential"/>
    <x v="0"/>
    <x v="0"/>
    <s v="TBD"/>
    <n v="67742"/>
    <s v="23-03-2023"/>
    <n v="0"/>
    <d v="2023-02-04T00:00:00"/>
  </r>
  <r>
    <s v="L'Agabe"/>
    <x v="0"/>
    <s v="No growth Potential"/>
    <x v="0"/>
    <x v="0"/>
    <s v="Alicante"/>
    <n v="96217"/>
    <s v="21-02-2022"/>
    <n v="0"/>
    <d v="2022-02-05T00:00:00"/>
  </r>
  <r>
    <s v="NORTHGATE ESPANA RENTING FLEXIBLE S.A."/>
    <x v="0"/>
    <s v="No growth Potential"/>
    <x v="0"/>
    <x v="0"/>
    <s v="GETAFE"/>
    <n v="90293"/>
    <s v="13-10-2022"/>
    <n v="0"/>
    <d v="2022-02-11T00:00:00"/>
  </r>
  <r>
    <s v="Unicaja Banco"/>
    <x v="0"/>
    <s v="No growth Potential"/>
    <x v="0"/>
    <x v="0"/>
    <s v="Malaga"/>
    <n v="270429"/>
    <d v="2022-02-04T00:00:00"/>
    <n v="0"/>
    <d v="2022-02-05T00:00:00"/>
  </r>
  <r>
    <s v="Eckes-Granini Ibérica S.A Granini"/>
    <x v="0"/>
    <s v="No growth Potential"/>
    <x v="0"/>
    <x v="0"/>
    <s v="Barcelona"/>
    <n v="63020"/>
    <s v="24-07-2022"/>
    <n v="0"/>
    <d v="2022-02-09T00:00:00"/>
  </r>
  <r>
    <s v="Estilia Sport"/>
    <x v="0"/>
    <s v="No growth Potential"/>
    <x v="0"/>
    <x v="0"/>
    <s v="TBD"/>
    <n v="71125"/>
    <d v="2022-02-06T00:00:00"/>
    <n v="0"/>
    <d v="2022-02-07T00:00:00"/>
  </r>
  <r>
    <s v="EIT Tecnologías de la información S.A."/>
    <x v="0"/>
    <s v="No growth Potential"/>
    <x v="0"/>
    <x v="0"/>
    <s v="Madrid"/>
    <n v="48820"/>
    <d v="2022-04-12T00:00:00"/>
    <n v="0"/>
    <d v="2023-02-02T00:00:00"/>
  </r>
  <r>
    <s v="DIA Corporate"/>
    <x v="0"/>
    <s v="No growth Potential"/>
    <x v="0"/>
    <x v="0"/>
    <s v="Las Rozas"/>
    <n v="118761"/>
    <s v="13-09-2022"/>
    <n v="0"/>
    <d v="2022-02-11T00:00:00"/>
  </r>
  <r>
    <s v="By Hours"/>
    <x v="0"/>
    <s v="No growth Potential"/>
    <x v="0"/>
    <x v="0"/>
    <s v="TBD"/>
    <n v="74208"/>
    <s v="13-09-2022"/>
    <n v="0"/>
    <d v="2022-02-11T00:00:00"/>
  </r>
  <r>
    <s v="Worten España"/>
    <x v="0"/>
    <s v="No growth Potential"/>
    <x v="0"/>
    <x v="0"/>
    <s v="TBD"/>
    <n v="62337"/>
    <d v="2022-03-10T00:00:00"/>
    <n v="0"/>
    <d v="2022-02-11T00:00:00"/>
  </r>
  <r>
    <s v="El Caballo"/>
    <x v="0"/>
    <s v="No growth Potential"/>
    <x v="0"/>
    <x v="0"/>
    <s v="Sevilla"/>
    <n v="106208"/>
    <s v="22-04-2022"/>
    <n v="0"/>
    <d v="2022-02-05T00:00:00"/>
  </r>
  <r>
    <s v="Agencia Espanola De Proteccion De Datos"/>
    <x v="1"/>
    <s v="High Growth potential"/>
    <x v="0"/>
    <x v="0"/>
    <s v="Madrid"/>
    <n v="122068"/>
    <d v="2022-05-05T00:00:00"/>
    <n v="20345"/>
    <s v="14-07-2022"/>
  </r>
  <r>
    <s v="Gesacan"/>
    <x v="0"/>
    <s v="No growth Potential"/>
    <x v="0"/>
    <x v="0"/>
    <s v="TBD"/>
    <n v="112085"/>
    <s v="21-02-2022"/>
    <n v="0"/>
    <d v="2022-02-04T00:00:00"/>
  </r>
  <r>
    <s v="ImmersivePro"/>
    <x v="0"/>
    <s v="No growth Potential"/>
    <x v="0"/>
    <x v="0"/>
    <s v="Madrid"/>
    <n v="189857"/>
    <s v="13-09-2022"/>
    <n v="0"/>
    <d v="2022-02-11T00:00:00"/>
  </r>
  <r>
    <s v="LA TIENDA HOME"/>
    <x v="0"/>
    <s v="No growth Potential"/>
    <x v="0"/>
    <x v="0"/>
    <s v="Alicante"/>
    <n v="120677"/>
    <s v="23-10-2022"/>
    <n v="0"/>
    <d v="2022-02-11T00:00:00"/>
  </r>
  <r>
    <s v="OBZ"/>
    <x v="0"/>
    <s v="No growth Potential"/>
    <x v="0"/>
    <x v="0"/>
    <s v="TBD"/>
    <n v="235793"/>
    <s v="13-10-2022"/>
    <n v="0"/>
    <d v="2022-02-11T00:00:00"/>
  </r>
  <r>
    <s v="Dosfarma"/>
    <x v="0"/>
    <s v="No growth Potential"/>
    <x v="0"/>
    <x v="0"/>
    <s v="TBD"/>
    <n v="87037"/>
    <s v="21-02-2022"/>
    <n v="0"/>
    <d v="2022-02-05T00:00:00"/>
  </r>
  <r>
    <s v="COMERCIAL QUIMICA MASSO SA"/>
    <x v="0"/>
    <s v="No growth Potential"/>
    <x v="0"/>
    <x v="0"/>
    <s v="TBD"/>
    <n v="138786"/>
    <d v="2022-03-09T00:00:00"/>
    <n v="0"/>
    <d v="2022-02-11T00:00:00"/>
  </r>
  <r>
    <s v="Adwen"/>
    <x v="0"/>
    <s v="No growth Potential"/>
    <x v="0"/>
    <x v="0"/>
    <s v="TBD"/>
    <n v="115160"/>
    <s v="23-10-2022"/>
    <n v="0"/>
    <d v="2022-02-11T00:00:00"/>
  </r>
  <r>
    <s v="University of Helsinki Department of Computer Science"/>
    <x v="0"/>
    <s v="No growth Potential"/>
    <x v="0"/>
    <x v="6"/>
    <s v="Helsinki"/>
    <n v="169608"/>
    <s v="24-03-2022"/>
    <n v="0"/>
    <d v="2022-03-05T00:00:00"/>
  </r>
  <r>
    <s v="Juvasa S.L."/>
    <x v="0"/>
    <s v="No growth Potential"/>
    <x v="0"/>
    <x v="0"/>
    <s v="Dos Hermanas"/>
    <n v="189835"/>
    <d v="2022-11-02T00:00:00"/>
    <n v="0"/>
    <d v="2022-02-04T00:00:00"/>
  </r>
  <r>
    <s v="Casas Real"/>
    <x v="0"/>
    <s v="No growth Potential"/>
    <x v="0"/>
    <x v="0"/>
    <s v="TBD"/>
    <n v="219470"/>
    <s v="23-01-2022"/>
    <n v="0"/>
    <d v="2022-02-02T00:00:00"/>
  </r>
  <r>
    <s v="VISION TECH LAB"/>
    <x v="0"/>
    <s v="No growth Potential"/>
    <x v="0"/>
    <x v="1"/>
    <s v="Porto"/>
    <n v="134196"/>
    <s v="23-09-2022"/>
    <n v="0"/>
    <d v="2022-02-11T00:00:00"/>
  </r>
  <r>
    <s v="OCIOHOTELES"/>
    <x v="0"/>
    <s v="No growth Potential"/>
    <x v="0"/>
    <x v="0"/>
    <s v="Málaga"/>
    <n v="132539"/>
    <s v="13-09-2022"/>
    <n v="0"/>
    <d v="2022-02-11T00:00:00"/>
  </r>
  <r>
    <s v="ASTELLAS S.A."/>
    <x v="0"/>
    <s v="No growth Potential"/>
    <x v="0"/>
    <x v="0"/>
    <s v="Madrid"/>
    <n v="108925"/>
    <s v="23-09-2022"/>
    <n v="0"/>
    <d v="2022-02-11T00:00:00"/>
  </r>
  <r>
    <s v="Be Live Hotels"/>
    <x v="0"/>
    <s v="No growth Potential"/>
    <x v="0"/>
    <x v="0"/>
    <s v="Llucmajor"/>
    <n v="142085"/>
    <s v="13-09-2022"/>
    <n v="0"/>
    <d v="2022-02-11T00:00:00"/>
  </r>
  <r>
    <s v="Badi"/>
    <x v="0"/>
    <s v="No growth Potential"/>
    <x v="0"/>
    <x v="0"/>
    <s v="TBD"/>
    <n v="115580"/>
    <s v="14-12-2021"/>
    <n v="0"/>
    <d v="2022-02-02T00:00:00"/>
  </r>
  <r>
    <s v="Domopor"/>
    <x v="0"/>
    <s v="No growth Potential"/>
    <x v="0"/>
    <x v="1"/>
    <s v="TBD"/>
    <n v="32000"/>
    <s v="23-10-2022"/>
    <n v="0"/>
    <d v="2022-02-11T00:00:00"/>
  </r>
  <r>
    <s v="CSUC"/>
    <x v="0"/>
    <s v="No growth Potential"/>
    <x v="0"/>
    <x v="0"/>
    <s v="Barcelona"/>
    <n v="74045"/>
    <s v="23-09-2022"/>
    <n v="0"/>
    <d v="2022-02-11T00:00:00"/>
  </r>
  <r>
    <s v="Barcelona de Serveis Municipals S.A"/>
    <x v="0"/>
    <s v="No growth Potential"/>
    <x v="0"/>
    <x v="0"/>
    <s v="Barcelona"/>
    <n v="104988"/>
    <s v="24-11-2021"/>
    <n v="0"/>
    <d v="2022-02-02T00:00:00"/>
  </r>
  <r>
    <s v="Guillaume Rostand"/>
    <x v="0"/>
    <s v="No growth Potential"/>
    <x v="0"/>
    <x v="0"/>
    <s v="Barcelona"/>
    <n v="235733"/>
    <s v="23-05-2022"/>
    <n v="0"/>
    <d v="2022-02-06T00:00:00"/>
  </r>
  <r>
    <s v="SuperSol Supermercados"/>
    <x v="0"/>
    <s v="No growth Potential"/>
    <x v="0"/>
    <x v="0"/>
    <s v="Madrid"/>
    <n v="204921"/>
    <d v="2021-12-06T00:00:00"/>
    <n v="0"/>
    <d v="2021-01-08T00:00:00"/>
  </r>
  <r>
    <s v="Zeltia S.A."/>
    <x v="0"/>
    <s v="No growth Potential"/>
    <x v="0"/>
    <x v="0"/>
    <s v="Madrid"/>
    <n v="88858"/>
    <d v="2022-03-05T00:00:00"/>
    <n v="0"/>
    <d v="2022-02-06T00:00:00"/>
  </r>
  <r>
    <s v="Fenix Directo"/>
    <x v="0"/>
    <s v="No growth Potential"/>
    <x v="0"/>
    <x v="0"/>
    <s v="Madrid"/>
    <n v="108983"/>
    <s v="13-09-2022"/>
    <n v="0"/>
    <d v="2022-02-11T00:00:00"/>
  </r>
  <r>
    <s v="Nextel"/>
    <x v="0"/>
    <s v="No growth Potential"/>
    <x v="0"/>
    <x v="0"/>
    <s v="TBD"/>
    <n v="75881"/>
    <d v="2022-03-10T00:00:00"/>
    <n v="0"/>
    <d v="2022-02-11T00:00:00"/>
  </r>
  <r>
    <s v="Aviva Grupo Corporativo S.L."/>
    <x v="0"/>
    <s v="No growth Potential"/>
    <x v="0"/>
    <x v="0"/>
    <s v="Madrid"/>
    <n v="120013"/>
    <s v="21-02-2022"/>
    <n v="0"/>
    <d v="2022-02-05T00:00:00"/>
  </r>
  <r>
    <s v="Ubesol S. L."/>
    <x v="0"/>
    <s v="No growth Potential"/>
    <x v="0"/>
    <x v="0"/>
    <s v="TBD"/>
    <n v="124126"/>
    <d v="2022-03-10T00:00:00"/>
    <n v="0"/>
    <d v="2022-02-11T00:00:00"/>
  </r>
  <r>
    <s v="Areas"/>
    <x v="0"/>
    <s v="No growth Potential"/>
    <x v="0"/>
    <x v="0"/>
    <s v="TBD"/>
    <n v="138692"/>
    <d v="2022-01-02T00:00:00"/>
    <n v="0"/>
    <d v="2022-02-04T00:00:00"/>
  </r>
  <r>
    <s v="BANCO CETELEM S.A"/>
    <x v="1"/>
    <s v="High Growth potential"/>
    <x v="0"/>
    <x v="0"/>
    <s v="MADRID"/>
    <n v="147362"/>
    <s v="19-10-2022"/>
    <n v="73681"/>
    <d v="2022-08-11T00:00:00"/>
  </r>
  <r>
    <s v="Oxygen"/>
    <x v="0"/>
    <s v="No growth Potential"/>
    <x v="0"/>
    <x v="0"/>
    <s v="TBD"/>
    <n v="106526"/>
    <d v="2022-03-10T00:00:00"/>
    <n v="0"/>
    <d v="2022-02-11T00:00:00"/>
  </r>
  <r>
    <s v="Waynabox"/>
    <x v="0"/>
    <s v="No growth Potential"/>
    <x v="0"/>
    <x v="0"/>
    <s v="TBD"/>
    <n v="70969"/>
    <s v="24-11-2021"/>
    <n v="0"/>
    <d v="2022-02-02T00:00:00"/>
  </r>
  <r>
    <s v="Cargill S.L.U"/>
    <x v="0"/>
    <s v="No growth Potential"/>
    <x v="0"/>
    <x v="0"/>
    <s v="Martorell"/>
    <n v="100034"/>
    <s v="13-01-2022"/>
    <n v="0"/>
    <d v="2022-02-02T00:00:00"/>
  </r>
  <r>
    <s v="Voxelscope"/>
    <x v="0"/>
    <s v="No growth Potential"/>
    <x v="0"/>
    <x v="1"/>
    <s v="Lisbon"/>
    <n v="188003"/>
    <s v="13-10-2022"/>
    <n v="0"/>
    <d v="2022-02-11T00:00:00"/>
  </r>
  <r>
    <s v="Fontestad"/>
    <x v="0"/>
    <s v="No growth Potential"/>
    <x v="0"/>
    <x v="0"/>
    <s v="Museros"/>
    <n v="45786"/>
    <s v="13-07-2022"/>
    <n v="0"/>
    <d v="2022-02-08T00:00:00"/>
  </r>
  <r>
    <s v="SEITECH Software"/>
    <x v="0"/>
    <s v="No growth Potential"/>
    <x v="0"/>
    <x v="0"/>
    <s v="Barcelona"/>
    <n v="151866"/>
    <s v="23-01-2023"/>
    <n v="0"/>
    <d v="2023-02-02T00:00:00"/>
  </r>
  <r>
    <s v="Quental"/>
    <x v="0"/>
    <s v="No growth Potential"/>
    <x v="0"/>
    <x v="0"/>
    <s v="Madrid"/>
    <n v="74217"/>
    <s v="23-05-2022"/>
    <n v="0"/>
    <d v="2022-02-06T00:00:00"/>
  </r>
  <r>
    <s v="Digital Ink"/>
    <x v="0"/>
    <s v="No growth Potential"/>
    <x v="0"/>
    <x v="0"/>
    <s v="Barcelona"/>
    <n v="34768"/>
    <d v="2022-03-05T00:00:00"/>
    <n v="0"/>
    <d v="2022-02-06T00:00:00"/>
  </r>
  <r>
    <s v="?Falck SCI S.A."/>
    <x v="0"/>
    <s v="No growth Potential"/>
    <x v="0"/>
    <x v="0"/>
    <s v="Valencia"/>
    <m/>
    <s v="20-02-2022"/>
    <n v="0"/>
    <d v="2022-02-03T00:00:00"/>
  </r>
  <r>
    <s v="Sercotel"/>
    <x v="0"/>
    <s v="No growth Potential"/>
    <x v="0"/>
    <x v="0"/>
    <s v="Barcelona"/>
    <n v="76867"/>
    <s v="23-10-2022"/>
    <n v="0"/>
    <d v="2022-02-11T00:00:00"/>
  </r>
  <r>
    <s v="CLINICA CEMTRO"/>
    <x v="0"/>
    <s v="No growth Potential"/>
    <x v="0"/>
    <x v="0"/>
    <s v="Madrid"/>
    <n v="127431"/>
    <s v="24-08-2022"/>
    <n v="0"/>
    <d v="2022-02-11T00:00:00"/>
  </r>
  <r>
    <s v="Dtakers"/>
    <x v="0"/>
    <s v="No growth Potential"/>
    <x v="0"/>
    <x v="0"/>
    <s v="Madrid"/>
    <n v="118228"/>
    <s v="31-01-2022"/>
    <n v="0"/>
    <d v="2022-02-03T00:00:00"/>
  </r>
  <r>
    <s v="Camper S.L."/>
    <x v="0"/>
    <s v="No growth Potential"/>
    <x v="0"/>
    <x v="0"/>
    <s v="Inca (Mallorca)"/>
    <m/>
    <s v="24-12-2021"/>
    <n v="0"/>
    <d v="2022-02-02T00:00:00"/>
  </r>
  <r>
    <s v="ASIENTOS DE GALICIA S L"/>
    <x v="0"/>
    <s v="No growth Potential"/>
    <x v="0"/>
    <x v="0"/>
    <s v="BEADE"/>
    <n v="114481"/>
    <s v="13-10-2022"/>
    <n v="0"/>
    <d v="2022-02-11T00:00:00"/>
  </r>
  <r>
    <s v="AbbVie Spain S.L.U."/>
    <x v="0"/>
    <s v="No growth Potential"/>
    <x v="0"/>
    <x v="0"/>
    <s v="Madrid"/>
    <n v="58207"/>
    <s v="24-07-2022"/>
    <n v="0"/>
    <d v="2022-02-10T00:00:00"/>
  </r>
  <r>
    <s v="RibeSalat"/>
    <x v="0"/>
    <s v="No growth Potential"/>
    <x v="0"/>
    <x v="0"/>
    <s v="barcelona"/>
    <n v="142316"/>
    <s v="23-05-2022"/>
    <n v="0"/>
    <d v="2022-02-06T00:00:00"/>
  </r>
  <r>
    <s v="Mecalux SA"/>
    <x v="1"/>
    <s v="High Growth potential"/>
    <x v="0"/>
    <x v="0"/>
    <s v="Cornellà"/>
    <n v="86450"/>
    <s v="26-03-2022"/>
    <n v="43225"/>
    <d v="2022-05-04T00:00:00"/>
  </r>
  <r>
    <s v="Deloitte Asesores Tributarios S.L."/>
    <x v="0"/>
    <s v="No growth Potential"/>
    <x v="0"/>
    <x v="0"/>
    <s v="Madrid"/>
    <n v="45785"/>
    <d v="2022-12-01T00:00:00"/>
    <n v="0"/>
    <d v="2022-01-02T00:00:00"/>
  </r>
  <r>
    <s v="N2S"/>
    <x v="0"/>
    <s v="No growth Potential"/>
    <x v="0"/>
    <x v="0"/>
    <s v="MADRID"/>
    <n v="62387"/>
    <s v="13-09-2022"/>
    <n v="0"/>
    <d v="2022-02-11T00:00:00"/>
  </r>
  <r>
    <s v="CARGLASS BV Sucursal en Espana"/>
    <x v="0"/>
    <s v="No growth Potential"/>
    <x v="0"/>
    <x v="0"/>
    <s v="Mollet del Valles"/>
    <n v="106557"/>
    <d v="2021-03-07T00:00:00"/>
    <n v="0"/>
    <d v="2021-01-09T00:00:00"/>
  </r>
  <r>
    <s v="Indra Elecciones de Septiembre"/>
    <x v="0"/>
    <s v="No growth Potential"/>
    <x v="0"/>
    <x v="0"/>
    <s v="Madrid"/>
    <n v="105996"/>
    <s v="23-03-2022"/>
    <n v="0"/>
    <d v="2022-02-05T00:00:00"/>
  </r>
  <r>
    <s v="Mota-Egil Group"/>
    <x v="0"/>
    <s v="No growth Potential"/>
    <x v="0"/>
    <x v="1"/>
    <s v="TBD"/>
    <n v="71497"/>
    <d v="2022-11-02T00:00:00"/>
    <n v="0"/>
    <d v="2022-02-04T00:00:00"/>
  </r>
  <r>
    <s v="City time"/>
    <x v="0"/>
    <s v="No growth Potential"/>
    <x v="0"/>
    <x v="0"/>
    <s v="TBD"/>
    <n v="95892"/>
    <s v="13-10-2022"/>
    <n v="0"/>
    <d v="2022-02-11T00:00:00"/>
  </r>
  <r>
    <s v="IMQ"/>
    <x v="0"/>
    <s v="No growth Potential"/>
    <x v="0"/>
    <x v="0"/>
    <s v="Bilbao"/>
    <m/>
    <s v="23-10-2022"/>
    <n v="0"/>
    <d v="2022-02-11T00:00:00"/>
  </r>
  <r>
    <s v="Hutchinson Port Best"/>
    <x v="0"/>
    <s v="No growth Potential"/>
    <x v="0"/>
    <x v="0"/>
    <s v="TBD"/>
    <n v="35978"/>
    <s v="13-10-2022"/>
    <n v="0"/>
    <d v="2022-02-11T00:00:00"/>
  </r>
  <r>
    <s v="WeTek"/>
    <x v="0"/>
    <s v="No growth Potential"/>
    <x v="0"/>
    <x v="1"/>
    <s v="Porto"/>
    <n v="475854"/>
    <s v="23-10-2022"/>
    <n v="0"/>
    <d v="2022-02-11T00:00:00"/>
  </r>
  <r>
    <s v="Giesecke+Devrient Spain"/>
    <x v="0"/>
    <s v="No growth Potential"/>
    <x v="0"/>
    <x v="0"/>
    <s v="TBD"/>
    <n v="300192"/>
    <s v="22-09-2021"/>
    <n v="0"/>
    <d v="2021-02-10T00:00:00"/>
  </r>
  <r>
    <s v="Free Technologies Excom SL"/>
    <x v="0"/>
    <s v="No growth Potential"/>
    <x v="0"/>
    <x v="0"/>
    <s v="Casares"/>
    <n v="130594"/>
    <d v="2022-03-10T00:00:00"/>
    <n v="0"/>
    <d v="2022-02-11T00:00:00"/>
  </r>
  <r>
    <s v="Tuc Tuc"/>
    <x v="0"/>
    <s v="No growth Potential"/>
    <x v="0"/>
    <x v="0"/>
    <s v="TBD"/>
    <n v="65897"/>
    <s v="24-08-2022"/>
    <n v="0"/>
    <d v="2022-02-11T00:00:00"/>
  </r>
  <r>
    <s v="PRISMICA S.L."/>
    <x v="0"/>
    <s v="No growth Potential"/>
    <x v="0"/>
    <x v="0"/>
    <s v="Valencia"/>
    <n v="36896"/>
    <s v="23-09-2022"/>
    <n v="0"/>
    <d v="2022-02-11T00:00:00"/>
  </r>
  <r>
    <s v="Mytheresa"/>
    <x v="0"/>
    <s v="No growth Potential"/>
    <x v="0"/>
    <x v="0"/>
    <s v="TBD"/>
    <n v="71126"/>
    <s v="24-07-2022"/>
    <n v="0"/>
    <d v="2022-02-09T00:00:00"/>
  </r>
  <r>
    <s v="Losan"/>
    <x v="0"/>
    <s v="No growth Potential"/>
    <x v="0"/>
    <x v="0"/>
    <s v="TBD"/>
    <n v="30000000"/>
    <d v="2022-03-03T00:00:00"/>
    <n v="0"/>
    <d v="2022-02-04T00:00:00"/>
  </r>
  <r>
    <s v="Zatro"/>
    <x v="0"/>
    <s v="No growth Potential"/>
    <x v="0"/>
    <x v="0"/>
    <s v="TBD"/>
    <n v="143801"/>
    <s v="13-01-2022"/>
    <n v="0"/>
    <d v="2022-02-02T00:00:00"/>
  </r>
  <r>
    <s v="HOWLANDERS"/>
    <x v="0"/>
    <s v="No growth Potential"/>
    <x v="0"/>
    <x v="0"/>
    <s v="Valencia"/>
    <m/>
    <d v="2022-03-10T00:00:00"/>
    <n v="0"/>
    <d v="2022-02-11T00:00:00"/>
  </r>
  <r>
    <s v="ASISPA"/>
    <x v="0"/>
    <s v="No growth Potential"/>
    <x v="0"/>
    <x v="0"/>
    <s v="Madrid"/>
    <n v="146756"/>
    <d v="2022-03-10T00:00:00"/>
    <n v="0"/>
    <d v="2022-02-11T00:00:00"/>
  </r>
  <r>
    <s v="Regalos JC"/>
    <x v="0"/>
    <s v="No growth Potential"/>
    <x v="0"/>
    <x v="0"/>
    <s v="Valladolid"/>
    <n v="69888"/>
    <s v="23-03-2022"/>
    <n v="0"/>
    <d v="2022-02-04T00:00:00"/>
  </r>
  <r>
    <s v="Floraqueen.com"/>
    <x v="0"/>
    <s v="No growth Potential"/>
    <x v="0"/>
    <x v="0"/>
    <s v="Barcelona"/>
    <n v="123799"/>
    <d v="2022-03-03T00:00:00"/>
    <n v="0"/>
    <d v="2022-02-05T00:00:00"/>
  </r>
  <r>
    <s v="Roche Diagnostics GmbH"/>
    <x v="1"/>
    <s v="Medium Growth"/>
    <x v="1"/>
    <x v="7"/>
    <s v="Mannheim"/>
    <n v="704276"/>
    <s v="22-07-2022"/>
    <n v="88034"/>
    <s v="20-09-2022"/>
  </r>
  <r>
    <s v="Deutsche Automobil Treuhand GmbH"/>
    <x v="1"/>
    <s v="High Growth potential"/>
    <x v="1"/>
    <x v="7"/>
    <s v="Ostfildern"/>
    <n v="85170"/>
    <s v="14-12-2021"/>
    <n v="5010"/>
    <s v="22-02-2022"/>
  </r>
  <r>
    <s v="Walbusch Walter Busch GmbH"/>
    <x v="1"/>
    <s v="High Growth potential"/>
    <x v="1"/>
    <x v="7"/>
    <s v="Solingen"/>
    <n v="136967"/>
    <d v="2022-08-01T00:00:00"/>
    <n v="68484"/>
    <s v="17-02-2022"/>
  </r>
  <r>
    <s v="Westwing Group GmbH"/>
    <x v="1"/>
    <s v="High Growth potential"/>
    <x v="1"/>
    <x v="7"/>
    <s v="Munchen"/>
    <n v="28516"/>
    <s v="19-10-2022"/>
    <n v="4753"/>
    <d v="2022-08-11T00:00:00"/>
  </r>
  <r>
    <s v="World Television (Switzerland) Ltd."/>
    <x v="1"/>
    <s v="High Growth potential"/>
    <x v="1"/>
    <x v="8"/>
    <s v="London"/>
    <n v="54719"/>
    <d v="2022-07-04T00:00:00"/>
    <n v="4560"/>
    <s v="17-04-2022"/>
  </r>
  <r>
    <s v="AMP-IT Consulting"/>
    <x v="0"/>
    <s v="No growth Potential"/>
    <x v="1"/>
    <x v="7"/>
    <s v="TBD"/>
    <n v="56377"/>
    <s v="23-10-2022"/>
    <n v="0"/>
    <d v="2022-02-11T00:00:00"/>
  </r>
  <r>
    <s v="Delticom AG"/>
    <x v="1"/>
    <s v="High Growth potential"/>
    <x v="1"/>
    <x v="7"/>
    <s v="Hannover"/>
    <n v="72731"/>
    <d v="2022-03-11T00:00:00"/>
    <n v="14546"/>
    <s v="23-11-2022"/>
  </r>
  <r>
    <s v="e35 Shop"/>
    <x v="1"/>
    <s v="High Growth potential"/>
    <x v="1"/>
    <x v="9"/>
    <s v="Vienna"/>
    <n v="62221"/>
    <d v="2022-01-10T00:00:00"/>
    <n v="31111"/>
    <s v="20-11-2022"/>
  </r>
  <r>
    <s v="Global Blue SA"/>
    <x v="1"/>
    <s v="High Growth potential"/>
    <x v="1"/>
    <x v="10"/>
    <s v="Eysins"/>
    <n v="27912"/>
    <s v="14-03-2022"/>
    <n v="13956"/>
    <s v="23-05-2022"/>
  </r>
  <r>
    <s v="benuta GmbH"/>
    <x v="1"/>
    <s v="High Growth potential"/>
    <x v="1"/>
    <x v="7"/>
    <s v="Bonn"/>
    <n v="45775"/>
    <s v="21-05-2022"/>
    <n v="22888"/>
    <s v="20-06-2022"/>
  </r>
  <r>
    <s v="AOE media GmbH"/>
    <x v="1"/>
    <s v="High Growth potential"/>
    <x v="1"/>
    <x v="7"/>
    <s v="Wiesbaden"/>
    <n v="94837"/>
    <d v="2022-02-08T00:00:00"/>
    <n v="11855"/>
    <d v="2022-11-09T00:00:00"/>
  </r>
  <r>
    <s v="SIGNA HOLDING GMBH"/>
    <x v="1"/>
    <s v="High Growth potential"/>
    <x v="1"/>
    <x v="9"/>
    <s v="TBD"/>
    <n v="109362"/>
    <d v="2022-12-09T00:00:00"/>
    <n v="54681"/>
    <d v="2022-11-11T00:00:00"/>
  </r>
  <r>
    <s v="MIC Datenverarbeitung GmbH"/>
    <x v="1"/>
    <s v="High Growth potential"/>
    <x v="1"/>
    <x v="9"/>
    <s v="Linz"/>
    <n v="98851"/>
    <s v="13-06-2022"/>
    <n v="49426"/>
    <s v="23-06-2022"/>
  </r>
  <r>
    <s v="s.Oliver Bernd Freier GmbH &amp; Co. KG"/>
    <x v="1"/>
    <s v="Medium Growth"/>
    <x v="1"/>
    <x v="7"/>
    <s v="Rottendorf"/>
    <n v="101564"/>
    <d v="2022-04-11T00:00:00"/>
    <n v="20313"/>
    <s v="14-11-2022"/>
  </r>
  <r>
    <s v="Flottweg SE"/>
    <x v="1"/>
    <s v="High Growth potential"/>
    <x v="1"/>
    <x v="7"/>
    <s v="Vilsbiburg"/>
    <n v="54000"/>
    <d v="2022-04-10T00:00:00"/>
    <n v="27000"/>
    <s v="23-11-2022"/>
  </r>
  <r>
    <s v="DKV Mobility Services Business Center GmbH + Co. KG"/>
    <x v="1"/>
    <s v="Medium Growth"/>
    <x v="1"/>
    <x v="7"/>
    <s v="Ratingen"/>
    <n v="42421"/>
    <d v="2022-05-09T00:00:00"/>
    <n v="5303"/>
    <s v="14-11-2022"/>
  </r>
  <r>
    <s v="Contentful GmbH"/>
    <x v="0"/>
    <s v="No growth Potential"/>
    <x v="1"/>
    <x v="7"/>
    <s v="Berlin"/>
    <m/>
    <s v="26-10-2022"/>
    <n v="0"/>
    <d v="2022-05-11T00:00:00"/>
  </r>
  <r>
    <s v="Voycer AG"/>
    <x v="1"/>
    <s v="High Growth potential"/>
    <x v="1"/>
    <x v="7"/>
    <s v="TBD"/>
    <n v="141806"/>
    <d v="2022-10-11T00:00:00"/>
    <n v="70903"/>
    <s v="20-11-2022"/>
  </r>
  <r>
    <s v="Groz-Beckert KG"/>
    <x v="1"/>
    <s v="High Growth potential"/>
    <x v="1"/>
    <x v="7"/>
    <s v="Albstadt"/>
    <n v="139350"/>
    <d v="2022-12-09T00:00:00"/>
    <n v="69675"/>
    <d v="2022-11-11T00:00:00"/>
  </r>
  <r>
    <s v="Decathlon Deutschland SE &amp; Co.KG"/>
    <x v="1"/>
    <s v="High Growth potential"/>
    <x v="1"/>
    <x v="7"/>
    <s v="Plochingen"/>
    <n v="50152"/>
    <s v="31-01-2022"/>
    <n v="25076"/>
    <d v="2022-11-04T00:00:00"/>
  </r>
  <r>
    <s v="Teamnet GmbH"/>
    <x v="1"/>
    <s v="High Growth potential"/>
    <x v="1"/>
    <x v="7"/>
    <s v="Paderborn"/>
    <n v="62420"/>
    <d v="2022-08-02T00:00:00"/>
    <n v="31210"/>
    <s v="20-03-2022"/>
  </r>
  <r>
    <s v="Recaro Aircraft Seating GmbH &amp; Co.KG"/>
    <x v="1"/>
    <s v="High Growth potential"/>
    <x v="1"/>
    <x v="7"/>
    <s v="Schwaebisch Hall"/>
    <n v="72195"/>
    <d v="2022-09-02T00:00:00"/>
    <n v="8022"/>
    <s v="20-04-2022"/>
  </r>
  <r>
    <s v="we.CONECT Global Leaders GmbH"/>
    <x v="1"/>
    <s v="High Growth potential"/>
    <x v="1"/>
    <x v="7"/>
    <s v="Berlin"/>
    <n v="152450"/>
    <d v="2023-01-02T00:00:00"/>
    <n v="76225"/>
    <s v="23-03-2023"/>
  </r>
  <r>
    <s v="Brose Fahrzeugteile GmbH &amp; Co. KG"/>
    <x v="1"/>
    <s v="High Growth potential"/>
    <x v="1"/>
    <x v="7"/>
    <s v="Coburg"/>
    <n v="96000"/>
    <s v="24-06-2022"/>
    <n v="5647"/>
    <s v="23-08-2022"/>
  </r>
  <r>
    <s v="Vaillant Group Business Services GmbH"/>
    <x v="1"/>
    <s v="High Growth potential"/>
    <x v="1"/>
    <x v="7"/>
    <s v="Remscheid"/>
    <n v="149175"/>
    <s v="26-12-2021"/>
    <n v="49725"/>
    <s v="14-02-2022"/>
  </r>
  <r>
    <s v="hamburg.de GmbH &amp; Co. KG"/>
    <x v="1"/>
    <s v="High Growth potential"/>
    <x v="1"/>
    <x v="7"/>
    <s v="TBD"/>
    <n v="95986"/>
    <s v="20-12-2021"/>
    <n v="47993"/>
    <d v="2022-08-02T00:00:00"/>
  </r>
  <r>
    <s v="KYOCERA Document Solutions Europe B.V."/>
    <x v="1"/>
    <s v="High Growth potential"/>
    <x v="1"/>
    <x v="7"/>
    <s v="Meerbusch"/>
    <n v="97713"/>
    <d v="2022-03-11T00:00:00"/>
    <n v="4248"/>
    <s v="23-11-2022"/>
  </r>
  <r>
    <s v="Moevenpick Hotels &amp; Resorts"/>
    <x v="1"/>
    <s v="High Growth potential"/>
    <x v="1"/>
    <x v="10"/>
    <s v="Glattbrugg"/>
    <n v="60997"/>
    <d v="2022-11-10T00:00:00"/>
    <n v="7625"/>
    <s v="20-11-2022"/>
  </r>
  <r>
    <s v="Arvato Digital Services LLC."/>
    <x v="1"/>
    <s v="Medium Growth"/>
    <x v="1"/>
    <x v="11"/>
    <s v="Valencia"/>
    <n v="130556"/>
    <s v="27-02-2022"/>
    <n v="14506"/>
    <d v="2022-08-04T00:00:00"/>
  </r>
  <r>
    <s v="PrintPlanet GmbH"/>
    <x v="1"/>
    <s v="High Growth potential"/>
    <x v="1"/>
    <x v="7"/>
    <s v="Garbsen"/>
    <n v="80522"/>
    <d v="2022-01-07T00:00:00"/>
    <n v="26841"/>
    <s v="20-08-2022"/>
  </r>
  <r>
    <s v="Pixnetiq GmbH"/>
    <x v="0"/>
    <s v="No growth Potential"/>
    <x v="1"/>
    <x v="7"/>
    <s v="Berlin"/>
    <m/>
    <s v="28-09-2022"/>
    <n v="0"/>
    <s v="17-11-2022"/>
  </r>
  <r>
    <s v="SSI Schaefer Shop GmbH"/>
    <x v="1"/>
    <s v="High Growth potential"/>
    <x v="1"/>
    <x v="7"/>
    <s v="Betzdorf"/>
    <n v="171662"/>
    <d v="2022-01-08T00:00:00"/>
    <n v="57221"/>
    <d v="2022-11-08T00:00:00"/>
  </r>
  <r>
    <s v="Leuze electronic GmbH + Co. KG"/>
    <x v="1"/>
    <s v="High Growth potential"/>
    <x v="1"/>
    <x v="7"/>
    <s v="Owen"/>
    <n v="72238"/>
    <s v="15-09-2022"/>
    <n v="4816"/>
    <s v="14-11-2022"/>
  </r>
  <r>
    <s v="Kistler Instrumente AG"/>
    <x v="1"/>
    <s v="High Growth potential"/>
    <x v="1"/>
    <x v="10"/>
    <s v="Winterthur"/>
    <n v="38848"/>
    <s v="29-10-2022"/>
    <n v="19424"/>
    <d v="2022-08-11T00:00:00"/>
  </r>
  <r>
    <s v="NEES-REISEN GmbH"/>
    <x v="1"/>
    <s v="High Growth potential"/>
    <x v="1"/>
    <x v="7"/>
    <s v="Krombach"/>
    <n v="277828"/>
    <s v="16-09-2022"/>
    <n v="34728"/>
    <d v="2022-05-11T00:00:00"/>
  </r>
  <r>
    <s v="Interroll Schweiz AG"/>
    <x v="1"/>
    <s v="High Growth potential"/>
    <x v="1"/>
    <x v="10"/>
    <s v="Sant'Antonino"/>
    <n v="43898"/>
    <s v="28-09-2022"/>
    <n v="43898"/>
    <s v="17-11-2022"/>
  </r>
  <r>
    <s v="LEDVANCE GmbH"/>
    <x v="1"/>
    <s v="No growth Potential"/>
    <x v="1"/>
    <x v="7"/>
    <s v="Garching"/>
    <n v="112690"/>
    <s v="28-09-2022"/>
    <n v="56345"/>
    <s v="17-11-2022"/>
  </r>
  <r>
    <s v="RF360 Europe GmbH"/>
    <x v="0"/>
    <s v="No growth Potential"/>
    <x v="1"/>
    <x v="7"/>
    <s v="München"/>
    <m/>
    <d v="2022-05-10T00:00:00"/>
    <n v="0"/>
    <s v="14-11-2022"/>
  </r>
  <r>
    <s v="Market Logic Software AG"/>
    <x v="0"/>
    <s v="No growth Potential"/>
    <x v="1"/>
    <x v="7"/>
    <s v="Berlin"/>
    <m/>
    <s v="14-01-2022"/>
    <n v="0"/>
    <s v="23-02-2022"/>
  </r>
  <r>
    <s v="Gema Switzerland GmbH"/>
    <x v="1"/>
    <s v="High Growth potential"/>
    <x v="1"/>
    <x v="10"/>
    <s v="ST. GALLEN"/>
    <n v="67021"/>
    <s v="13-04-2022"/>
    <n v="8378"/>
    <s v="23-04-2022"/>
  </r>
  <r>
    <s v="Adler Modemarkte AG"/>
    <x v="1"/>
    <s v="High Growth potential"/>
    <x v="1"/>
    <x v="7"/>
    <s v="Haibach"/>
    <n v="124052"/>
    <s v="27-11-2022"/>
    <n v="62026"/>
    <s v="17-12-2022"/>
  </r>
  <r>
    <s v="QuestBack GmbH"/>
    <x v="1"/>
    <s v="High Growth potential"/>
    <x v="1"/>
    <x v="7"/>
    <s v="Köln"/>
    <n v="138637"/>
    <s v="17-06-2022"/>
    <n v="69318"/>
    <s v="17-07-2022"/>
  </r>
  <r>
    <s v="4flow AG"/>
    <x v="1"/>
    <s v="High Growth potential"/>
    <x v="1"/>
    <x v="7"/>
    <s v="Berlin"/>
    <n v="86682"/>
    <d v="2022-09-09T00:00:00"/>
    <n v="43341"/>
    <d v="2022-08-11T00:00:00"/>
  </r>
  <r>
    <s v="K - Mail Order GmbH &amp; Co. KG"/>
    <x v="0"/>
    <s v="No growth Potential"/>
    <x v="1"/>
    <x v="7"/>
    <s v="Pforzheim"/>
    <m/>
    <s v="15-05-2022"/>
    <n v="0"/>
    <s v="14-06-2022"/>
  </r>
  <r>
    <s v="Buerkert Werke GmbH &amp; Co. KG"/>
    <x v="1"/>
    <s v="High Growth potential"/>
    <x v="1"/>
    <x v="7"/>
    <s v="Ingelfingen"/>
    <n v="118608"/>
    <d v="2022-09-09T00:00:00"/>
    <n v="59304"/>
    <d v="2022-08-11T00:00:00"/>
  </r>
  <r>
    <s v="Bonprix Sp. z o.o."/>
    <x v="1"/>
    <s v="High Growth potential"/>
    <x v="1"/>
    <x v="12"/>
    <s v="Lodz"/>
    <n v="145364"/>
    <s v="16-09-2022"/>
    <n v="24227"/>
    <d v="2022-05-11T00:00:00"/>
  </r>
  <r>
    <s v="DAKOSY Datenkommunikationssystem AG"/>
    <x v="1"/>
    <s v="High Growth potential"/>
    <x v="1"/>
    <x v="7"/>
    <s v="Hamburg"/>
    <n v="115107"/>
    <d v="2022-03-07T00:00:00"/>
    <n v="6058"/>
    <d v="2022-11-09T00:00:00"/>
  </r>
  <r>
    <s v="Jumio Software Development GmbH"/>
    <x v="1"/>
    <s v="High Growth potential"/>
    <x v="1"/>
    <x v="9"/>
    <s v="Linz"/>
    <n v="76393"/>
    <d v="2022-08-10T00:00:00"/>
    <n v="19098"/>
    <s v="17-12-2022"/>
  </r>
  <r>
    <s v="Fressnapf Tiernahrungs GmbH"/>
    <x v="1"/>
    <s v="High Growth potential"/>
    <x v="1"/>
    <x v="7"/>
    <s v="Krefeld"/>
    <n v="109545"/>
    <d v="2022-05-05T00:00:00"/>
    <n v="9129"/>
    <s v="14-07-2022"/>
  </r>
  <r>
    <s v="VERIMI GmbH"/>
    <x v="1"/>
    <s v="High Growth potential"/>
    <x v="1"/>
    <x v="7"/>
    <s v="Berlin"/>
    <n v="139353"/>
    <s v="22-09-2022"/>
    <n v="34838"/>
    <d v="2022-11-11T00:00:00"/>
  </r>
  <r>
    <s v="etracker GmbH"/>
    <x v="1"/>
    <s v="High Growth potential"/>
    <x v="1"/>
    <x v="7"/>
    <s v="Hamburg"/>
    <n v="122795"/>
    <s v="24-02-2022"/>
    <n v="61397"/>
    <d v="2022-05-04T00:00:00"/>
  </r>
  <r>
    <s v="Yareto GmbH"/>
    <x v="1"/>
    <s v="High Growth potential"/>
    <x v="1"/>
    <x v="7"/>
    <s v="Neuss"/>
    <n v="143585"/>
    <s v="15-12-2021"/>
    <n v="71792"/>
    <s v="23-02-2022"/>
  </r>
  <r>
    <s v="Saint-Gobain Building Distribution Deutschland GmbH"/>
    <x v="0"/>
    <s v="No growth Potential"/>
    <x v="1"/>
    <x v="7"/>
    <s v="Offenbach am Main"/>
    <n v="142013"/>
    <d v="2021-04-12T00:00:00"/>
    <n v="0"/>
    <d v="2022-02-02T00:00:00"/>
  </r>
  <r>
    <s v="Cyando AG"/>
    <x v="1"/>
    <s v="High Growth potential"/>
    <x v="1"/>
    <x v="10"/>
    <s v="Wollerau"/>
    <n v="143456"/>
    <s v="20-01-2022"/>
    <n v="71728"/>
    <d v="2022-11-03T00:00:00"/>
  </r>
  <r>
    <s v="BELIMO Automation AG"/>
    <x v="1"/>
    <s v="High Growth potential"/>
    <x v="1"/>
    <x v="10"/>
    <s v="Hinwil"/>
    <n v="43894"/>
    <s v="30-10-2022"/>
    <n v="10973"/>
    <d v="2023-08-01T00:00:00"/>
  </r>
  <r>
    <s v="oneCorp"/>
    <x v="0"/>
    <s v="No growth Potential"/>
    <x v="1"/>
    <x v="7"/>
    <s v="TBD"/>
    <n v="142258"/>
    <s v="13-09-2022"/>
    <n v="0"/>
    <d v="2022-02-11T00:00:00"/>
  </r>
  <r>
    <s v="ratioform Verpackungen GmbH"/>
    <x v="1"/>
    <s v="High Growth potential"/>
    <x v="1"/>
    <x v="7"/>
    <s v="Pliening"/>
    <n v="101564"/>
    <s v="26-01-2022"/>
    <n v="25391"/>
    <d v="2022-05-02T00:00:00"/>
  </r>
  <r>
    <s v="OEKO-TEX Association"/>
    <x v="1"/>
    <s v="High Growth potential"/>
    <x v="1"/>
    <x v="10"/>
    <s v="Zürich"/>
    <n v="66263"/>
    <s v="27-02-2023"/>
    <n v="4418"/>
    <d v="2023-08-04T00:00:00"/>
  </r>
  <r>
    <s v="Marktplatz GmbH"/>
    <x v="0"/>
    <s v="No growth Potential"/>
    <x v="1"/>
    <x v="7"/>
    <s v="Lüneburg"/>
    <m/>
    <s v="28-01-2022"/>
    <n v="0"/>
    <s v="17-02-2022"/>
  </r>
  <r>
    <s v="innovation mecom GmbH"/>
    <x v="0"/>
    <s v="No growth Potential"/>
    <x v="1"/>
    <x v="7"/>
    <s v="Fulda"/>
    <m/>
    <d v="2022-12-04T00:00:00"/>
    <n v="0"/>
    <d v="2022-11-06T00:00:00"/>
  </r>
  <r>
    <s v="MUSIC STORE professional GmbH"/>
    <x v="1"/>
    <s v="High Growth potential"/>
    <x v="1"/>
    <x v="7"/>
    <s v="Köln"/>
    <n v="92126"/>
    <s v="25-10-2021"/>
    <n v="23032"/>
    <s v="14-12-2021"/>
  </r>
  <r>
    <s v="kidsroom.de GmbH &amp; Co. KG"/>
    <x v="1"/>
    <s v="High Growth potential"/>
    <x v="1"/>
    <x v="7"/>
    <s v="Bad Salzungen / OT Langenfeld"/>
    <n v="94769"/>
    <s v="18-10-2022"/>
    <n v="47385"/>
    <s v="17-11-2022"/>
  </r>
  <r>
    <s v="The Unbelievable Machine Company"/>
    <x v="1"/>
    <s v="No growth Potential"/>
    <x v="1"/>
    <x v="7"/>
    <s v="Berlin"/>
    <n v="62373"/>
    <s v="18-11-2022"/>
    <n v="6237"/>
    <s v="17-01-2023"/>
  </r>
  <r>
    <s v="K.A. Schmersal GmbH &amp; Co. KG"/>
    <x v="1"/>
    <s v="High Growth potential"/>
    <x v="1"/>
    <x v="7"/>
    <s v="Wuppertal"/>
    <n v="88677"/>
    <d v="2023-07-01T00:00:00"/>
    <n v="44338"/>
    <s v="17-01-2023"/>
  </r>
  <r>
    <s v="Mahr GmbH (Carl Mahr)"/>
    <x v="1"/>
    <s v="High Growth potential"/>
    <x v="1"/>
    <x v="7"/>
    <s v="Gæ´´ingen"/>
    <n v="54728"/>
    <s v="17-12-2021"/>
    <n v="27364"/>
    <d v="2022-05-02T00:00:00"/>
  </r>
  <r>
    <s v="Hansgrohe SE"/>
    <x v="0"/>
    <s v="No growth Potential"/>
    <x v="1"/>
    <x v="7"/>
    <s v="TBD"/>
    <n v="40755"/>
    <s v="24-12-2021"/>
    <n v="0"/>
    <d v="2022-02-02T00:00:00"/>
  </r>
  <r>
    <s v="Awinta Gmbh"/>
    <x v="1"/>
    <s v="High Growth potential"/>
    <x v="1"/>
    <x v="7"/>
    <s v="Bietigheim-Bissingen"/>
    <n v="42040"/>
    <d v="2022-05-05T00:00:00"/>
    <n v="14013"/>
    <s v="14-06-2022"/>
  </r>
  <r>
    <s v="Trelleborg Sealing Solutions"/>
    <x v="1"/>
    <s v="High Growth potential"/>
    <x v="1"/>
    <x v="7"/>
    <s v="Stuttgart"/>
    <n v="58015"/>
    <s v="28-01-2023"/>
    <n v="3626"/>
    <s v="17-02-2023"/>
  </r>
  <r>
    <s v="Foliencenter24"/>
    <x v="0"/>
    <s v="No growth Potential"/>
    <x v="1"/>
    <x v="7"/>
    <s v="TBD"/>
    <n v="76353"/>
    <s v="13-09-2022"/>
    <n v="0"/>
    <d v="2022-02-11T00:00:00"/>
  </r>
  <r>
    <s v="Eppendorf AG"/>
    <x v="1"/>
    <s v="High Growth potential"/>
    <x v="1"/>
    <x v="7"/>
    <s v="Hamburg"/>
    <n v="422947"/>
    <d v="2022-12-09T00:00:00"/>
    <n v="211474"/>
    <d v="2022-11-11T00:00:00"/>
  </r>
  <r>
    <s v="Duravit AG"/>
    <x v="1"/>
    <s v="High Growth potential"/>
    <x v="1"/>
    <x v="7"/>
    <s v="Hornberg"/>
    <n v="105593"/>
    <s v="31-01-2022"/>
    <n v="17599"/>
    <d v="2022-11-04T00:00:00"/>
  </r>
  <r>
    <s v="BIOTRONIK SE &amp; Co. KG"/>
    <x v="1"/>
    <s v="High Growth potential"/>
    <x v="1"/>
    <x v="7"/>
    <s v="Berlin"/>
    <n v="132323"/>
    <d v="2022-11-09T00:00:00"/>
    <n v="66162"/>
    <s v="20-11-2022"/>
  </r>
  <r>
    <s v="RedTecLab GmbH"/>
    <x v="1"/>
    <s v="High Growth potential"/>
    <x v="1"/>
    <x v="7"/>
    <s v="Köln"/>
    <n v="172856"/>
    <d v="2022-04-08T00:00:00"/>
    <n v="86428"/>
    <s v="14-08-2022"/>
  </r>
  <r>
    <s v="Trusted Shops GmbH"/>
    <x v="1"/>
    <s v="Medium Growth"/>
    <x v="1"/>
    <x v="7"/>
    <s v="Koln"/>
    <n v="96619"/>
    <s v="30-08-2022"/>
    <n v="48309"/>
    <d v="2022-08-11T00:00:00"/>
  </r>
  <r>
    <s v="SICK AG"/>
    <x v="0"/>
    <s v="No growth Potential"/>
    <x v="1"/>
    <x v="7"/>
    <s v="Waldkirch"/>
    <m/>
    <s v="22-10-2022"/>
    <n v="0"/>
    <d v="2022-11-11T00:00:00"/>
  </r>
  <r>
    <s v="SGS Group Management Ltd"/>
    <x v="1"/>
    <s v="Medium Growth"/>
    <x v="2"/>
    <x v="10"/>
    <s v="GENÈVE"/>
    <n v="139497"/>
    <s v="18-10-2022"/>
    <n v="69749"/>
    <s v="17-12-2022"/>
  </r>
  <r>
    <s v="Realisaprint.com"/>
    <x v="0"/>
    <s v="No growth Potential"/>
    <x v="2"/>
    <x v="3"/>
    <s v="Nice"/>
    <n v="62392"/>
    <d v="2022-01-01T00:00:00"/>
    <n v="0"/>
    <d v="2022-02-03T00:00:00"/>
  </r>
  <r>
    <s v="GIE Avions Transport Regional"/>
    <x v="1"/>
    <s v="High Growth potential"/>
    <x v="2"/>
    <x v="3"/>
    <s v="BLAGNAC CEDEX"/>
    <n v="118662"/>
    <s v="25-01-2023"/>
    <n v="59331"/>
    <s v="14-02-2023"/>
  </r>
  <r>
    <s v="ROCHE SAS"/>
    <x v="0"/>
    <s v="No growth Potential"/>
    <x v="2"/>
    <x v="3"/>
    <s v="Neuilly sur Seine Cedex"/>
    <n v="80118"/>
    <s v="24-08-2022"/>
    <n v="0"/>
    <d v="2022-02-11T00:00:00"/>
  </r>
  <r>
    <s v="Genymobile"/>
    <x v="0"/>
    <s v="No growth Potential"/>
    <x v="2"/>
    <x v="3"/>
    <s v="TBD"/>
    <n v="63692"/>
    <s v="23-09-2022"/>
    <n v="0"/>
    <d v="2022-02-11T00:00:00"/>
  </r>
  <r>
    <s v="CHASSIS BRAKES INTERNATIONAL"/>
    <x v="0"/>
    <s v="No growth Potential"/>
    <x v="2"/>
    <x v="3"/>
    <s v="TBD"/>
    <n v="112698"/>
    <s v="13-09-2022"/>
    <n v="0"/>
    <d v="2022-02-11T00:00:00"/>
  </r>
  <r>
    <s v="Groupe Atlantic"/>
    <x v="0"/>
    <s v="No growth Potential"/>
    <x v="2"/>
    <x v="3"/>
    <s v="LA ROCHE-SUR- YON"/>
    <n v="107238"/>
    <s v="23-09-2022"/>
    <n v="0"/>
    <d v="2022-02-11T00:00:00"/>
  </r>
  <r>
    <s v="TCS"/>
    <x v="0"/>
    <s v="No growth Potential"/>
    <x v="2"/>
    <x v="11"/>
    <s v="Oakland"/>
    <n v="354937"/>
    <s v="23-10-2022"/>
    <n v="0"/>
    <d v="2022-02-11T00:00:00"/>
  </r>
  <r>
    <s v="Suez Group"/>
    <x v="0"/>
    <s v="No growth Potential"/>
    <x v="2"/>
    <x v="3"/>
    <s v="Paris"/>
    <n v="109464"/>
    <s v="13-09-2022"/>
    <n v="0"/>
    <d v="2022-02-11T00:00:00"/>
  </r>
  <r>
    <s v="HEF Groupe"/>
    <x v="0"/>
    <s v="No growth Potential"/>
    <x v="2"/>
    <x v="3"/>
    <s v="TBD"/>
    <n v="129233"/>
    <s v="23-09-2022"/>
    <n v="0"/>
    <d v="2022-02-11T00:00:00"/>
  </r>
  <r>
    <s v="MANUF FRANC PNEUMATIQ MICHELIN"/>
    <x v="0"/>
    <s v="No growth Potential"/>
    <x v="2"/>
    <x v="3"/>
    <s v="TBD"/>
    <n v="88634"/>
    <s v="24-08-2022"/>
    <n v="0"/>
    <d v="2022-02-11T00:00:00"/>
  </r>
  <r>
    <s v="EPC Groupe"/>
    <x v="0"/>
    <s v="No growth Potential"/>
    <x v="2"/>
    <x v="3"/>
    <s v="Paris"/>
    <n v="58220"/>
    <d v="2022-03-09T00:00:00"/>
    <n v="0"/>
    <d v="2022-02-11T00:00:00"/>
  </r>
  <r>
    <s v="Verallia"/>
    <x v="0"/>
    <s v="No growth Potential"/>
    <x v="2"/>
    <x v="3"/>
    <s v="TBD"/>
    <n v="190697"/>
    <s v="13-03-2022"/>
    <n v="0"/>
    <d v="2022-02-04T00:00:00"/>
  </r>
  <r>
    <s v="Laposte"/>
    <x v="0"/>
    <s v="No growth Potential"/>
    <x v="2"/>
    <x v="3"/>
    <s v="TBD"/>
    <n v="97716"/>
    <s v="13-01-2022"/>
    <n v="0"/>
    <d v="2022-02-02T00:00:00"/>
  </r>
  <r>
    <s v="DMLT - Investment Cafe LLC"/>
    <x v="0"/>
    <s v="No growth Potential"/>
    <x v="2"/>
    <x v="3"/>
    <s v="Paris"/>
    <n v="39598"/>
    <d v="2021-02-08T00:00:00"/>
    <n v="0"/>
    <d v="2021-01-09T00:00:00"/>
  </r>
  <r>
    <s v="Arturia"/>
    <x v="0"/>
    <s v="No growth Potential"/>
    <x v="2"/>
    <x v="3"/>
    <s v="TBD"/>
    <n v="118603"/>
    <d v="2022-03-05T00:00:00"/>
    <n v="0"/>
    <d v="2022-02-07T00:00:00"/>
  </r>
  <r>
    <s v="GACD"/>
    <x v="0"/>
    <s v="No growth Potential"/>
    <x v="2"/>
    <x v="3"/>
    <s v="Paris"/>
    <n v="111780"/>
    <d v="2022-03-09T00:00:00"/>
    <n v="0"/>
    <d v="2022-02-11T00:00:00"/>
  </r>
  <r>
    <s v="Actility"/>
    <x v="0"/>
    <s v="No growth Potential"/>
    <x v="2"/>
    <x v="3"/>
    <s v="Lannion"/>
    <n v="185671"/>
    <d v="2022-03-10T00:00:00"/>
    <n v="0"/>
    <d v="2022-02-11T00:00:00"/>
  </r>
  <r>
    <s v="SensioLabs"/>
    <x v="0"/>
    <s v="No growth Potential"/>
    <x v="2"/>
    <x v="3"/>
    <s v="TBD"/>
    <n v="101488"/>
    <s v="13-06-2022"/>
    <n v="0"/>
    <d v="2022-02-08T00:00:00"/>
  </r>
  <r>
    <s v="Petit Forestier"/>
    <x v="0"/>
    <s v="No growth Potential"/>
    <x v="2"/>
    <x v="3"/>
    <s v="Villepinte"/>
    <n v="154475"/>
    <s v="13-10-2022"/>
    <n v="0"/>
    <d v="2022-02-11T00:00:00"/>
  </r>
  <r>
    <s v="Sage"/>
    <x v="0"/>
    <s v="No growth Potential"/>
    <x v="2"/>
    <x v="3"/>
    <s v="TBD"/>
    <n v="137347"/>
    <s v="24-12-2021"/>
    <n v="0"/>
    <d v="2022-02-02T00:00:00"/>
  </r>
  <r>
    <s v="Centre Hospitalier de Royan"/>
    <x v="0"/>
    <s v="No growth Potential"/>
    <x v="2"/>
    <x v="3"/>
    <s v="Vaux-sur-Mer"/>
    <n v="151866"/>
    <s v="13-01-2023"/>
    <n v="0"/>
    <d v="2023-02-02T00:00:00"/>
  </r>
  <r>
    <s v="Holding Mademoiselle Desserts"/>
    <x v="0"/>
    <s v="No growth Potential"/>
    <x v="2"/>
    <x v="3"/>
    <s v="Montigny le Bretonneux"/>
    <n v="220506"/>
    <d v="2022-03-08T00:00:00"/>
    <n v="0"/>
    <d v="2022-02-10T00:00:00"/>
  </r>
  <r>
    <s v="Groupe Chimirec"/>
    <x v="0"/>
    <s v="No growth Potential"/>
    <x v="2"/>
    <x v="3"/>
    <s v="DUGNY"/>
    <n v="62654"/>
    <d v="2022-03-09T00:00:00"/>
    <n v="0"/>
    <d v="2022-02-11T00:00:00"/>
  </r>
  <r>
    <s v="crc-international.org"/>
    <x v="0"/>
    <s v="No growth Potential"/>
    <x v="2"/>
    <x v="3"/>
    <s v="La Plaine"/>
    <n v="33511"/>
    <s v="13-10-2022"/>
    <n v="0"/>
    <d v="2022-02-11T00:00:00"/>
  </r>
  <r>
    <s v="TARKETT"/>
    <x v="0"/>
    <s v="No growth Potential"/>
    <x v="2"/>
    <x v="3"/>
    <s v="SEDAN CEDEX"/>
    <n v="101471"/>
    <s v="24-08-2022"/>
    <n v="0"/>
    <d v="2022-02-11T00:00:00"/>
  </r>
  <r>
    <s v="iBanFirst"/>
    <x v="0"/>
    <s v="No growth Potential"/>
    <x v="2"/>
    <x v="3"/>
    <s v="Paris"/>
    <n v="109508"/>
    <d v="2022-10-02T00:00:00"/>
    <n v="0"/>
    <d v="2022-02-03T00:00:00"/>
  </r>
  <r>
    <s v="Mersen"/>
    <x v="0"/>
    <s v="No growth Potential"/>
    <x v="2"/>
    <x v="3"/>
    <s v="Gambetta"/>
    <n v="146585"/>
    <d v="2022-03-09T00:00:00"/>
    <n v="0"/>
    <d v="2022-02-11T00:00:00"/>
  </r>
  <r>
    <s v="Oodrive"/>
    <x v="1"/>
    <s v="High Growth potential"/>
    <x v="2"/>
    <x v="3"/>
    <s v="Paris"/>
    <n v="74209"/>
    <s v="22-09-2022"/>
    <n v="14842"/>
    <d v="2022-11-11T00:00:00"/>
  </r>
  <r>
    <s v="Faroutsolutions"/>
    <x v="0"/>
    <s v="No growth Potential"/>
    <x v="2"/>
    <x v="11"/>
    <s v="TAMPA"/>
    <n v="107240"/>
    <d v="2022-03-01T00:00:00"/>
    <n v="0"/>
    <d v="2022-02-02T00:00:00"/>
  </r>
  <r>
    <s v="Exoe"/>
    <x v="0"/>
    <s v="No growth Potential"/>
    <x v="2"/>
    <x v="3"/>
    <s v="TBD"/>
    <n v="353393"/>
    <s v="23-09-2022"/>
    <n v="0"/>
    <d v="2022-02-11T00:00:00"/>
  </r>
  <r>
    <s v="Curie Institute"/>
    <x v="0"/>
    <s v="No growth Potential"/>
    <x v="2"/>
    <x v="3"/>
    <s v="TBD"/>
    <n v="199496"/>
    <s v="13-10-2022"/>
    <n v="0"/>
    <d v="2022-02-11T00:00:00"/>
  </r>
  <r>
    <s v="Kiabi SAS"/>
    <x v="0"/>
    <s v="No growth Potential"/>
    <x v="2"/>
    <x v="3"/>
    <s v="ROUBAIX"/>
    <n v="117823"/>
    <s v="31-01-2022"/>
    <n v="0"/>
    <d v="2022-02-03T00:00:00"/>
  </r>
  <r>
    <s v="Steelcase France"/>
    <x v="0"/>
    <s v="No growth Potential"/>
    <x v="2"/>
    <x v="3"/>
    <s v="Paris"/>
    <n v="101469"/>
    <s v="23-04-2022"/>
    <n v="0"/>
    <d v="2022-02-07T00:00:00"/>
  </r>
  <r>
    <s v="AIRBUS HELICOPTERS SAS"/>
    <x v="1"/>
    <s v="No growth Potential"/>
    <x v="2"/>
    <x v="3"/>
    <s v="Marignane"/>
    <n v="355320"/>
    <s v="21-10-2022"/>
    <n v="177660"/>
    <s v="20-11-2022"/>
  </r>
  <r>
    <s v="DIAC RCI BANQUE"/>
    <x v="0"/>
    <s v="No growth Potential"/>
    <x v="2"/>
    <x v="3"/>
    <s v="NOISY LE GRAND CEDEX"/>
    <n v="131690"/>
    <s v="13-09-2022"/>
    <n v="0"/>
    <d v="2022-02-11T00:00:00"/>
  </r>
  <r>
    <s v="Centre Hospitalier de Bretagne Sud"/>
    <x v="0"/>
    <s v="No growth Potential"/>
    <x v="2"/>
    <x v="3"/>
    <s v="TBD"/>
    <n v="118547"/>
    <s v="14-12-2022"/>
    <n v="0"/>
    <d v="2023-02-02T00:00:00"/>
  </r>
  <r>
    <s v="Cryostar"/>
    <x v="0"/>
    <s v="No growth Potential"/>
    <x v="2"/>
    <x v="3"/>
    <s v="TBD"/>
    <n v="492398"/>
    <s v="23-05-2022"/>
    <n v="0"/>
    <d v="2022-02-07T00:00:00"/>
  </r>
  <r>
    <s v="Decathlon Pro"/>
    <x v="0"/>
    <s v="No growth Potential"/>
    <x v="2"/>
    <x v="3"/>
    <s v="Villeneuve d'ascq"/>
    <n v="118831"/>
    <s v="22-01-2022"/>
    <n v="0"/>
    <d v="2022-02-04T00:00:00"/>
  </r>
  <r>
    <s v="TALAN"/>
    <x v="0"/>
    <s v="No growth Potential"/>
    <x v="2"/>
    <x v="3"/>
    <s v="PARIS"/>
    <n v="146675"/>
    <s v="13-09-2022"/>
    <n v="0"/>
    <d v="2022-02-11T00:00:00"/>
  </r>
  <r>
    <s v="Credifil"/>
    <x v="0"/>
    <s v="No growth Potential"/>
    <x v="2"/>
    <x v="3"/>
    <s v="TBD"/>
    <n v="77044"/>
    <s v="23-10-2022"/>
    <n v="0"/>
    <d v="2022-02-11T00:00:00"/>
  </r>
  <r>
    <s v="Ordre de Malte France"/>
    <x v="0"/>
    <s v="No growth Potential"/>
    <x v="2"/>
    <x v="3"/>
    <s v="TBD"/>
    <n v="80585"/>
    <s v="13-09-2022"/>
    <n v="0"/>
    <d v="2022-02-11T00:00:00"/>
  </r>
  <r>
    <s v="Partedis Chauffage Sanitaire"/>
    <x v="0"/>
    <s v="No growth Potential"/>
    <x v="2"/>
    <x v="3"/>
    <s v="TBD"/>
    <n v="115643"/>
    <d v="2022-03-01T00:00:00"/>
    <n v="0"/>
    <d v="2022-02-02T00:00:00"/>
  </r>
  <r>
    <s v="Viaccess-Orca"/>
    <x v="0"/>
    <s v="No growth Potential"/>
    <x v="2"/>
    <x v="3"/>
    <s v="Paris"/>
    <n v="99358"/>
    <d v="2022-01-01T00:00:00"/>
    <n v="0"/>
    <d v="2022-02-03T00:00:00"/>
  </r>
  <r>
    <s v="Oetker Collection"/>
    <x v="0"/>
    <s v="No growth Potential"/>
    <x v="2"/>
    <x v="3"/>
    <s v="TBD"/>
    <n v="52302"/>
    <s v="23-09-2022"/>
    <n v="0"/>
    <d v="2022-02-11T00:00:00"/>
  </r>
  <r>
    <s v="USM U. Schärer Fils SA France"/>
    <x v="0"/>
    <s v="No growth Potential"/>
    <x v="2"/>
    <x v="3"/>
    <s v="Paris"/>
    <n v="126160"/>
    <d v="2022-12-02T00:00:00"/>
    <n v="0"/>
    <d v="2022-04-03T00:00:00"/>
  </r>
  <r>
    <s v="Tokheim"/>
    <x v="0"/>
    <s v="No growth Potential"/>
    <x v="2"/>
    <x v="3"/>
    <s v="TBD"/>
    <n v="408591"/>
    <s v="24-08-2022"/>
    <n v="0"/>
    <d v="2022-02-11T00:00:00"/>
  </r>
  <r>
    <s v="My Coach"/>
    <x v="0"/>
    <s v="No growth Potential"/>
    <x v="2"/>
    <x v="3"/>
    <s v="Nice Cedex 3"/>
    <n v="109569"/>
    <s v="23-05-2022"/>
    <n v="0"/>
    <d v="2022-02-06T00:00:00"/>
  </r>
  <r>
    <s v="Groupe Vivalto Sant?"/>
    <x v="0"/>
    <s v="No growth Potential"/>
    <x v="2"/>
    <x v="3"/>
    <s v="TBD"/>
    <n v="157836"/>
    <s v="23-10-2022"/>
    <n v="0"/>
    <d v="2022-02-11T00:00:00"/>
  </r>
  <r>
    <s v="Advanced Accelerator Applications"/>
    <x v="0"/>
    <s v="No growth Potential"/>
    <x v="2"/>
    <x v="3"/>
    <s v="TBD"/>
    <m/>
    <d v="2022-01-02T00:00:00"/>
    <n v="0"/>
    <d v="2022-02-04T00:00:00"/>
  </r>
  <r>
    <s v="Securitas Direct France"/>
    <x v="1"/>
    <s v="Medium Growth"/>
    <x v="2"/>
    <x v="3"/>
    <s v="PARIS CEDEX 15"/>
    <n v="141208"/>
    <d v="2022-01-07T00:00:00"/>
    <n v="23535"/>
    <s v="20-08-2022"/>
  </r>
  <r>
    <s v="ORPEA"/>
    <x v="0"/>
    <s v="No growth Potential"/>
    <x v="2"/>
    <x v="3"/>
    <s v="TBD"/>
    <n v="43871"/>
    <d v="2022-03-09T00:00:00"/>
    <n v="0"/>
    <d v="2022-02-11T00:00:00"/>
  </r>
  <r>
    <s v="Neo Center Est."/>
    <x v="0"/>
    <s v="No growth Potential"/>
    <x v="2"/>
    <x v="3"/>
    <s v="Woippy"/>
    <n v="89964"/>
    <s v="13-10-2022"/>
    <n v="0"/>
    <d v="2022-02-11T00:00:00"/>
  </r>
  <r>
    <s v="Johnson Screens"/>
    <x v="0"/>
    <s v="No growth Potential"/>
    <x v="2"/>
    <x v="3"/>
    <s v="TBD"/>
    <n v="53823"/>
    <s v="23-10-2022"/>
    <n v="0"/>
    <d v="2022-02-11T00:00:00"/>
  </r>
  <r>
    <s v="Guerbet"/>
    <x v="0"/>
    <s v="No growth Potential"/>
    <x v="2"/>
    <x v="3"/>
    <s v="Villepinte"/>
    <n v="106692"/>
    <s v="23-10-2022"/>
    <n v="0"/>
    <d v="2022-02-11T00:00:00"/>
  </r>
  <r>
    <s v="Vatonce"/>
    <x v="0"/>
    <s v="No growth Potential"/>
    <x v="2"/>
    <x v="3"/>
    <s v="TBD"/>
    <n v="93335"/>
    <s v="24-11-2021"/>
    <n v="0"/>
    <d v="2022-02-02T00:00:00"/>
  </r>
  <r>
    <s v="DAF Trucks NV France"/>
    <x v="0"/>
    <s v="No growth Potential"/>
    <x v="2"/>
    <x v="3"/>
    <s v="Roissy"/>
    <n v="127546"/>
    <s v="22-04-2023"/>
    <n v="0"/>
    <d v="2023-02-05T00:00:00"/>
  </r>
  <r>
    <s v="Horoquartz"/>
    <x v="0"/>
    <s v="No growth Potential"/>
    <x v="2"/>
    <x v="3"/>
    <s v="PARIS"/>
    <n v="110101"/>
    <d v="2022-02-06T00:00:00"/>
    <n v="0"/>
    <d v="2022-02-07T00:00:00"/>
  </r>
  <r>
    <s v="Tikehau Capital"/>
    <x v="0"/>
    <s v="No growth Potential"/>
    <x v="2"/>
    <x v="3"/>
    <s v="Paris"/>
    <n v="89776"/>
    <s v="23-05-2022"/>
    <n v="0"/>
    <d v="2022-02-06T00:00:00"/>
  </r>
  <r>
    <s v="AIRBUS SAS"/>
    <x v="1"/>
    <s v="Medium Growth"/>
    <x v="2"/>
    <x v="3"/>
    <s v="TOULOUSE"/>
    <n v="352914"/>
    <s v="28-09-2022"/>
    <n v="176457"/>
    <s v="17-11-2022"/>
  </r>
  <r>
    <s v="FEDERAL EXPRESS FEDE"/>
    <x v="0"/>
    <s v="No growth Potential"/>
    <x v="2"/>
    <x v="3"/>
    <s v="ROISSY CDG CEDEX"/>
    <n v="224151"/>
    <s v="13-10-2022"/>
    <n v="0"/>
    <d v="2022-02-11T00:00:00"/>
  </r>
  <r>
    <s v="Petzl"/>
    <x v="0"/>
    <s v="No growth Potential"/>
    <x v="2"/>
    <x v="3"/>
    <s v="TBD"/>
    <n v="132647"/>
    <s v="23-10-2022"/>
    <n v="0"/>
    <d v="2022-02-11T00:00:00"/>
  </r>
  <r>
    <s v="CellProthera"/>
    <x v="0"/>
    <s v="No growth Potential"/>
    <x v="2"/>
    <x v="3"/>
    <s v="MULHOUSE"/>
    <m/>
    <d v="2022-03-10T00:00:00"/>
    <n v="0"/>
    <d v="2022-02-12T00:00:00"/>
  </r>
  <r>
    <s v="OLLY GAN"/>
    <x v="0"/>
    <s v="No growth Potential"/>
    <x v="2"/>
    <x v="3"/>
    <s v="Aix-en-Provence"/>
    <n v="157181"/>
    <d v="2022-03-09T00:00:00"/>
    <n v="0"/>
    <d v="2022-02-11T00:00:00"/>
  </r>
  <r>
    <s v="Comptoir d Exportation de France"/>
    <x v="0"/>
    <s v="No growth Potential"/>
    <x v="2"/>
    <x v="3"/>
    <s v="CARPENTRAS"/>
    <n v="181162"/>
    <s v="13-05-2023"/>
    <n v="0"/>
    <d v="2023-02-06T00:00:00"/>
  </r>
  <r>
    <s v="Groupe Pitney Bowes"/>
    <x v="0"/>
    <s v="No growth Potential"/>
    <x v="2"/>
    <x v="3"/>
    <s v="TBD"/>
    <n v="161491"/>
    <s v="23-10-2022"/>
    <n v="0"/>
    <d v="2022-02-11T00:00:00"/>
  </r>
  <r>
    <s v="Gunvor International"/>
    <x v="1"/>
    <s v="High Growth potential"/>
    <x v="2"/>
    <x v="10"/>
    <s v="Geneva"/>
    <n v="140656"/>
    <d v="2023-04-02T00:00:00"/>
    <n v="17582"/>
    <s v="14-02-2023"/>
  </r>
  <r>
    <s v="Thorn"/>
    <x v="0"/>
    <s v="No growth Potential"/>
    <x v="2"/>
    <x v="3"/>
    <s v="TBD"/>
    <n v="92058"/>
    <s v="13-10-2022"/>
    <n v="0"/>
    <d v="2022-02-11T00:00:00"/>
  </r>
  <r>
    <s v="AT Internet"/>
    <x v="1"/>
    <s v="Medium Growth"/>
    <x v="2"/>
    <x v="3"/>
    <s v="Mérignac"/>
    <n v="217631"/>
    <s v="16-09-2022"/>
    <n v="54408"/>
    <d v="2022-05-11T00:00:00"/>
  </r>
  <r>
    <s v="Touyard Vehicules Industriels"/>
    <x v="0"/>
    <s v="No growth Potential"/>
    <x v="2"/>
    <x v="3"/>
    <s v="TBD"/>
    <n v="190243"/>
    <d v="2022-03-03T00:00:00"/>
    <n v="0"/>
    <d v="2022-02-05T00:00:00"/>
  </r>
  <r>
    <s v="Millesoixantequatre"/>
    <x v="0"/>
    <s v="No growth Potential"/>
    <x v="2"/>
    <x v="3"/>
    <s v="TBD"/>
    <n v="46000"/>
    <s v="13-08-2022"/>
    <n v="0"/>
    <d v="2022-02-10T00:00:00"/>
  </r>
  <r>
    <s v="joada"/>
    <x v="0"/>
    <s v="No growth Potential"/>
    <x v="2"/>
    <x v="3"/>
    <s v="Bordeaux"/>
    <n v="164850"/>
    <s v="22-12-2021"/>
    <n v="0"/>
    <d v="2022-02-03T00:00:00"/>
  </r>
  <r>
    <s v="ECOLE ELEC PROD METHODES INDUSTRIELLES"/>
    <x v="1"/>
    <s v="High Growth potential"/>
    <x v="2"/>
    <x v="3"/>
    <s v="CERGY PONTOISE"/>
    <n v="33488"/>
    <d v="2022-06-09T00:00:00"/>
    <n v="1288"/>
    <d v="2022-05-11T00:00:00"/>
  </r>
  <r>
    <s v="EMC Corporation"/>
    <x v="0"/>
    <s v="No growth Potential"/>
    <x v="2"/>
    <x v="3"/>
    <s v="TBD"/>
    <n v="52649"/>
    <s v="24-08-2022"/>
    <n v="0"/>
    <d v="2022-02-11T00:00:00"/>
  </r>
  <r>
    <s v="Centre Hospitalier Gérontologique"/>
    <x v="0"/>
    <s v="No growth Potential"/>
    <x v="2"/>
    <x v="3"/>
    <s v="LA FERE"/>
    <n v="128469"/>
    <s v="24-12-2022"/>
    <n v="0"/>
    <d v="2023-02-02T00:00:00"/>
  </r>
  <r>
    <s v="Wilo SE France"/>
    <x v="0"/>
    <s v="No growth Potential"/>
    <x v="2"/>
    <x v="3"/>
    <s v="TBD"/>
    <n v="110361"/>
    <s v="23-09-2022"/>
    <n v="0"/>
    <d v="2022-02-11T00:00:00"/>
  </r>
  <r>
    <s v="General Electric France"/>
    <x v="0"/>
    <s v="No growth Potential"/>
    <x v="2"/>
    <x v="3"/>
    <s v="TBD"/>
    <n v="74403"/>
    <d v="2022-03-04T00:00:00"/>
    <n v="0"/>
    <d v="2022-02-06T00:00:00"/>
  </r>
  <r>
    <s v="Humancraft"/>
    <x v="0"/>
    <s v="No growth Potential"/>
    <x v="2"/>
    <x v="3"/>
    <s v="Paris"/>
    <n v="152450"/>
    <s v="21-02-2022"/>
    <n v="0"/>
    <d v="2022-02-04T00:00:00"/>
  </r>
  <r>
    <s v="Itelios"/>
    <x v="0"/>
    <s v="No growth Potential"/>
    <x v="2"/>
    <x v="3"/>
    <s v="TBD"/>
    <n v="265033"/>
    <d v="2022-03-09T00:00:00"/>
    <n v="0"/>
    <d v="2022-02-11T00:00:00"/>
  </r>
  <r>
    <s v="Centre Hospitalier Region de Saint-Omer"/>
    <x v="0"/>
    <s v="No growth Potential"/>
    <x v="2"/>
    <x v="3"/>
    <s v="Saint-Omer"/>
    <n v="383042"/>
    <d v="2022-04-12T00:00:00"/>
    <n v="0"/>
    <d v="2023-02-02T00:00:00"/>
  </r>
  <r>
    <s v="42 Consulting"/>
    <x v="0"/>
    <s v="No growth Potential"/>
    <x v="2"/>
    <x v="3"/>
    <s v="TBD"/>
    <n v="90326"/>
    <s v="24-08-2022"/>
    <n v="0"/>
    <d v="2022-02-11T00:00:00"/>
  </r>
  <r>
    <s v="INSTITUT ESTHEDERM FRANCE"/>
    <x v="0"/>
    <s v="No growth Potential"/>
    <x v="2"/>
    <x v="3"/>
    <s v="Paris"/>
    <n v="42344"/>
    <s v="13-09-2022"/>
    <n v="0"/>
    <d v="2022-02-11T00:00:00"/>
  </r>
  <r>
    <s v="Agence 71"/>
    <x v="0"/>
    <s v="No growth Potential"/>
    <x v="2"/>
    <x v="3"/>
    <s v="Mauleon"/>
    <n v="33531"/>
    <s v="13-10-2022"/>
    <n v="0"/>
    <d v="2022-02-11T00:00:00"/>
  </r>
  <r>
    <s v="Visteon Corporation France"/>
    <x v="0"/>
    <s v="No growth Potential"/>
    <x v="2"/>
    <x v="3"/>
    <s v="Paris"/>
    <n v="37800"/>
    <s v="21-01-2023"/>
    <n v="0"/>
    <d v="2023-02-03T00:00:00"/>
  </r>
  <r>
    <s v="Sergic"/>
    <x v="0"/>
    <s v="No growth Potential"/>
    <x v="2"/>
    <x v="3"/>
    <s v="TBD"/>
    <n v="42040"/>
    <d v="2022-03-09T00:00:00"/>
    <n v="0"/>
    <d v="2022-02-11T00:00:00"/>
  </r>
  <r>
    <s v="Pierre Fabre SA"/>
    <x v="1"/>
    <s v="Medium Growth"/>
    <x v="2"/>
    <x v="3"/>
    <s v="Castres"/>
    <n v="100026"/>
    <s v="30-06-2022"/>
    <n v="50013"/>
    <d v="2022-08-09T00:00:00"/>
  </r>
  <r>
    <s v="Valmont France SAS"/>
    <x v="0"/>
    <s v="No growth Potential"/>
    <x v="2"/>
    <x v="3"/>
    <s v="Charmeil"/>
    <n v="80596"/>
    <d v="2022-03-01T00:00:00"/>
    <n v="0"/>
    <d v="2022-02-02T00:00:00"/>
  </r>
  <r>
    <s v="Marymount International School Paris"/>
    <x v="0"/>
    <s v="No growth Potential"/>
    <x v="2"/>
    <x v="3"/>
    <s v="TBD"/>
    <n v="133415"/>
    <d v="2021-04-12T00:00:00"/>
    <n v="0"/>
    <d v="2022-02-02T00:00:00"/>
  </r>
  <r>
    <s v="UNDIZ"/>
    <x v="0"/>
    <s v="No growth Potential"/>
    <x v="2"/>
    <x v="3"/>
    <s v="TBD"/>
    <n v="166384"/>
    <s v="23-10-2022"/>
    <n v="0"/>
    <d v="2022-02-11T00:00:00"/>
  </r>
  <r>
    <s v="GROUPE SNEF"/>
    <x v="0"/>
    <s v="No growth Potential"/>
    <x v="2"/>
    <x v="3"/>
    <s v="Marseille"/>
    <n v="155783"/>
    <d v="2022-03-09T00:00:00"/>
    <n v="0"/>
    <d v="2022-02-11T00:00:00"/>
  </r>
  <r>
    <s v="Albinet"/>
    <x v="0"/>
    <s v="No growth Potential"/>
    <x v="2"/>
    <x v="3"/>
    <s v="TBD"/>
    <n v="75936"/>
    <d v="2022-03-10T00:00:00"/>
    <n v="0"/>
    <d v="2022-02-11T00:00:00"/>
  </r>
  <r>
    <s v="CE RATP - COMITÉ D'ENTREPRISE RATP"/>
    <x v="0"/>
    <s v="No growth Potential"/>
    <x v="2"/>
    <x v="3"/>
    <s v="Bagnolet"/>
    <n v="100035"/>
    <d v="2022-03-09T00:00:00"/>
    <n v="0"/>
    <d v="2022-02-11T00:00:00"/>
  </r>
  <r>
    <s v="Ideal Standard"/>
    <x v="0"/>
    <s v="No growth Potential"/>
    <x v="2"/>
    <x v="3"/>
    <s v="TBD"/>
    <n v="96217"/>
    <s v="13-03-2022"/>
    <n v="0"/>
    <d v="2022-02-04T00:00:00"/>
  </r>
  <r>
    <s v="iXBlue SAS"/>
    <x v="0"/>
    <s v="No growth Potential"/>
    <x v="2"/>
    <x v="3"/>
    <s v="Saint-Germain-en-Laye"/>
    <n v="121682"/>
    <s v="23-09-2022"/>
    <n v="0"/>
    <d v="2022-02-11T00:00:00"/>
  </r>
  <r>
    <s v="VMcom"/>
    <x v="0"/>
    <s v="No growth Potential"/>
    <x v="2"/>
    <x v="3"/>
    <s v="TBD"/>
    <n v="45788"/>
    <s v="24-08-2022"/>
    <n v="0"/>
    <d v="2022-02-11T00:00:00"/>
  </r>
  <r>
    <s v="MaxiCoffee"/>
    <x v="0"/>
    <s v="No growth Potential"/>
    <x v="2"/>
    <x v="3"/>
    <s v="TBD"/>
    <n v="95495"/>
    <s v="23-01-2022"/>
    <n v="0"/>
    <d v="2022-02-02T00:00:00"/>
  </r>
  <r>
    <s v="SPEEDY France SAS"/>
    <x v="0"/>
    <s v="No growth Potential"/>
    <x v="2"/>
    <x v="3"/>
    <s v="LA CIOTAT"/>
    <n v="916552"/>
    <s v="24-07-2022"/>
    <n v="0"/>
    <d v="2022-02-10T00:00:00"/>
  </r>
  <r>
    <s v="Data Dog`"/>
    <x v="0"/>
    <s v="No growth Potential"/>
    <x v="2"/>
    <x v="3"/>
    <s v="Paris"/>
    <n v="108248"/>
    <d v="2022-03-01T00:00:00"/>
    <n v="0"/>
    <d v="2022-02-02T00:00:00"/>
  </r>
  <r>
    <s v="Publidée"/>
    <x v="0"/>
    <s v="No growth Potential"/>
    <x v="2"/>
    <x v="3"/>
    <s v="TBD"/>
    <m/>
    <s v="23-10-2022"/>
    <n v="0"/>
    <d v="2022-02-11T00:00:00"/>
  </r>
  <r>
    <s v="Sarbacane"/>
    <x v="0"/>
    <s v="No growth Potential"/>
    <x v="2"/>
    <x v="3"/>
    <s v="TBD"/>
    <n v="106742"/>
    <d v="2021-04-12T00:00:00"/>
    <n v="0"/>
    <d v="2022-02-02T00:00:00"/>
  </r>
  <r>
    <s v="Caly Vape"/>
    <x v="0"/>
    <s v="No growth Potential"/>
    <x v="2"/>
    <x v="3"/>
    <s v="Draveil"/>
    <n v="85439"/>
    <s v="24-11-2021"/>
    <n v="0"/>
    <d v="2022-02-02T00:00:00"/>
  </r>
  <r>
    <s v="AHNAC Group"/>
    <x v="0"/>
    <s v="No growth Potential"/>
    <x v="2"/>
    <x v="3"/>
    <s v="TBD"/>
    <n v="136973"/>
    <s v="23-10-2022"/>
    <n v="0"/>
    <d v="2022-02-11T00:00:00"/>
  </r>
  <r>
    <s v="ividence"/>
    <x v="0"/>
    <s v="No growth Potential"/>
    <x v="2"/>
    <x v="3"/>
    <s v="Paris"/>
    <n v="122603"/>
    <s v="13-09-2022"/>
    <n v="0"/>
    <d v="2022-02-11T00:00:00"/>
  </r>
  <r>
    <s v="Markem-Imaje SAS"/>
    <x v="0"/>
    <s v="No growth Potential"/>
    <x v="2"/>
    <x v="3"/>
    <s v="Bourg-Les-Valence"/>
    <n v="261417"/>
    <s v="14-12-2021"/>
    <n v="0"/>
    <d v="2022-02-02T00:00:00"/>
  </r>
  <r>
    <s v="Malt"/>
    <x v="0"/>
    <s v="No growth Potential"/>
    <x v="2"/>
    <x v="3"/>
    <s v="Rochechouart"/>
    <m/>
    <s v="23-01-2022"/>
    <n v="0"/>
    <d v="2022-02-02T00:00:00"/>
  </r>
  <r>
    <s v="Colt"/>
    <x v="0"/>
    <s v="No growth Potential"/>
    <x v="2"/>
    <x v="3"/>
    <s v="TBD"/>
    <n v="86456"/>
    <s v="23-10-2022"/>
    <n v="0"/>
    <d v="2022-02-11T00:00:00"/>
  </r>
  <r>
    <s v="INSERM"/>
    <x v="0"/>
    <s v="No growth Potential"/>
    <x v="2"/>
    <x v="3"/>
    <s v="Paris"/>
    <n v="125778"/>
    <s v="23-09-2022"/>
    <n v="0"/>
    <d v="2022-02-11T00:00:00"/>
  </r>
  <r>
    <s v="Legoupil Industrie"/>
    <x v="0"/>
    <s v="No growth Potential"/>
    <x v="2"/>
    <x v="3"/>
    <s v="TBD"/>
    <m/>
    <d v="2022-03-09T00:00:00"/>
    <n v="0"/>
    <d v="2022-02-11T00:00:00"/>
  </r>
  <r>
    <s v="Arc Holdings"/>
    <x v="0"/>
    <s v="No growth Potential"/>
    <x v="2"/>
    <x v="3"/>
    <s v="ARQUES"/>
    <n v="40191"/>
    <d v="2022-03-09T00:00:00"/>
    <n v="0"/>
    <d v="2022-02-11T00:00:00"/>
  </r>
  <r>
    <s v="Mutex SA"/>
    <x v="0"/>
    <s v="No growth Potential"/>
    <x v="2"/>
    <x v="3"/>
    <s v="Chatillon"/>
    <n v="143573"/>
    <s v="24-08-2022"/>
    <n v="0"/>
    <d v="2022-02-11T00:00:00"/>
  </r>
  <r>
    <s v="OVR Performances"/>
    <x v="0"/>
    <s v="No growth Potential"/>
    <x v="2"/>
    <x v="3"/>
    <s v="TBD"/>
    <n v="31875"/>
    <d v="2022-02-11T00:00:00"/>
    <n v="0"/>
    <d v="2022-02-12T00:00:00"/>
  </r>
  <r>
    <s v="Ingeliance"/>
    <x v="0"/>
    <s v="No growth Potential"/>
    <x v="2"/>
    <x v="3"/>
    <s v="Mérignac"/>
    <n v="139350"/>
    <s v="23-05-2022"/>
    <n v="0"/>
    <d v="2022-02-07T00:00:00"/>
  </r>
  <r>
    <s v="Approsine"/>
    <x v="0"/>
    <s v="No growth Potential"/>
    <x v="2"/>
    <x v="3"/>
    <s v="Mulhouse"/>
    <m/>
    <s v="24-08-2022"/>
    <n v="0"/>
    <d v="2022-02-11T00:00:00"/>
  </r>
  <r>
    <s v="Utocat"/>
    <x v="0"/>
    <s v="No growth Potential"/>
    <x v="2"/>
    <x v="3"/>
    <s v="Lille"/>
    <n v="46921"/>
    <s v="22-04-2022"/>
    <n v="0"/>
    <d v="2022-02-05T00:00:00"/>
  </r>
  <r>
    <s v="SumiRiko Industry France S.A.S."/>
    <x v="0"/>
    <s v="No growth Potential"/>
    <x v="2"/>
    <x v="3"/>
    <s v="Decize"/>
    <n v="56360"/>
    <s v="23-08-2021"/>
    <n v="0"/>
    <d v="2021-02-10T00:00:00"/>
  </r>
  <r>
    <s v="Salesforce"/>
    <x v="0"/>
    <s v="No growth Potential"/>
    <x v="2"/>
    <x v="3"/>
    <s v="TBD"/>
    <n v="93812"/>
    <s v="14-12-2021"/>
    <n v="0"/>
    <d v="2022-02-02T00:00:00"/>
  </r>
  <r>
    <s v="Objectif Tendance - SL Waypoint"/>
    <x v="0"/>
    <s v="No growth Potential"/>
    <x v="2"/>
    <x v="3"/>
    <s v="Carcans"/>
    <n v="126203"/>
    <d v="2022-04-12T00:00:00"/>
    <n v="0"/>
    <d v="2023-02-02T00:00:00"/>
  </r>
  <r>
    <s v="Paul Hastings"/>
    <x v="0"/>
    <s v="No growth Potential"/>
    <x v="2"/>
    <x v="3"/>
    <s v="TBD"/>
    <n v="55106"/>
    <s v="13-01-2022"/>
    <n v="0"/>
    <d v="2022-02-02T00:00:00"/>
  </r>
  <r>
    <s v="MSC Mediterranean Shipping Company S.A."/>
    <x v="1"/>
    <s v="Medium Growth"/>
    <x v="2"/>
    <x v="10"/>
    <s v="Geneva"/>
    <n v="111278"/>
    <d v="2022-04-12T00:00:00"/>
    <n v="13910"/>
    <s v="23-01-2023"/>
  </r>
  <r>
    <s v="Sames Kremlin"/>
    <x v="0"/>
    <s v="No growth Potential"/>
    <x v="2"/>
    <x v="3"/>
    <s v="TBD"/>
    <n v="138975"/>
    <d v="2021-04-12T00:00:00"/>
    <n v="0"/>
    <d v="2022-02-02T00:00:00"/>
  </r>
  <r>
    <s v="PROSERVIA (France)"/>
    <x v="0"/>
    <s v="No growth Potential"/>
    <x v="2"/>
    <x v="3"/>
    <s v="TBD"/>
    <n v="58743"/>
    <s v="24-12-2022"/>
    <n v="0"/>
    <d v="2023-02-02T00:00:00"/>
  </r>
  <r>
    <s v="AGENCE REGIONALE DE SANTE"/>
    <x v="0"/>
    <s v="No growth Potential"/>
    <x v="2"/>
    <x v="3"/>
    <s v="TBD"/>
    <n v="42241"/>
    <s v="23-09-2022"/>
    <n v="0"/>
    <d v="2022-02-11T00:00:00"/>
  </r>
  <r>
    <s v="AGCO SA"/>
    <x v="0"/>
    <s v="No growth Potential"/>
    <x v="2"/>
    <x v="3"/>
    <s v="TBD"/>
    <n v="63014"/>
    <s v="23-10-2022"/>
    <n v="0"/>
    <d v="2022-02-11T00:00:00"/>
  </r>
  <r>
    <s v="EasyTeam"/>
    <x v="0"/>
    <s v="No growth Potential"/>
    <x v="2"/>
    <x v="3"/>
    <s v="TBD"/>
    <n v="122611"/>
    <d v="2021-04-12T00:00:00"/>
    <n v="0"/>
    <d v="2022-02-02T00:00:00"/>
  </r>
  <r>
    <s v="Edicom Group"/>
    <x v="0"/>
    <s v="No growth Potential"/>
    <x v="2"/>
    <x v="3"/>
    <s v="TBD"/>
    <n v="42383"/>
    <s v="23-09-2022"/>
    <n v="0"/>
    <d v="2022-02-11T00:00:00"/>
  </r>
  <r>
    <s v="Saegus"/>
    <x v="0"/>
    <s v="No growth Potential"/>
    <x v="2"/>
    <x v="3"/>
    <s v="TBD"/>
    <n v="107217"/>
    <s v="14-12-2021"/>
    <n v="0"/>
    <d v="2022-02-02T00:00:00"/>
  </r>
  <r>
    <s v="Centre Hospitalier Intercommunal Elbeuf Louviers Va de Reuil"/>
    <x v="0"/>
    <s v="No growth Potential"/>
    <x v="2"/>
    <x v="3"/>
    <s v="Saint-Aubin-les-Elbeuf"/>
    <n v="149230"/>
    <s v="23-01-2023"/>
    <n v="0"/>
    <d v="2023-02-02T00:00:00"/>
  </r>
  <r>
    <s v="YouScribe SAS"/>
    <x v="0"/>
    <s v="No growth Potential"/>
    <x v="2"/>
    <x v="3"/>
    <s v="Paris"/>
    <n v="118896"/>
    <d v="2022-03-10T00:00:00"/>
    <n v="0"/>
    <d v="2022-02-11T00:00:00"/>
  </r>
  <r>
    <s v="Autobiz"/>
    <x v="0"/>
    <s v="No growth Potential"/>
    <x v="2"/>
    <x v="3"/>
    <s v="TBD"/>
    <n v="1149954"/>
    <s v="23-09-2022"/>
    <n v="0"/>
    <d v="2022-02-11T00:00:00"/>
  </r>
  <r>
    <s v="PNY"/>
    <x v="0"/>
    <s v="No growth Potential"/>
    <x v="2"/>
    <x v="3"/>
    <s v="TBD"/>
    <m/>
    <s v="13-09-2022"/>
    <n v="0"/>
    <d v="2022-02-11T00:00:00"/>
  </r>
  <r>
    <s v="Core Us"/>
    <x v="0"/>
    <s v="No growth Potential"/>
    <x v="2"/>
    <x v="3"/>
    <s v="TBD"/>
    <n v="118586"/>
    <s v="24-08-2022"/>
    <n v="0"/>
    <d v="2022-02-11T00:00:00"/>
  </r>
  <r>
    <s v="AsceNTIC (SASU)"/>
    <x v="0"/>
    <s v="No growth Potential"/>
    <x v="2"/>
    <x v="3"/>
    <s v="Paris"/>
    <n v="62323"/>
    <s v="24-08-2022"/>
    <n v="0"/>
    <d v="2022-02-11T00:00:00"/>
  </r>
  <r>
    <s v="LACROIX SA"/>
    <x v="0"/>
    <s v="No growth Potential"/>
    <x v="2"/>
    <x v="3"/>
    <s v="TBD"/>
    <n v="100560"/>
    <s v="23-09-2022"/>
    <n v="0"/>
    <d v="2022-02-11T00:00:00"/>
  </r>
  <r>
    <s v="Rosewood Luxury Hotels"/>
    <x v="0"/>
    <s v="No growth Potential"/>
    <x v="2"/>
    <x v="3"/>
    <s v="TBD"/>
    <n v="59869"/>
    <d v="2022-03-10T00:00:00"/>
    <n v="0"/>
    <d v="2022-02-11T00:00:00"/>
  </r>
  <r>
    <s v="Frais d'Ici"/>
    <x v="0"/>
    <s v="No growth Potential"/>
    <x v="2"/>
    <x v="3"/>
    <s v="TBD"/>
    <n v="126641"/>
    <d v="2022-10-02T00:00:00"/>
    <n v="0"/>
    <d v="2022-02-03T00:00:00"/>
  </r>
  <r>
    <s v="Groupe Logement Francais"/>
    <x v="0"/>
    <s v="No growth Potential"/>
    <x v="2"/>
    <x v="3"/>
    <s v="TBD"/>
    <n v="397007"/>
    <s v="22-06-2021"/>
    <n v="0"/>
    <d v="2021-01-08T00:00:00"/>
  </r>
  <r>
    <s v="Héliantis"/>
    <x v="0"/>
    <s v="No growth Potential"/>
    <x v="2"/>
    <x v="3"/>
    <s v="TBD"/>
    <n v="33493"/>
    <s v="13-03-2022"/>
    <n v="0"/>
    <d v="2022-02-05T00:00:00"/>
  </r>
  <r>
    <s v="Enedis"/>
    <x v="0"/>
    <s v="No growth Potential"/>
    <x v="2"/>
    <x v="3"/>
    <s v="TBD"/>
    <n v="153106"/>
    <s v="24-08-2022"/>
    <n v="0"/>
    <d v="2022-02-11T00:00:00"/>
  </r>
  <r>
    <s v="EPSA Groupe"/>
    <x v="0"/>
    <s v="No growth Potential"/>
    <x v="2"/>
    <x v="3"/>
    <s v="Paris"/>
    <n v="121681"/>
    <s v="13-09-2022"/>
    <n v="0"/>
    <d v="2022-02-11T00:00:00"/>
  </r>
  <r>
    <s v="Honeywell"/>
    <x v="0"/>
    <s v="No growth Potential"/>
    <x v="2"/>
    <x v="3"/>
    <s v="TBD"/>
    <n v="114987"/>
    <s v="23-10-2022"/>
    <n v="0"/>
    <d v="2022-02-11T00:00:00"/>
  </r>
  <r>
    <s v="JBL Consultants"/>
    <x v="0"/>
    <s v="No growth Potential"/>
    <x v="2"/>
    <x v="3"/>
    <s v="TBD"/>
    <n v="69935"/>
    <s v="23-09-2022"/>
    <n v="0"/>
    <d v="2022-02-12T00:00:00"/>
  </r>
  <r>
    <s v="SARL Passion Origami"/>
    <x v="0"/>
    <s v="No growth Potential"/>
    <x v="2"/>
    <x v="3"/>
    <s v="TBD"/>
    <n v="47398"/>
    <d v="2022-02-06T00:00:00"/>
    <n v="0"/>
    <d v="2022-02-07T00:00:00"/>
  </r>
  <r>
    <s v="Okta Inc. France"/>
    <x v="0"/>
    <s v="No growth Potential"/>
    <x v="2"/>
    <x v="3"/>
    <s v="TBD"/>
    <n v="42440"/>
    <d v="2022-03-03T00:00:00"/>
    <n v="0"/>
    <d v="2022-02-04T00:00:00"/>
  </r>
  <r>
    <s v="Pathé Evreux Cinema"/>
    <x v="0"/>
    <s v="No growth Potential"/>
    <x v="2"/>
    <x v="3"/>
    <s v="TBD"/>
    <n v="70043"/>
    <s v="24-12-2021"/>
    <n v="0"/>
    <d v="2022-02-02T00:00:00"/>
  </r>
  <r>
    <s v="CH BLOIS"/>
    <x v="0"/>
    <s v="No growth Potential"/>
    <x v="2"/>
    <x v="3"/>
    <s v="CEDEX"/>
    <n v="58231"/>
    <s v="13-09-2022"/>
    <n v="0"/>
    <d v="2022-02-11T00:00:00"/>
  </r>
  <r>
    <s v="Apave"/>
    <x v="0"/>
    <s v="No growth Potential"/>
    <x v="2"/>
    <x v="3"/>
    <s v="TBD"/>
    <n v="62401"/>
    <s v="20-02-2022"/>
    <n v="0"/>
    <d v="2022-02-03T00:00:00"/>
  </r>
  <r>
    <s v="To Do Today"/>
    <x v="0"/>
    <s v="No growth Potential"/>
    <x v="2"/>
    <x v="3"/>
    <s v="TBD"/>
    <n v="121681"/>
    <d v="2022-12-09T00:00:00"/>
    <n v="0"/>
    <d v="2022-02-10T00:00:00"/>
  </r>
  <r>
    <s v="Les Hôpitaux du Léman"/>
    <x v="0"/>
    <s v="No growth Potential"/>
    <x v="2"/>
    <x v="3"/>
    <s v="TBD"/>
    <n v="151638"/>
    <d v="2022-02-09T00:00:00"/>
    <n v="0"/>
    <d v="2022-02-10T00:00:00"/>
  </r>
  <r>
    <s v="Acep TryLive"/>
    <x v="0"/>
    <s v="No growth Potential"/>
    <x v="2"/>
    <x v="3"/>
    <s v="TBD"/>
    <n v="77627"/>
    <s v="24-08-2022"/>
    <n v="0"/>
    <d v="2022-02-11T00:00:00"/>
  </r>
  <r>
    <s v="PrestaShop"/>
    <x v="0"/>
    <s v="No growth Potential"/>
    <x v="2"/>
    <x v="3"/>
    <s v="TBD"/>
    <n v="60899"/>
    <d v="2022-03-05T00:00:00"/>
    <n v="0"/>
    <d v="2022-02-06T00:00:00"/>
  </r>
  <r>
    <s v="Niwanet"/>
    <x v="0"/>
    <s v="No growth Potential"/>
    <x v="2"/>
    <x v="3"/>
    <s v="TBD"/>
    <n v="118607"/>
    <s v="23-03-2022"/>
    <n v="0"/>
    <d v="2022-02-04T00:00:00"/>
  </r>
  <r>
    <s v="hybster"/>
    <x v="0"/>
    <s v="No growth Potential"/>
    <x v="2"/>
    <x v="3"/>
    <s v="Tours"/>
    <m/>
    <s v="23-10-2022"/>
    <n v="0"/>
    <d v="2022-02-11T00:00:00"/>
  </r>
  <r>
    <s v="Cadre de Vie"/>
    <x v="0"/>
    <s v="No growth Potential"/>
    <x v="2"/>
    <x v="3"/>
    <s v="TBD"/>
    <n v="123081"/>
    <d v="2022-03-01T00:00:00"/>
    <n v="0"/>
    <d v="2022-02-02T00:00:00"/>
  </r>
  <r>
    <s v="Neotion"/>
    <x v="0"/>
    <s v="No growth Potential"/>
    <x v="2"/>
    <x v="3"/>
    <s v="TBD"/>
    <n v="109978"/>
    <d v="2022-03-09T00:00:00"/>
    <n v="0"/>
    <d v="2022-02-11T00:00:00"/>
  </r>
  <r>
    <s v="APHP"/>
    <x v="0"/>
    <s v="No growth Potential"/>
    <x v="2"/>
    <x v="3"/>
    <s v="PARIS"/>
    <n v="251690"/>
    <d v="2022-03-10T00:00:00"/>
    <n v="0"/>
    <d v="2022-02-11T00:00:00"/>
  </r>
  <r>
    <s v="CS"/>
    <x v="0"/>
    <s v="No growth Potential"/>
    <x v="2"/>
    <x v="3"/>
    <s v="TBD"/>
    <n v="104983"/>
    <s v="23-10-2022"/>
    <n v="0"/>
    <d v="2022-02-11T00:00:00"/>
  </r>
  <r>
    <s v="MUTUELLES DU SOLEIL"/>
    <x v="0"/>
    <s v="No growth Potential"/>
    <x v="2"/>
    <x v="3"/>
    <s v="Nice"/>
    <n v="62405"/>
    <s v="24-08-2022"/>
    <n v="0"/>
    <d v="2022-02-11T00:00:00"/>
  </r>
  <r>
    <s v="Hyatt"/>
    <x v="0"/>
    <s v="No growth Potential"/>
    <x v="2"/>
    <x v="3"/>
    <s v="TBD"/>
    <n v="133487"/>
    <s v="20-02-2022"/>
    <n v="0"/>
    <d v="2022-02-03T00:00:00"/>
  </r>
  <r>
    <s v="IFP Atlantique"/>
    <x v="0"/>
    <s v="No growth Potential"/>
    <x v="2"/>
    <x v="3"/>
    <s v="TBD"/>
    <m/>
    <d v="2022-03-07T00:00:00"/>
    <n v="0"/>
    <d v="2022-02-08T00:00:00"/>
  </r>
  <r>
    <s v="Groupe Agrica"/>
    <x v="0"/>
    <s v="No growth Potential"/>
    <x v="2"/>
    <x v="3"/>
    <s v="Paris"/>
    <n v="30752"/>
    <d v="2022-03-12T00:00:00"/>
    <n v="0"/>
    <d v="2023-02-01T00:00:00"/>
  </r>
  <r>
    <s v="Promostyl"/>
    <x v="0"/>
    <s v="No growth Potential"/>
    <x v="2"/>
    <x v="3"/>
    <s v="Paris"/>
    <n v="93731"/>
    <s v="23-09-2022"/>
    <n v="0"/>
    <d v="2022-02-11T00:00:00"/>
  </r>
  <r>
    <s v="Trdev"/>
    <x v="0"/>
    <s v="No growth Potential"/>
    <x v="2"/>
    <x v="3"/>
    <s v="TBD"/>
    <n v="80521"/>
    <d v="2022-03-09T00:00:00"/>
    <n v="0"/>
    <d v="2022-02-11T00:00:00"/>
  </r>
  <r>
    <s v="PredictSpring"/>
    <x v="0"/>
    <s v="No growth Potential"/>
    <x v="2"/>
    <x v="3"/>
    <s v="Paris"/>
    <n v="100554"/>
    <d v="2022-03-09T00:00:00"/>
    <n v="0"/>
    <d v="2022-02-11T00:00:00"/>
  </r>
  <r>
    <s v="Flight Safety International France"/>
    <x v="0"/>
    <s v="No growth Potential"/>
    <x v="2"/>
    <x v="3"/>
    <s v="TBD"/>
    <n v="42401"/>
    <s v="23-08-2022"/>
    <n v="0"/>
    <d v="2022-02-09T00:00:00"/>
  </r>
  <r>
    <s v="institut esthederm"/>
    <x v="0"/>
    <s v="No growth Potential"/>
    <x v="2"/>
    <x v="3"/>
    <s v="TBD"/>
    <n v="143582"/>
    <s v="23-10-2022"/>
    <n v="0"/>
    <d v="2022-02-11T00:00:00"/>
  </r>
  <r>
    <s v="Sound Test"/>
    <x v="0"/>
    <s v="No growth Potential"/>
    <x v="2"/>
    <x v="3"/>
    <s v="TBD"/>
    <n v="44091"/>
    <s v="24-08-2022"/>
    <n v="0"/>
    <d v="2022-02-11T00:00:00"/>
  </r>
  <r>
    <s v="Fédération des SCOP de la Communication"/>
    <x v="0"/>
    <s v="No growth Potential"/>
    <x v="2"/>
    <x v="3"/>
    <s v="TBD"/>
    <n v="130597"/>
    <s v="13-04-2022"/>
    <n v="0"/>
    <d v="2022-02-06T00:00:00"/>
  </r>
  <r>
    <s v="Socomec"/>
    <x v="0"/>
    <s v="No growth Potential"/>
    <x v="2"/>
    <x v="3"/>
    <s v="TBD"/>
    <n v="45782"/>
    <s v="23-09-2022"/>
    <n v="0"/>
    <d v="2022-02-11T00:00:00"/>
  </r>
  <r>
    <s v="DARVA"/>
    <x v="0"/>
    <s v="No growth Potential"/>
    <x v="2"/>
    <x v="3"/>
    <s v="Chauray"/>
    <n v="80580"/>
    <s v="13-09-2022"/>
    <n v="0"/>
    <d v="2022-02-11T00:00:00"/>
  </r>
  <r>
    <s v="Volvo Trucks"/>
    <x v="0"/>
    <s v="No growth Potential"/>
    <x v="2"/>
    <x v="3"/>
    <s v="TBD"/>
    <n v="177894"/>
    <s v="13-09-2022"/>
    <n v="0"/>
    <d v="2022-02-11T00:00:00"/>
  </r>
  <r>
    <s v="VAT SYSTEMS"/>
    <x v="0"/>
    <s v="No growth Potential"/>
    <x v="2"/>
    <x v="3"/>
    <s v="TBD"/>
    <n v="98134"/>
    <s v="23-10-2022"/>
    <n v="0"/>
    <d v="2022-02-11T00:00:00"/>
  </r>
  <r>
    <s v="Service Départemental d'Incendie et de Secours de Maine-et-Loire"/>
    <x v="0"/>
    <s v="No growth Potential"/>
    <x v="2"/>
    <x v="3"/>
    <s v="TBD"/>
    <n v="121681"/>
    <d v="2022-02-11T00:00:00"/>
    <n v="0"/>
    <d v="2022-02-12T00:00:00"/>
  </r>
  <r>
    <s v="Stago"/>
    <x v="0"/>
    <s v="No growth Potential"/>
    <x v="2"/>
    <x v="3"/>
    <s v="Asnières sur seine"/>
    <n v="110043"/>
    <s v="31-01-2022"/>
    <n v="0"/>
    <d v="2022-02-03T00:00:00"/>
  </r>
  <r>
    <s v="Sutter Mills"/>
    <x v="0"/>
    <s v="No growth Potential"/>
    <x v="2"/>
    <x v="3"/>
    <s v="TBD"/>
    <n v="101825"/>
    <s v="13-09-2022"/>
    <n v="0"/>
    <d v="2022-02-11T00:00:00"/>
  </r>
  <r>
    <s v="COVENTYA HOLDING SAS"/>
    <x v="0"/>
    <s v="No growth Potential"/>
    <x v="2"/>
    <x v="3"/>
    <s v="CEDEX"/>
    <n v="42394"/>
    <s v="23-10-2022"/>
    <n v="0"/>
    <d v="2022-02-11T00:00:00"/>
  </r>
  <r>
    <s v="Renov'smile"/>
    <x v="0"/>
    <s v="No growth Potential"/>
    <x v="2"/>
    <x v="3"/>
    <s v="TBD"/>
    <n v="117497"/>
    <s v="24-08-2022"/>
    <n v="0"/>
    <d v="2022-02-11T00:00:00"/>
  </r>
  <r>
    <s v="CESIN"/>
    <x v="0"/>
    <s v="No growth Potential"/>
    <x v="2"/>
    <x v="3"/>
    <s v="Paris"/>
    <n v="70043"/>
    <s v="13-10-2022"/>
    <n v="0"/>
    <d v="2022-02-11T00:00:00"/>
  </r>
  <r>
    <s v="PICTIME GROUPE"/>
    <x v="0"/>
    <s v="No growth Potential"/>
    <x v="2"/>
    <x v="3"/>
    <s v="Provence-alpes-cote d'azur"/>
    <n v="95966"/>
    <d v="2022-03-09T00:00:00"/>
    <n v="0"/>
    <d v="2022-02-11T00:00:00"/>
  </r>
  <r>
    <s v="GIE IPECA GESTION"/>
    <x v="1"/>
    <s v="High Growth potential"/>
    <x v="2"/>
    <x v="3"/>
    <s v="Paris"/>
    <n v="142861"/>
    <d v="2022-03-11T00:00:00"/>
    <n v="71431"/>
    <s v="23-11-2022"/>
  </r>
  <r>
    <s v="ADP GSI France SAS"/>
    <x v="1"/>
    <s v="Medium Growth"/>
    <x v="2"/>
    <x v="3"/>
    <s v="Nanterre cedex"/>
    <n v="42040"/>
    <d v="2022-03-11T00:00:00"/>
    <n v="6006"/>
    <s v="23-11-2022"/>
  </r>
  <r>
    <s v="A.S. Watson Group - Marionnaud"/>
    <x v="0"/>
    <s v="No growth Potential"/>
    <x v="2"/>
    <x v="3"/>
    <s v="Paris"/>
    <n v="100539"/>
    <s v="23-04-2022"/>
    <n v="0"/>
    <d v="2022-02-07T00:00:00"/>
  </r>
  <r>
    <s v="Volvo"/>
    <x v="0"/>
    <s v="No growth Potential"/>
    <x v="2"/>
    <x v="3"/>
    <s v="TBD"/>
    <n v="71123"/>
    <s v="13-10-2022"/>
    <n v="0"/>
    <d v="2022-02-11T00:00:00"/>
  </r>
  <r>
    <s v="Avios Group"/>
    <x v="0"/>
    <s v="No growth Potential"/>
    <x v="2"/>
    <x v="8"/>
    <s v="TBD"/>
    <n v="69913"/>
    <s v="13-09-2022"/>
    <n v="0"/>
    <d v="2022-02-11T00:00:00"/>
  </r>
  <r>
    <s v="IRT SystemX"/>
    <x v="0"/>
    <s v="No growth Potential"/>
    <x v="2"/>
    <x v="3"/>
    <s v="TBD"/>
    <n v="119007"/>
    <d v="2022-03-10T00:00:00"/>
    <n v="0"/>
    <d v="2022-02-11T00:00:00"/>
  </r>
  <r>
    <s v="Graham Packaging Company Europe"/>
    <x v="0"/>
    <s v="No growth Potential"/>
    <x v="2"/>
    <x v="3"/>
    <s v="TBD"/>
    <n v="171055"/>
    <s v="21-01-2022"/>
    <n v="0"/>
    <d v="2022-02-03T00:00:00"/>
  </r>
  <r>
    <s v="University of Strasbourg"/>
    <x v="0"/>
    <s v="No growth Potential"/>
    <x v="2"/>
    <x v="3"/>
    <s v="Grenoble"/>
    <n v="62410"/>
    <d v="2023-03-04T00:00:00"/>
    <n v="0"/>
    <d v="2023-02-06T00:00:00"/>
  </r>
  <r>
    <s v="AstraZeneca France"/>
    <x v="0"/>
    <s v="No growth Potential"/>
    <x v="2"/>
    <x v="3"/>
    <s v="Courbevoie"/>
    <n v="72637"/>
    <d v="2022-03-03T00:00:00"/>
    <n v="0"/>
    <d v="2022-02-05T00:00:00"/>
  </r>
  <r>
    <s v="International Agency for Research on Cancer"/>
    <x v="0"/>
    <s v="No growth Potential"/>
    <x v="2"/>
    <x v="3"/>
    <s v="Lyon"/>
    <n v="704990"/>
    <d v="2022-02-06T00:00:00"/>
    <n v="0"/>
    <d v="2022-02-07T00:00:00"/>
  </r>
  <r>
    <s v="Création innovation Cité"/>
    <x v="0"/>
    <s v="No growth Potential"/>
    <x v="2"/>
    <x v="3"/>
    <s v="TBD"/>
    <n v="107228"/>
    <d v="2022-03-03T00:00:00"/>
    <n v="0"/>
    <d v="2022-02-04T00:00:00"/>
  </r>
  <r>
    <s v="Eliga"/>
    <x v="0"/>
    <s v="No growth Potential"/>
    <x v="2"/>
    <x v="3"/>
    <s v="Rousseau"/>
    <n v="166380"/>
    <s v="21-02-2022"/>
    <n v="0"/>
    <d v="2022-02-05T00:00:00"/>
  </r>
  <r>
    <s v="VIAVI Solutions France SAS"/>
    <x v="0"/>
    <s v="No growth Potential"/>
    <x v="2"/>
    <x v="3"/>
    <s v="Plaisir"/>
    <m/>
    <d v="2021-02-06T00:00:00"/>
    <n v="0"/>
    <d v="2021-01-08T00:00:00"/>
  </r>
  <r>
    <s v="B+ Equipment"/>
    <x v="0"/>
    <s v="No growth Potential"/>
    <x v="2"/>
    <x v="3"/>
    <s v="TBD"/>
    <n v="190945"/>
    <d v="2022-03-10T00:00:00"/>
    <n v="0"/>
    <d v="2022-02-11T00:00:00"/>
  </r>
  <r>
    <s v="SECTRONIC"/>
    <x v="0"/>
    <s v="No growth Potential"/>
    <x v="2"/>
    <x v="3"/>
    <s v="TBD"/>
    <n v="101896"/>
    <s v="23-10-2022"/>
    <n v="0"/>
    <d v="2022-02-11T00:00:00"/>
  </r>
  <r>
    <s v="Paris &amp; Co."/>
    <x v="0"/>
    <s v="No growth Potential"/>
    <x v="2"/>
    <x v="3"/>
    <s v="TBD"/>
    <n v="48820"/>
    <s v="24-12-2021"/>
    <n v="0"/>
    <d v="2022-02-02T00:00:00"/>
  </r>
  <r>
    <s v="Sur le chemin du Succès"/>
    <x v="0"/>
    <s v="No growth Potential"/>
    <x v="2"/>
    <x v="3"/>
    <s v="TBD"/>
    <n v="72195"/>
    <s v="23-10-2022"/>
    <n v="0"/>
    <d v="2022-02-11T00:00:00"/>
  </r>
  <r>
    <s v="Allied Telesis"/>
    <x v="0"/>
    <s v="No growth Potential"/>
    <x v="2"/>
    <x v="3"/>
    <s v="TBD"/>
    <n v="83117"/>
    <s v="23-10-2022"/>
    <n v="0"/>
    <d v="2022-02-11T00:00:00"/>
  </r>
  <r>
    <s v="IQVIA France"/>
    <x v="0"/>
    <s v="No growth Potential"/>
    <x v="2"/>
    <x v="3"/>
    <s v="La Défense"/>
    <n v="42133"/>
    <d v="2022-03-08T00:00:00"/>
    <n v="0"/>
    <d v="2022-02-09T00:00:00"/>
  </r>
  <r>
    <s v="Citywizz"/>
    <x v="0"/>
    <s v="No growth Potential"/>
    <x v="2"/>
    <x v="3"/>
    <s v="TBD"/>
    <n v="99320"/>
    <s v="23-10-2022"/>
    <n v="0"/>
    <d v="2022-02-11T00:00:00"/>
  </r>
  <r>
    <s v="Geismar"/>
    <x v="0"/>
    <s v="No growth Potential"/>
    <x v="2"/>
    <x v="3"/>
    <s v="TBD"/>
    <n v="42044"/>
    <s v="13-05-2022"/>
    <n v="0"/>
    <d v="2022-02-06T00:00:00"/>
  </r>
  <r>
    <s v="In Extenso"/>
    <x v="0"/>
    <s v="No growth Potential"/>
    <x v="2"/>
    <x v="3"/>
    <s v="TBD"/>
    <n v="143580"/>
    <s v="13-10-2022"/>
    <n v="0"/>
    <d v="2022-02-11T00:00:00"/>
  </r>
  <r>
    <s v="OppScience"/>
    <x v="0"/>
    <s v="No growth Potential"/>
    <x v="2"/>
    <x v="3"/>
    <s v="TBD"/>
    <n v="49618"/>
    <d v="2022-03-10T00:00:00"/>
    <n v="0"/>
    <d v="2022-02-11T00:00:00"/>
  </r>
  <r>
    <s v="Hospital Center of Dracénie"/>
    <x v="0"/>
    <s v="No growth Potential"/>
    <x v="2"/>
    <x v="3"/>
    <s v="TBD"/>
    <n v="98376"/>
    <s v="23-04-2022"/>
    <n v="0"/>
    <d v="2022-02-07T00:00:00"/>
  </r>
  <r>
    <s v="Mobilis"/>
    <x v="0"/>
    <s v="No growth Potential"/>
    <x v="2"/>
    <x v="3"/>
    <s v="TBD"/>
    <n v="36213"/>
    <s v="23-10-2022"/>
    <n v="0"/>
    <d v="2022-02-11T00:00:00"/>
  </r>
  <r>
    <s v="Fédération nationale des Caisses d'Epargne"/>
    <x v="0"/>
    <s v="No growth Potential"/>
    <x v="2"/>
    <x v="3"/>
    <s v="Paris"/>
    <n v="107490"/>
    <d v="2022-03-04T00:00:00"/>
    <n v="0"/>
    <d v="2022-02-06T00:00:00"/>
  </r>
  <r>
    <s v="METTLER-TOLEDO INTERNATIONAL INC"/>
    <x v="0"/>
    <s v="No growth Potential"/>
    <x v="2"/>
    <x v="3"/>
    <s v="TBD"/>
    <n v="56755"/>
    <s v="13-09-2022"/>
    <n v="0"/>
    <d v="2022-02-11T00:00:00"/>
  </r>
  <r>
    <s v="Armis"/>
    <x v="0"/>
    <s v="No growth Potential"/>
    <x v="2"/>
    <x v="3"/>
    <s v="TBD"/>
    <n v="41019"/>
    <s v="23-09-2022"/>
    <n v="0"/>
    <d v="2022-02-11T00:00:00"/>
  </r>
  <r>
    <s v="Money Globe"/>
    <x v="0"/>
    <s v="No growth Potential"/>
    <x v="2"/>
    <x v="3"/>
    <s v="TBD"/>
    <n v="230262"/>
    <s v="24-08-2022"/>
    <n v="0"/>
    <d v="2022-02-11T00:00:00"/>
  </r>
  <r>
    <s v="CFAO Group"/>
    <x v="0"/>
    <s v="No growth Potential"/>
    <x v="2"/>
    <x v="3"/>
    <s v="TBD"/>
    <n v="69897"/>
    <s v="23-09-2022"/>
    <n v="0"/>
    <d v="2022-02-11T00:00:00"/>
  </r>
  <r>
    <s v="Voyci"/>
    <x v="0"/>
    <s v="No growth Potential"/>
    <x v="2"/>
    <x v="3"/>
    <s v="TBD"/>
    <n v="89785"/>
    <s v="23-09-2022"/>
    <n v="0"/>
    <d v="2022-02-11T00:00:00"/>
  </r>
  <r>
    <s v="Animaute"/>
    <x v="0"/>
    <s v="No growth Potential"/>
    <x v="2"/>
    <x v="3"/>
    <s v="TBD"/>
    <n v="40187"/>
    <s v="13-03-2022"/>
    <n v="0"/>
    <d v="2022-02-05T00:00:00"/>
  </r>
  <r>
    <s v="Siyour"/>
    <x v="0"/>
    <s v="No growth Potential"/>
    <x v="2"/>
    <x v="3"/>
    <s v="TBD"/>
    <n v="45781"/>
    <s v="23-09-2022"/>
    <n v="0"/>
    <d v="2022-02-11T00:00:00"/>
  </r>
  <r>
    <s v="Datafirst"/>
    <x v="0"/>
    <s v="No growth Potential"/>
    <x v="2"/>
    <x v="3"/>
    <s v="TBD"/>
    <n v="53143"/>
    <s v="24-12-2021"/>
    <n v="0"/>
    <d v="2022-02-02T00:00:00"/>
  </r>
  <r>
    <s v="Maif"/>
    <x v="0"/>
    <s v="No growth Potential"/>
    <x v="2"/>
    <x v="3"/>
    <s v="TBD"/>
    <n v="100224"/>
    <d v="2022-03-01T00:00:00"/>
    <n v="0"/>
    <d v="2022-02-02T00:00:00"/>
  </r>
  <r>
    <s v="BWC"/>
    <x v="0"/>
    <s v="No growth Potential"/>
    <x v="2"/>
    <x v="3"/>
    <s v="Vias"/>
    <n v="71809"/>
    <d v="2022-03-09T00:00:00"/>
    <n v="0"/>
    <d v="2022-02-11T00:00:00"/>
  </r>
  <r>
    <s v="Le Centre hospitalier Camille Claudel"/>
    <x v="0"/>
    <s v="No growth Potential"/>
    <x v="2"/>
    <x v="3"/>
    <s v="TBD"/>
    <n v="153362"/>
    <d v="2023-02-04T00:00:00"/>
    <n v="0"/>
    <d v="2023-02-05T00:00:00"/>
  </r>
  <r>
    <s v="Eleven Labs"/>
    <x v="0"/>
    <s v="No growth Potential"/>
    <x v="2"/>
    <x v="3"/>
    <s v="TBD"/>
    <n v="86532"/>
    <s v="23-08-2022"/>
    <n v="0"/>
    <d v="2022-02-09T00:00:00"/>
  </r>
  <r>
    <s v="André"/>
    <x v="0"/>
    <s v="No growth Potential"/>
    <x v="2"/>
    <x v="3"/>
    <s v="Paris"/>
    <n v="99989"/>
    <s v="23-09-2022"/>
    <n v="0"/>
    <d v="2022-02-11T00:00:00"/>
  </r>
  <r>
    <s v="HTL Ottakring"/>
    <x v="0"/>
    <s v="No growth Potential"/>
    <x v="2"/>
    <x v="9"/>
    <s v="TBD"/>
    <n v="90291"/>
    <s v="13-07-2022"/>
    <n v="0"/>
    <d v="2022-02-08T00:00:00"/>
  </r>
  <r>
    <s v="Centre Hospitalier de Dax-Côte d'Argent"/>
    <x v="0"/>
    <s v="No growth Potential"/>
    <x v="2"/>
    <x v="3"/>
    <s v="Dax"/>
    <n v="74762"/>
    <d v="2023-03-01T00:00:00"/>
    <n v="0"/>
    <d v="2023-02-02T00:00:00"/>
  </r>
  <r>
    <s v="Teezily"/>
    <x v="0"/>
    <s v="No growth Potential"/>
    <x v="2"/>
    <x v="3"/>
    <s v="TBD"/>
    <n v="33645"/>
    <s v="23-10-2022"/>
    <n v="0"/>
    <d v="2022-02-11T00:00:00"/>
  </r>
  <r>
    <s v="MySam"/>
    <x v="0"/>
    <s v="No growth Potential"/>
    <x v="2"/>
    <x v="3"/>
    <s v="Albi"/>
    <n v="67064"/>
    <s v="23-03-2022"/>
    <n v="0"/>
    <d v="2022-02-04T00:00:00"/>
  </r>
  <r>
    <s v="Daher"/>
    <x v="0"/>
    <s v="No growth Potential"/>
    <x v="2"/>
    <x v="3"/>
    <s v="TBD"/>
    <n v="52327"/>
    <d v="2021-04-12T00:00:00"/>
    <n v="0"/>
    <d v="2022-02-02T00:00:00"/>
  </r>
  <r>
    <s v="LANXESS S.A.S."/>
    <x v="0"/>
    <s v="No growth Potential"/>
    <x v="2"/>
    <x v="3"/>
    <s v="Courbevoie Cedex"/>
    <n v="61835"/>
    <d v="2022-03-09T00:00:00"/>
    <n v="0"/>
    <d v="2022-02-11T00:00:00"/>
  </r>
  <r>
    <s v="Qos Energy"/>
    <x v="0"/>
    <s v="No growth Potential"/>
    <x v="2"/>
    <x v="3"/>
    <s v="TBD"/>
    <n v="170893"/>
    <d v="2022-03-09T00:00:00"/>
    <n v="0"/>
    <d v="2022-02-11T00:00:00"/>
  </r>
  <r>
    <s v="Adents High Tech International"/>
    <x v="0"/>
    <s v="No growth Potential"/>
    <x v="2"/>
    <x v="3"/>
    <s v="TBD"/>
    <n v="107238"/>
    <d v="2021-02-12T00:00:00"/>
    <n v="0"/>
    <d v="2022-01-01T00:00:00"/>
  </r>
  <r>
    <s v="Sofidel France Sas"/>
    <x v="0"/>
    <s v="No growth Potential"/>
    <x v="2"/>
    <x v="3"/>
    <s v="Frouard"/>
    <n v="113524"/>
    <s v="24-08-2022"/>
    <n v="0"/>
    <d v="2022-02-11T00:00:00"/>
  </r>
  <r>
    <s v="Les Petits Débrouillards"/>
    <x v="0"/>
    <s v="No growth Potential"/>
    <x v="2"/>
    <x v="3"/>
    <s v="TBD"/>
    <n v="23061"/>
    <s v="23-08-2021"/>
    <n v="0"/>
    <d v="2021-02-10T00:00:00"/>
  </r>
  <r>
    <s v="Hilton"/>
    <x v="0"/>
    <s v="No growth Potential"/>
    <x v="2"/>
    <x v="3"/>
    <s v="TBD"/>
    <n v="67783"/>
    <s v="23-09-2022"/>
    <n v="0"/>
    <d v="2022-02-11T00:00:00"/>
  </r>
  <r>
    <s v="Kids and crea"/>
    <x v="0"/>
    <s v="No growth Potential"/>
    <x v="2"/>
    <x v="3"/>
    <s v="Ile-de-France"/>
    <n v="32925"/>
    <s v="13-04-2022"/>
    <n v="0"/>
    <d v="2022-02-06T00:00:00"/>
  </r>
  <r>
    <s v="Socara E.LeClerc"/>
    <x v="0"/>
    <s v="No growth Potential"/>
    <x v="2"/>
    <x v="3"/>
    <s v="TBD"/>
    <n v="74226"/>
    <s v="23-03-2022"/>
    <n v="0"/>
    <d v="2022-02-04T00:00:00"/>
  </r>
  <r>
    <s v="Duqueine"/>
    <x v="0"/>
    <s v="No growth Potential"/>
    <x v="2"/>
    <x v="3"/>
    <s v="TBD"/>
    <n v="43899"/>
    <s v="13-10-2022"/>
    <n v="0"/>
    <d v="2022-02-11T00:00:00"/>
  </r>
  <r>
    <s v="KEPLER CHEUVREUX"/>
    <x v="0"/>
    <s v="No growth Potential"/>
    <x v="2"/>
    <x v="8"/>
    <s v="LONDON"/>
    <n v="45784"/>
    <d v="2022-03-09T00:00:00"/>
    <n v="0"/>
    <d v="2022-02-11T00:00:00"/>
  </r>
  <r>
    <s v="Sampleo"/>
    <x v="0"/>
    <s v="No growth Potential"/>
    <x v="2"/>
    <x v="3"/>
    <s v="TBD"/>
    <n v="32925"/>
    <s v="24-11-2021"/>
    <n v="0"/>
    <d v="2022-02-02T00:00:00"/>
  </r>
  <r>
    <s v="IFIVE"/>
    <x v="0"/>
    <s v="No growth Potential"/>
    <x v="2"/>
    <x v="3"/>
    <s v="Paris"/>
    <n v="118645"/>
    <s v="23-10-2022"/>
    <n v="0"/>
    <d v="2022-02-11T00:00:00"/>
  </r>
  <r>
    <s v="Bewide"/>
    <x v="0"/>
    <s v="No growth Potential"/>
    <x v="2"/>
    <x v="3"/>
    <s v="TBD"/>
    <n v="24240"/>
    <s v="24-08-2022"/>
    <n v="0"/>
    <d v="2022-02-11T00:00:00"/>
  </r>
  <r>
    <s v="OffiSanté"/>
    <x v="0"/>
    <s v="No growth Potential"/>
    <x v="2"/>
    <x v="3"/>
    <s v="Paris"/>
    <m/>
    <d v="2022-03-04T00:00:00"/>
    <n v="0"/>
    <d v="2022-02-06T00:00:00"/>
  </r>
  <r>
    <s v="Arelis"/>
    <x v="0"/>
    <s v="No growth Potential"/>
    <x v="2"/>
    <x v="3"/>
    <s v="TBD"/>
    <n v="135026"/>
    <s v="23-09-2022"/>
    <n v="0"/>
    <d v="2022-02-11T00:00:00"/>
  </r>
  <r>
    <s v="Alloga France"/>
    <x v="0"/>
    <s v="No growth Potential"/>
    <x v="2"/>
    <x v="3"/>
    <s v="TBD"/>
    <n v="80088"/>
    <s v="23-05-2022"/>
    <n v="0"/>
    <d v="2022-02-06T00:00:00"/>
  </r>
  <r>
    <s v="Opticeo"/>
    <x v="0"/>
    <s v="No growth Potential"/>
    <x v="2"/>
    <x v="3"/>
    <s v="TBD"/>
    <m/>
    <s v="13-09-2022"/>
    <n v="0"/>
    <d v="2022-02-11T00:00:00"/>
  </r>
  <r>
    <s v="Crouzet"/>
    <x v="0"/>
    <s v="No growth Potential"/>
    <x v="2"/>
    <x v="3"/>
    <s v="TBD"/>
    <n v="96610"/>
    <d v="2022-03-10T00:00:00"/>
    <n v="0"/>
    <d v="2022-02-11T00:00:00"/>
  </r>
  <r>
    <s v="Exalog"/>
    <x v="0"/>
    <s v="No growth Potential"/>
    <x v="2"/>
    <x v="3"/>
    <s v="TBD"/>
    <n v="99320"/>
    <s v="22-12-2021"/>
    <n v="0"/>
    <d v="2022-02-03T00:00:00"/>
  </r>
  <r>
    <s v="GS2E"/>
    <x v="0"/>
    <s v="No growth Potential"/>
    <x v="2"/>
    <x v="3"/>
    <s v="TBD"/>
    <n v="143573"/>
    <s v="24-08-2022"/>
    <n v="0"/>
    <d v="2022-02-11T00:00:00"/>
  </r>
  <r>
    <s v="Monshowroom"/>
    <x v="0"/>
    <s v="No growth Potential"/>
    <x v="2"/>
    <x v="3"/>
    <s v="TBD"/>
    <n v="79321"/>
    <d v="2022-03-10T00:00:00"/>
    <n v="0"/>
    <d v="2022-02-11T00:00:00"/>
  </r>
  <r>
    <s v="Mediaco"/>
    <x v="0"/>
    <s v="No growth Potential"/>
    <x v="2"/>
    <x v="3"/>
    <s v="TBD"/>
    <n v="101400"/>
    <d v="2022-12-04T00:00:00"/>
    <n v="0"/>
    <d v="2022-02-05T00:00:00"/>
  </r>
  <r>
    <s v="Marché Privé"/>
    <x v="0"/>
    <s v="No growth Potential"/>
    <x v="2"/>
    <x v="3"/>
    <s v="TBD"/>
    <n v="49626"/>
    <s v="23-01-2022"/>
    <n v="0"/>
    <d v="2022-02-02T00:00:00"/>
  </r>
  <r>
    <s v="Cisbio Bioassays SAS"/>
    <x v="1"/>
    <s v="High Growth potential"/>
    <x v="2"/>
    <x v="3"/>
    <s v="Codolet"/>
    <n v="28516"/>
    <d v="2022-11-10T00:00:00"/>
    <n v="14258"/>
    <s v="20-11-2022"/>
  </r>
  <r>
    <s v="Freenet AG"/>
    <x v="0"/>
    <s v="No growth Potential"/>
    <x v="3"/>
    <x v="7"/>
    <s v="Duesseldorf"/>
    <m/>
    <s v="24-08-2022"/>
    <n v="0"/>
    <d v="2022-02-11T00:00:00"/>
  </r>
  <r>
    <s v="Netscreens"/>
    <x v="1"/>
    <s v="High Growth potential"/>
    <x v="3"/>
    <x v="7"/>
    <s v="Karlruhe"/>
    <n v="65099"/>
    <s v="25-10-2022"/>
    <n v="32549"/>
    <s v="14-11-2022"/>
  </r>
  <r>
    <s v="onOffice GmbH"/>
    <x v="1"/>
    <s v="Medium Growth"/>
    <x v="3"/>
    <x v="7"/>
    <s v="Aachen"/>
    <n v="324022"/>
    <s v="21-09-2022"/>
    <n v="54004"/>
    <s v="20-11-2022"/>
  </r>
  <r>
    <s v="Veridos GmbH"/>
    <x v="0"/>
    <s v="No growth Potential"/>
    <x v="3"/>
    <x v="7"/>
    <s v="Berlin"/>
    <n v="33520"/>
    <s v="24-08-2022"/>
    <n v="0"/>
    <d v="2022-02-11T00:00:00"/>
  </r>
  <r>
    <s v="Festo AG &amp; Co. KG"/>
    <x v="1"/>
    <s v="No growth Potential"/>
    <x v="3"/>
    <x v="7"/>
    <s v="Esslingen"/>
    <n v="45775"/>
    <s v="18-09-2022"/>
    <n v="22888"/>
    <s v="17-11-2022"/>
  </r>
  <r>
    <s v="Mercura GmbH"/>
    <x v="0"/>
    <s v="No growth Potential"/>
    <x v="3"/>
    <x v="10"/>
    <s v="Wil"/>
    <m/>
    <s v="13-05-2022"/>
    <n v="0"/>
    <d v="2022-02-07T00:00:00"/>
  </r>
  <r>
    <s v="B. Braun Melsungen AG"/>
    <x v="1"/>
    <s v="Medium Growth"/>
    <x v="3"/>
    <x v="7"/>
    <s v="Melsungen"/>
    <n v="93814"/>
    <d v="2022-09-05T00:00:00"/>
    <n v="46907"/>
    <d v="2022-08-06T00:00:00"/>
  </r>
  <r>
    <s v="EPCOS AG"/>
    <x v="1"/>
    <s v="Medium Growth"/>
    <x v="3"/>
    <x v="7"/>
    <s v="Munich"/>
    <n v="118364"/>
    <s v="15-09-2022"/>
    <n v="59182"/>
    <s v="14-11-2022"/>
  </r>
  <r>
    <s v="Sonova AG"/>
    <x v="0"/>
    <s v="No growth Potential"/>
    <x v="3"/>
    <x v="10"/>
    <s v="Stäfa"/>
    <m/>
    <d v="2022-03-06T00:00:00"/>
    <n v="0"/>
    <s v="23-06-2022"/>
  </r>
  <r>
    <s v="Endress+Hauser InfoServe GmbH + Co. KG"/>
    <x v="1"/>
    <s v="No growth Potential"/>
    <x v="3"/>
    <x v="7"/>
    <s v="Weil am Rhein"/>
    <n v="174750"/>
    <s v="18-08-2022"/>
    <n v="10922"/>
    <s v="17-10-2022"/>
  </r>
  <r>
    <s v="NOTEBOOKSBILLIGER.DE AG"/>
    <x v="1"/>
    <s v="Medium Growth"/>
    <x v="3"/>
    <x v="7"/>
    <s v="Sarstedt"/>
    <n v="45792"/>
    <d v="2022-11-09T00:00:00"/>
    <n v="4163"/>
    <s v="20-11-2022"/>
  </r>
  <r>
    <s v="TecAlliance GmbH"/>
    <x v="0"/>
    <s v="No growth Potential"/>
    <x v="3"/>
    <x v="7"/>
    <s v="Köln"/>
    <m/>
    <d v="2022-06-07T00:00:00"/>
    <n v="0"/>
    <d v="2022-05-08T00:00:00"/>
  </r>
  <r>
    <s v="BYK-Gardner GmbH"/>
    <x v="0"/>
    <s v="No growth Potential"/>
    <x v="3"/>
    <x v="7"/>
    <s v="Geretsried"/>
    <n v="35470"/>
    <s v="23-05-2022"/>
    <n v="0"/>
    <d v="2022-02-06T00:00:00"/>
  </r>
  <r>
    <s v="umlaut communications GmbH"/>
    <x v="1"/>
    <s v="Medium Growth"/>
    <x v="3"/>
    <x v="7"/>
    <s v="Aachen"/>
    <n v="141076"/>
    <d v="2022-07-04T00:00:00"/>
    <n v="10077"/>
    <s v="17-04-2022"/>
  </r>
  <r>
    <s v="Continum AG"/>
    <x v="0"/>
    <s v="No growth Potential"/>
    <x v="3"/>
    <x v="7"/>
    <s v="Freiburg im Breisgau"/>
    <n v="56390"/>
    <s v="13-09-2022"/>
    <n v="0"/>
    <d v="2022-02-11T00:00:00"/>
  </r>
  <r>
    <s v="Giesecke &amp; Devrient GmbH"/>
    <x v="1"/>
    <s v="Medium Growth"/>
    <x v="3"/>
    <x v="7"/>
    <s v="Muenchen"/>
    <n v="69302"/>
    <s v="16-09-2022"/>
    <n v="34651"/>
    <d v="2022-05-11T00:00:00"/>
  </r>
  <r>
    <s v="KRONES AG"/>
    <x v="1"/>
    <s v="Medium Growth"/>
    <x v="3"/>
    <x v="7"/>
    <s v="Neutraubling"/>
    <n v="103226"/>
    <d v="2022-12-09T00:00:00"/>
    <n v="51613"/>
    <d v="2022-11-11T00:00:00"/>
  </r>
  <r>
    <s v="Giesecke+Devrient Professional Services GmbH"/>
    <x v="1"/>
    <s v="High Growth potential"/>
    <x v="3"/>
    <x v="7"/>
    <s v="München"/>
    <n v="51098"/>
    <s v="18-05-2022"/>
    <n v="25549"/>
    <s v="17-06-2022"/>
  </r>
  <r>
    <s v="OTTO Office GmbH &amp; Co KG"/>
    <x v="1"/>
    <s v="Medium Growth"/>
    <x v="3"/>
    <x v="7"/>
    <s v="Hamburg"/>
    <n v="72252"/>
    <s v="24-09-2022"/>
    <n v="8028"/>
    <s v="23-11-2022"/>
  </r>
  <r>
    <s v="Viessmann IT Service GmbH"/>
    <x v="1"/>
    <s v="No growth Potential"/>
    <x v="3"/>
    <x v="7"/>
    <s v="Allendorf (Eder)"/>
    <n v="94837"/>
    <s v="23-06-2022"/>
    <n v="47419"/>
    <s v="23-07-2022"/>
  </r>
  <r>
    <s v="Berner SE"/>
    <x v="1"/>
    <s v="High Growth potential"/>
    <x v="3"/>
    <x v="7"/>
    <s v="Künzelsau"/>
    <n v="45500"/>
    <s v="15-09-2022"/>
    <n v="22750"/>
    <s v="14-11-2022"/>
  </r>
  <r>
    <s v="Steinberg Media Technologies GmbH"/>
    <x v="1"/>
    <s v="Medium Growth"/>
    <x v="3"/>
    <x v="7"/>
    <s v="Hamburg"/>
    <n v="100811"/>
    <s v="28-12-2022"/>
    <n v="25203"/>
    <d v="2023-08-03T00:00:00"/>
  </r>
  <r>
    <s v="Altova GmbH"/>
    <x v="1"/>
    <s v="Medium Growth"/>
    <x v="3"/>
    <x v="9"/>
    <s v="Wien"/>
    <n v="98847"/>
    <s v="14-04-2022"/>
    <n v="49424"/>
    <s v="23-06-2022"/>
  </r>
  <r>
    <s v="Osram GmbH"/>
    <x v="1"/>
    <s v="Medium Growth"/>
    <x v="3"/>
    <x v="7"/>
    <s v="München"/>
    <n v="43900"/>
    <d v="2022-03-02T00:00:00"/>
    <n v="21950"/>
    <s v="14-04-2022"/>
  </r>
  <r>
    <s v="Detlev Louis Motorradvertriebs GmbH"/>
    <x v="0"/>
    <s v="No growth Potential"/>
    <x v="3"/>
    <x v="7"/>
    <s v="Hamburg"/>
    <m/>
    <s v="25-07-2021"/>
    <n v="0"/>
    <s v="13-09-2021"/>
  </r>
  <r>
    <s v="Doka GmbH"/>
    <x v="1"/>
    <s v="Medium Growth"/>
    <x v="3"/>
    <x v="9"/>
    <s v="Amstetten"/>
    <n v="77562"/>
    <d v="2022-12-03T00:00:00"/>
    <n v="38781"/>
    <d v="2022-11-04T00:00:00"/>
  </r>
  <r>
    <s v="SEW-EURODRIVE GmbH &amp; Co KG"/>
    <x v="1"/>
    <s v="Medium Growth"/>
    <x v="3"/>
    <x v="7"/>
    <s v="Bruchsal"/>
    <n v="126011"/>
    <d v="2022-09-10T00:00:00"/>
    <n v="11456"/>
    <d v="2022-08-11T00:00:00"/>
  </r>
  <r>
    <s v="Andritz AG"/>
    <x v="0"/>
    <s v="No growth Potential"/>
    <x v="3"/>
    <x v="9"/>
    <s v="Graz"/>
    <m/>
    <s v="13-11-2022"/>
    <n v="0"/>
    <s v="23-11-2022"/>
  </r>
  <r>
    <s v="Julius Blum GmbH"/>
    <x v="1"/>
    <s v="Medium Growth"/>
    <x v="3"/>
    <x v="9"/>
    <s v="Hoechst"/>
    <n v="72712"/>
    <s v="14-10-2022"/>
    <n v="18178"/>
    <s v="23-11-2022"/>
  </r>
  <r>
    <s v="Wirecard Technologies AG"/>
    <x v="1"/>
    <s v="No growth Potential"/>
    <x v="3"/>
    <x v="7"/>
    <s v="Aschheim"/>
    <n v="49486"/>
    <s v="26-05-2022"/>
    <n v="24743"/>
    <d v="2022-05-06T00:00:00"/>
  </r>
  <r>
    <s v="50Hertz Transmission GmbH"/>
    <x v="1"/>
    <s v="No growth Potential"/>
    <x v="3"/>
    <x v="7"/>
    <s v="Berlin"/>
    <n v="107231"/>
    <s v="16-09-2022"/>
    <n v="7149"/>
    <d v="2022-05-11T00:00:00"/>
  </r>
  <r>
    <s v="Getriebebau NORD GmbH &amp; Co. KG"/>
    <x v="1"/>
    <s v="Medium Growth"/>
    <x v="3"/>
    <x v="7"/>
    <s v="Bargteheide"/>
    <n v="130735"/>
    <s v="17-09-2022"/>
    <n v="26147"/>
    <s v="17-10-2022"/>
  </r>
  <r>
    <s v="Berentzen-Gruppe AG"/>
    <x v="0"/>
    <s v="No growth Potential"/>
    <x v="4"/>
    <x v="7"/>
    <s v="Haselünne"/>
    <n v="68851"/>
    <s v="23-10-2022"/>
    <n v="0"/>
    <d v="2022-02-11T00:00:00"/>
  </r>
  <r>
    <s v="Pretty Nail Shop 24 GmbH"/>
    <x v="0"/>
    <s v="No growth Potential"/>
    <x v="4"/>
    <x v="7"/>
    <s v="Tangstedt"/>
    <n v="143565"/>
    <s v="14-07-2022"/>
    <n v="0"/>
    <d v="2022-02-09T00:00:00"/>
  </r>
  <r>
    <s v="EWR AG"/>
    <x v="0"/>
    <s v="No growth Potential"/>
    <x v="4"/>
    <x v="7"/>
    <s v="TBD"/>
    <n v="83464"/>
    <s v="24-08-2022"/>
    <n v="0"/>
    <d v="2022-02-11T00:00:00"/>
  </r>
  <r>
    <s v="Hugendubel Digital GmbH &amp; Co."/>
    <x v="0"/>
    <s v="No growth Potential"/>
    <x v="4"/>
    <x v="7"/>
    <s v="Hamburg"/>
    <n v="70230"/>
    <s v="13-03-2023"/>
    <n v="0"/>
    <d v="2023-02-05T00:00:00"/>
  </r>
  <r>
    <s v="Gebr. Rochling"/>
    <x v="0"/>
    <s v="No growth Potential"/>
    <x v="4"/>
    <x v="7"/>
    <s v="Mannheim"/>
    <n v="70126"/>
    <s v="24-08-2022"/>
    <n v="0"/>
    <d v="2022-02-11T00:00:00"/>
  </r>
  <r>
    <s v="Eurocres"/>
    <x v="0"/>
    <s v="No growth Potential"/>
    <x v="4"/>
    <x v="7"/>
    <s v="Berlin"/>
    <n v="121681"/>
    <d v="2022-03-09T00:00:00"/>
    <n v="0"/>
    <d v="2022-02-11T00:00:00"/>
  </r>
  <r>
    <s v="Enviro Pack GmbH"/>
    <x v="0"/>
    <s v="No growth Potential"/>
    <x v="4"/>
    <x v="7"/>
    <s v="Haiger"/>
    <n v="49626"/>
    <s v="14-07-2022"/>
    <n v="0"/>
    <d v="2022-02-09T00:00:00"/>
  </r>
  <r>
    <s v="Berlin Brandburg Flughafen GmbH"/>
    <x v="0"/>
    <s v="No growth Potential"/>
    <x v="4"/>
    <x v="7"/>
    <s v="Schæ®¥feld"/>
    <n v="61833"/>
    <s v="23-08-2022"/>
    <n v="0"/>
    <d v="2022-02-10T00:00:00"/>
  </r>
  <r>
    <s v="EPCOS AG - Duplicate"/>
    <x v="0"/>
    <s v="No growth Potential"/>
    <x v="4"/>
    <x v="7"/>
    <s v="München"/>
    <n v="88227"/>
    <s v="24-03-2023"/>
    <n v="0"/>
    <d v="2023-02-06T00:00:00"/>
  </r>
  <r>
    <s v="City of Bayreuth"/>
    <x v="0"/>
    <s v="No growth Potential"/>
    <x v="4"/>
    <x v="7"/>
    <s v="Bayreuth"/>
    <n v="71090"/>
    <s v="23-08-2022"/>
    <n v="0"/>
    <d v="2022-02-10T00:00:00"/>
  </r>
  <r>
    <s v="Stadt Wien ? Wiener Krankenanstaltenverbund"/>
    <x v="0"/>
    <s v="No growth Potential"/>
    <x v="4"/>
    <x v="9"/>
    <s v="Wien"/>
    <n v="69958"/>
    <d v="2022-01-01T00:00:00"/>
    <n v="0"/>
    <d v="2022-02-03T00:00:00"/>
  </r>
  <r>
    <s v="EISMANN"/>
    <x v="0"/>
    <s v="No growth Potential"/>
    <x v="4"/>
    <x v="0"/>
    <s v="Barcelona"/>
    <n v="70912"/>
    <s v="24-08-2022"/>
    <n v="0"/>
    <d v="2022-02-11T00:00:00"/>
  </r>
  <r>
    <s v="Postnord Logistics GmbH"/>
    <x v="0"/>
    <s v="No growth Potential"/>
    <x v="4"/>
    <x v="7"/>
    <s v="Lübeck-Travemünde"/>
    <n v="40198"/>
    <s v="13-10-2022"/>
    <n v="0"/>
    <d v="2022-02-11T00:00:00"/>
  </r>
  <r>
    <s v="Handelsgruppe Service GmbH &amp; Co. KG"/>
    <x v="0"/>
    <s v="No growth Potential"/>
    <x v="4"/>
    <x v="7"/>
    <s v="Siegburg"/>
    <n v="111102"/>
    <s v="24-11-2021"/>
    <n v="0"/>
    <d v="2022-02-02T00:00:00"/>
  </r>
  <r>
    <s v="Liebherr-International Deutschland GmbH"/>
    <x v="0"/>
    <s v="No growth Potential"/>
    <x v="4"/>
    <x v="7"/>
    <s v="Biberach an der Riss"/>
    <n v="47336"/>
    <s v="21-02-2023"/>
    <n v="0"/>
    <d v="2023-02-04T00:00:00"/>
  </r>
  <r>
    <s v="Siewert &amp; Kau Computertechnik GmbH"/>
    <x v="0"/>
    <s v="No growth Potential"/>
    <x v="4"/>
    <x v="7"/>
    <s v="Bergheim"/>
    <n v="42246"/>
    <s v="13-10-2022"/>
    <n v="0"/>
    <d v="2022-02-12T00:00:00"/>
  </r>
  <r>
    <s v="Knauf Gips KG"/>
    <x v="0"/>
    <s v="No growth Potential"/>
    <x v="4"/>
    <x v="7"/>
    <s v="Iphofen"/>
    <n v="154075"/>
    <s v="20-02-2022"/>
    <n v="0"/>
    <d v="2022-02-03T00:00:00"/>
  </r>
  <r>
    <s v="Frontline GmbH"/>
    <x v="0"/>
    <s v="No growth Potential"/>
    <x v="4"/>
    <x v="7"/>
    <s v="Hamburg"/>
    <n v="127420"/>
    <s v="13-10-2022"/>
    <n v="0"/>
    <d v="2022-02-11T00:00:00"/>
  </r>
  <r>
    <s v="ag.supply GmbH"/>
    <x v="0"/>
    <s v="No growth Potential"/>
    <x v="4"/>
    <x v="7"/>
    <s v="TBD"/>
    <n v="228068"/>
    <d v="2021-03-12T00:00:00"/>
    <n v="0"/>
    <d v="2022-02-01T00:00:00"/>
  </r>
  <r>
    <s v="City Velbert"/>
    <x v="0"/>
    <s v="No growth Potential"/>
    <x v="4"/>
    <x v="7"/>
    <s v="Velbert"/>
    <n v="58021"/>
    <s v="23-09-2022"/>
    <n v="0"/>
    <d v="2022-02-11T00:00:00"/>
  </r>
  <r>
    <s v="omx.ch"/>
    <x v="0"/>
    <s v="No growth Potential"/>
    <x v="4"/>
    <x v="10"/>
    <s v="TBD"/>
    <n v="154835"/>
    <s v="23-09-2022"/>
    <n v="0"/>
    <d v="2022-02-11T00:00:00"/>
  </r>
  <r>
    <s v="easyfeedback GmbH"/>
    <x v="0"/>
    <s v="No growth Potential"/>
    <x v="4"/>
    <x v="7"/>
    <s v="Koblenz"/>
    <n v="33520"/>
    <s v="23-01-2022"/>
    <n v="0"/>
    <d v="2022-02-02T00:00:00"/>
  </r>
  <r>
    <s v="Head HTM Sport- und Freizeitgeraete AG"/>
    <x v="0"/>
    <s v="No growth Potential"/>
    <x v="4"/>
    <x v="9"/>
    <s v="SCHWECHAT"/>
    <n v="63437"/>
    <s v="22-12-2021"/>
    <n v="0"/>
    <d v="2022-02-03T00:00:00"/>
  </r>
  <r>
    <s v="GAXWEB E-COMMERCE + CROSS COMMUNICATIONS"/>
    <x v="0"/>
    <s v="No growth Potential"/>
    <x v="4"/>
    <x v="7"/>
    <s v="Karlsruhe"/>
    <n v="37979"/>
    <s v="13-10-2022"/>
    <n v="0"/>
    <d v="2022-02-11T00:00:00"/>
  </r>
  <r>
    <s v="ADVA Optical Networking SE"/>
    <x v="0"/>
    <s v="No growth Potential"/>
    <x v="4"/>
    <x v="7"/>
    <s v="Martinsried/Munich"/>
    <n v="126347"/>
    <d v="2022-03-09T00:00:00"/>
    <n v="0"/>
    <d v="2022-02-11T00:00:00"/>
  </r>
  <r>
    <s v="Eurofighter Jagdflugzeug GmbH"/>
    <x v="0"/>
    <s v="No growth Potential"/>
    <x v="4"/>
    <x v="7"/>
    <s v="Hallbergmoos"/>
    <n v="63003"/>
    <s v="24-11-2022"/>
    <n v="0"/>
    <d v="2023-02-02T00:00:00"/>
  </r>
  <r>
    <s v="A-Z GartenHaus GmbH"/>
    <x v="0"/>
    <s v="No growth Potential"/>
    <x v="4"/>
    <x v="7"/>
    <s v="Hamburg"/>
    <n v="118629"/>
    <s v="13-05-2022"/>
    <n v="0"/>
    <d v="2022-02-06T00:00:00"/>
  </r>
  <r>
    <s v="Rollei GmbH &amp; Co. KG"/>
    <x v="0"/>
    <s v="No growth Potential"/>
    <x v="4"/>
    <x v="7"/>
    <s v="Norderstedt"/>
    <n v="72893"/>
    <s v="23-09-2022"/>
    <n v="0"/>
    <d v="2022-02-11T00:00:00"/>
  </r>
  <r>
    <s v="Escapio GmbH"/>
    <x v="0"/>
    <s v="No growth Potential"/>
    <x v="4"/>
    <x v="7"/>
    <s v="Berlin"/>
    <n v="111228"/>
    <d v="2022-03-03T00:00:00"/>
    <n v="0"/>
    <d v="2022-02-04T00:00:00"/>
  </r>
  <r>
    <s v="Bewotec GmbH"/>
    <x v="0"/>
    <s v="No growth Potential"/>
    <x v="4"/>
    <x v="7"/>
    <s v="Rösrath"/>
    <n v="76832"/>
    <d v="2022-03-10T00:00:00"/>
    <n v="0"/>
    <d v="2022-02-11T00:00:00"/>
  </r>
  <r>
    <s v="IBENA Textilwerke GmbH"/>
    <x v="0"/>
    <s v="No growth Potential"/>
    <x v="4"/>
    <x v="7"/>
    <s v="Rhede"/>
    <n v="143579"/>
    <s v="23-10-2022"/>
    <n v="0"/>
    <d v="2022-02-11T00:00:00"/>
  </r>
  <r>
    <s v="GÖDE Holding GmbH &amp; Co. KG"/>
    <x v="0"/>
    <s v="No growth Potential"/>
    <x v="4"/>
    <x v="7"/>
    <s v="Waldaschaff"/>
    <n v="30393"/>
    <s v="13-09-2022"/>
    <n v="0"/>
    <d v="2022-02-11T00:00:00"/>
  </r>
  <r>
    <s v="Hess Natur -Textilien GmbH"/>
    <x v="0"/>
    <s v="No growth Potential"/>
    <x v="4"/>
    <x v="7"/>
    <s v="Butzbach"/>
    <n v="804709"/>
    <d v="2022-12-06T00:00:00"/>
    <n v="0"/>
    <d v="2022-02-07T00:00:00"/>
  </r>
  <r>
    <s v="Bottomline Technologies Inc. Switzerland"/>
    <x v="0"/>
    <s v="No growth Potential"/>
    <x v="4"/>
    <x v="10"/>
    <s v="Generva"/>
    <n v="48456"/>
    <d v="2023-01-02T00:00:00"/>
    <n v="0"/>
    <d v="2023-02-04T00:00:00"/>
  </r>
  <r>
    <s v="Cobana Fruchtring GmbH &amp; Co. KG"/>
    <x v="0"/>
    <s v="No growth Potential"/>
    <x v="4"/>
    <x v="7"/>
    <s v="Hamburg"/>
    <n v="112690"/>
    <d v="2022-01-02T00:00:00"/>
    <n v="0"/>
    <d v="2022-02-04T00:00:00"/>
  </r>
  <r>
    <s v="Losinger Marazzi"/>
    <x v="0"/>
    <s v="No growth Potential"/>
    <x v="4"/>
    <x v="10"/>
    <s v="Bern"/>
    <n v="43896"/>
    <d v="2022-03-09T00:00:00"/>
    <n v="0"/>
    <d v="2022-02-11T00:00:00"/>
  </r>
  <r>
    <s v="Flughafen Stuttgart Gesellschaft mit beschränkter Haftung"/>
    <x v="0"/>
    <s v="No growth Potential"/>
    <x v="4"/>
    <x v="7"/>
    <s v="Stuttgart"/>
    <n v="98316"/>
    <s v="24-03-2022"/>
    <n v="0"/>
    <d v="2022-02-06T00:00:00"/>
  </r>
  <r>
    <s v="AUCOTEAM"/>
    <x v="0"/>
    <s v="No growth Potential"/>
    <x v="4"/>
    <x v="7"/>
    <s v="Berlin"/>
    <n v="404413"/>
    <s v="24-08-2022"/>
    <n v="0"/>
    <d v="2022-02-11T00:00:00"/>
  </r>
  <r>
    <s v="Gourmondo GmbH"/>
    <x v="0"/>
    <s v="No growth Potential"/>
    <x v="4"/>
    <x v="7"/>
    <s v="Schwalmstadt - Trutzhain"/>
    <n v="42234"/>
    <s v="24-08-2022"/>
    <n v="0"/>
    <d v="2022-02-11T00:00:00"/>
  </r>
  <r>
    <s v="Carl Zeiss AG"/>
    <x v="1"/>
    <s v="Medium Growth"/>
    <x v="4"/>
    <x v="7"/>
    <s v="Oberkochen"/>
    <n v="143555"/>
    <s v="29-01-2022"/>
    <n v="17944"/>
    <d v="2022-08-02T00:00:00"/>
  </r>
  <r>
    <s v="Amundi Pioneer"/>
    <x v="0"/>
    <s v="No growth Potential"/>
    <x v="4"/>
    <x v="9"/>
    <s v="TBD"/>
    <n v="158784"/>
    <s v="23-09-2022"/>
    <n v="0"/>
    <d v="2022-02-11T00:00:00"/>
  </r>
  <r>
    <s v="Cheops Informatik AG"/>
    <x v="0"/>
    <s v="No growth Potential"/>
    <x v="4"/>
    <x v="10"/>
    <s v="TBD"/>
    <n v="270419"/>
    <d v="2023-03-01T00:00:00"/>
    <n v="0"/>
    <d v="2023-02-02T00:00:00"/>
  </r>
  <r>
    <s v="Itellium Systems &amp; Services GmbH"/>
    <x v="0"/>
    <s v="No growth Potential"/>
    <x v="4"/>
    <x v="7"/>
    <s v="Essen"/>
    <n v="70043"/>
    <d v="2022-03-09T00:00:00"/>
    <n v="0"/>
    <d v="2022-02-11T00:00:00"/>
  </r>
  <r>
    <s v="HolzLand GmbH"/>
    <x v="0"/>
    <s v="No growth Potential"/>
    <x v="4"/>
    <x v="7"/>
    <s v="Dortmund"/>
    <n v="189646"/>
    <d v="2022-03-04T00:00:00"/>
    <n v="0"/>
    <d v="2022-02-06T00:00:00"/>
  </r>
  <r>
    <s v="Bühler Barth GmbH"/>
    <x v="0"/>
    <s v="No growth Potential"/>
    <x v="4"/>
    <x v="7"/>
    <s v="Freiberg am Neckar"/>
    <n v="323942"/>
    <s v="24-07-2022"/>
    <n v="0"/>
    <d v="2022-02-09T00:00:00"/>
  </r>
  <r>
    <s v="KION GROUP GmbH"/>
    <x v="1"/>
    <s v="Medium Growth"/>
    <x v="4"/>
    <x v="7"/>
    <s v="Wiesbaden"/>
    <n v="141978"/>
    <d v="2022-03-11T00:00:00"/>
    <n v="70989"/>
    <s v="23-11-2022"/>
  </r>
  <r>
    <s v="Your Secure Cloud GmbH"/>
    <x v="0"/>
    <s v="No growth Potential"/>
    <x v="4"/>
    <x v="7"/>
    <s v="Nürnberg"/>
    <n v="195611"/>
    <s v="23-09-2022"/>
    <n v="0"/>
    <d v="2022-02-11T00:00:00"/>
  </r>
  <r>
    <s v="Haribo GmbH &amp; Co KG"/>
    <x v="0"/>
    <s v="No growth Potential"/>
    <x v="4"/>
    <x v="7"/>
    <s v="Bonn"/>
    <n v="340449"/>
    <s v="23-01-2022"/>
    <n v="0"/>
    <d v="2022-02-02T00:00:00"/>
  </r>
  <r>
    <s v="BRITA GmbH"/>
    <x v="0"/>
    <s v="No growth Potential"/>
    <x v="4"/>
    <x v="7"/>
    <s v="Taunusstein"/>
    <n v="180897"/>
    <s v="23-10-2022"/>
    <n v="0"/>
    <d v="2022-02-11T00:00:00"/>
  </r>
  <r>
    <s v="Schott AG"/>
    <x v="1"/>
    <s v="Medium Growth"/>
    <x v="4"/>
    <x v="7"/>
    <s v="Mainz"/>
    <n v="107231"/>
    <s v="27-08-2022"/>
    <n v="53615"/>
    <d v="2022-05-11T00:00:00"/>
  </r>
  <r>
    <s v="Veritas AG"/>
    <x v="0"/>
    <s v="No growth Potential"/>
    <x v="4"/>
    <x v="7"/>
    <s v="Gelnhausen"/>
    <n v="304640"/>
    <d v="2022-03-04T00:00:00"/>
    <n v="0"/>
    <d v="2022-02-06T00:00:00"/>
  </r>
  <r>
    <s v="Philipps-Universität Marburg"/>
    <x v="0"/>
    <s v="No growth Potential"/>
    <x v="4"/>
    <x v="7"/>
    <s v="Marburg"/>
    <n v="42218"/>
    <d v="2021-02-11T00:00:00"/>
    <n v="0"/>
    <d v="2021-02-12T00:00:00"/>
  </r>
  <r>
    <s v="Regio Energie Solothurn"/>
    <x v="0"/>
    <s v="No growth Potential"/>
    <x v="4"/>
    <x v="10"/>
    <s v="Solothurn"/>
    <n v="262297"/>
    <s v="23-10-2022"/>
    <n v="0"/>
    <d v="2022-02-11T00:00:00"/>
  </r>
  <r>
    <s v="HAHN+KOLB Werkzeuge GmbH"/>
    <x v="0"/>
    <s v="No growth Potential"/>
    <x v="4"/>
    <x v="7"/>
    <s v="Ludwigsburg"/>
    <n v="270461"/>
    <s v="24-08-2022"/>
    <n v="0"/>
    <d v="2022-02-11T00:00:00"/>
  </r>
  <r>
    <s v="IBZ"/>
    <x v="0"/>
    <s v="No growth Potential"/>
    <x v="4"/>
    <x v="10"/>
    <s v="TBD"/>
    <n v="121657"/>
    <s v="13-09-2022"/>
    <n v="0"/>
    <d v="2022-02-11T00:00:00"/>
  </r>
  <r>
    <s v="Design3000"/>
    <x v="0"/>
    <s v="No growth Potential"/>
    <x v="4"/>
    <x v="7"/>
    <s v="Erbach"/>
    <n v="421991"/>
    <d v="2022-03-10T00:00:00"/>
    <n v="0"/>
    <d v="2022-02-11T00:00:00"/>
  </r>
  <r>
    <s v="Radisson Blu"/>
    <x v="0"/>
    <s v="No growth Potential"/>
    <x v="4"/>
    <x v="7"/>
    <s v="TBD"/>
    <n v="120899"/>
    <d v="2021-04-12T00:00:00"/>
    <n v="0"/>
    <d v="2022-02-02T00:00:00"/>
  </r>
  <r>
    <s v="Ulla Popken GmbH"/>
    <x v="1"/>
    <s v="High Growth potential"/>
    <x v="4"/>
    <x v="7"/>
    <s v="Rastede"/>
    <n v="155785"/>
    <d v="2022-02-03T00:00:00"/>
    <n v="77892"/>
    <d v="2022-11-04T00:00:00"/>
  </r>
  <r>
    <s v="CASIO Europe GmbH"/>
    <x v="0"/>
    <s v="No growth Potential"/>
    <x v="4"/>
    <x v="7"/>
    <s v="Norderstedt"/>
    <n v="686067"/>
    <s v="23-09-2022"/>
    <n v="0"/>
    <d v="2022-02-11T00:00:00"/>
  </r>
  <r>
    <s v="BAA Boysen exhaust systems Achim GmbH &amp; Co. KG"/>
    <x v="0"/>
    <s v="No growth Potential"/>
    <x v="4"/>
    <x v="7"/>
    <s v="Achim"/>
    <n v="57380"/>
    <s v="20-02-2023"/>
    <n v="0"/>
    <d v="2023-02-03T00:00:00"/>
  </r>
  <r>
    <s v="Habermaass GmbH"/>
    <x v="0"/>
    <s v="No growth Potential"/>
    <x v="4"/>
    <x v="7"/>
    <s v="Bad Rodach"/>
    <n v="250938"/>
    <s v="14-12-2021"/>
    <n v="0"/>
    <d v="2022-02-02T00:00:00"/>
  </r>
  <r>
    <s v="GAZPROM Germania GmbH"/>
    <x v="0"/>
    <s v="No growth Potential"/>
    <x v="4"/>
    <x v="7"/>
    <s v="Berlin"/>
    <n v="211472"/>
    <s v="13-12-2022"/>
    <n v="0"/>
    <d v="2023-02-01T00:00:00"/>
  </r>
  <r>
    <s v="LR Health &amp; Beauty Systems"/>
    <x v="0"/>
    <s v="No growth Potential"/>
    <x v="4"/>
    <x v="7"/>
    <s v="TBD"/>
    <n v="177791"/>
    <s v="23-05-2022"/>
    <n v="0"/>
    <d v="2022-02-06T00:00:00"/>
  </r>
  <r>
    <s v="G DATA CyberDefense AG"/>
    <x v="1"/>
    <s v="Medium Growth"/>
    <x v="4"/>
    <x v="7"/>
    <s v="Bochum"/>
    <n v="301094"/>
    <d v="2022-08-10T00:00:00"/>
    <n v="150547"/>
    <s v="17-11-2022"/>
  </r>
  <r>
    <s v="KSB SE &amp; Co. KGaA"/>
    <x v="1"/>
    <s v="Medium Growth"/>
    <x v="4"/>
    <x v="7"/>
    <s v="Frankenthal (Pfalz)"/>
    <n v="217224"/>
    <s v="13-04-2023"/>
    <n v="108612"/>
    <s v="23-04-2023"/>
  </r>
  <r>
    <s v="Komax AG"/>
    <x v="0"/>
    <s v="No growth Potential"/>
    <x v="4"/>
    <x v="10"/>
    <s v="Dierikon"/>
    <n v="434352"/>
    <s v="13-03-2022"/>
    <n v="0"/>
    <d v="2022-02-04T00:00:00"/>
  </r>
  <r>
    <s v="Harro Höfliger Verpackungsmaschinen GmbH"/>
    <x v="0"/>
    <s v="No growth Potential"/>
    <x v="4"/>
    <x v="7"/>
    <s v="Allmersbach im Tal"/>
    <n v="373568"/>
    <s v="14-12-2021"/>
    <n v="0"/>
    <d v="2022-02-02T00:00:00"/>
  </r>
  <r>
    <s v="University of Lausanne"/>
    <x v="0"/>
    <s v="No growth Potential"/>
    <x v="4"/>
    <x v="10"/>
    <s v="TBD"/>
    <n v="429547"/>
    <d v="2023-01-02T00:00:00"/>
    <n v="0"/>
    <d v="2023-02-04T00:00:00"/>
  </r>
  <r>
    <s v="Dehn &amp; Sãohne Gmbh &amp; Co.Kg."/>
    <x v="0"/>
    <s v="No growth Potential"/>
    <x v="4"/>
    <x v="7"/>
    <s v="Neumarkt i.d.OPf."/>
    <n v="123309"/>
    <s v="24-08-2022"/>
    <n v="0"/>
    <d v="2022-02-11T00:00:00"/>
  </r>
  <r>
    <s v="Snipes SE"/>
    <x v="0"/>
    <s v="No growth Potential"/>
    <x v="4"/>
    <x v="7"/>
    <s v="Köln"/>
    <n v="105623"/>
    <s v="23-09-2022"/>
    <n v="0"/>
    <d v="2022-02-11T00:00:00"/>
  </r>
  <r>
    <s v="Fraport AG"/>
    <x v="1"/>
    <s v="Medium Growth"/>
    <x v="4"/>
    <x v="7"/>
    <s v="Frankfurt am Main"/>
    <n v="91198"/>
    <d v="2022-10-01T00:00:00"/>
    <n v="45599"/>
    <d v="2022-11-03T00:00:00"/>
  </r>
  <r>
    <s v="Kinopolis Management Multiplex GmbH"/>
    <x v="0"/>
    <s v="No growth Potential"/>
    <x v="4"/>
    <x v="7"/>
    <s v="Darmstadt"/>
    <n v="104884"/>
    <d v="2022-03-10T00:00:00"/>
    <n v="0"/>
    <d v="2022-02-12T00:00:00"/>
  </r>
  <r>
    <s v="AHT Fashion GmbH"/>
    <x v="0"/>
    <s v="No growth Potential"/>
    <x v="4"/>
    <x v="7"/>
    <s v="Xanten"/>
    <n v="136958"/>
    <d v="2022-03-04T00:00:00"/>
    <n v="0"/>
    <d v="2022-02-06T00:00:00"/>
  </r>
  <r>
    <s v="Fleurop AG"/>
    <x v="0"/>
    <s v="No growth Potential"/>
    <x v="4"/>
    <x v="7"/>
    <s v="Berlin"/>
    <n v="311132"/>
    <s v="23-10-2022"/>
    <n v="0"/>
    <d v="2022-02-11T00:00:00"/>
  </r>
  <r>
    <s v="FernUniversität in Hagen"/>
    <x v="0"/>
    <s v="No growth Potential"/>
    <x v="4"/>
    <x v="7"/>
    <s v="Hagen"/>
    <n v="88044"/>
    <s v="22-09-2021"/>
    <n v="0"/>
    <d v="2021-02-10T00:00:00"/>
  </r>
  <r>
    <s v="Wien Energie GmbH"/>
    <x v="0"/>
    <s v="No growth Potential"/>
    <x v="4"/>
    <x v="9"/>
    <s v="Wien"/>
    <n v="56404"/>
    <s v="24-08-2022"/>
    <n v="0"/>
    <d v="2022-02-11T00:00:00"/>
  </r>
  <r>
    <s v="mobile.de GmbH"/>
    <x v="1"/>
    <s v="Medium Growth"/>
    <x v="4"/>
    <x v="7"/>
    <s v="Kleinmachnow-Dreilinden"/>
    <n v="98846"/>
    <d v="2022-11-10T00:00:00"/>
    <n v="24712"/>
    <s v="20-11-2022"/>
  </r>
  <r>
    <s v="SOS Doctors Geneva"/>
    <x v="0"/>
    <s v="No growth Potential"/>
    <x v="4"/>
    <x v="10"/>
    <s v="TBD"/>
    <m/>
    <d v="2023-03-05T00:00:00"/>
    <n v="0"/>
    <d v="2023-02-06T00:00:00"/>
  </r>
  <r>
    <s v="Verpackung24 GmbH"/>
    <x v="0"/>
    <s v="No growth Potential"/>
    <x v="4"/>
    <x v="7"/>
    <s v="Reutlingen"/>
    <n v="57250"/>
    <s v="23-03-2022"/>
    <n v="0"/>
    <d v="2022-02-05T00:00:00"/>
  </r>
  <r>
    <s v="GC Großhandels Contor GmbH"/>
    <x v="0"/>
    <s v="No growth Potential"/>
    <x v="4"/>
    <x v="7"/>
    <s v="Bremen"/>
    <n v="107349"/>
    <d v="2022-03-08T00:00:00"/>
    <n v="0"/>
    <d v="2022-02-09T00:00:00"/>
  </r>
  <r>
    <s v="Marabu GmbH &amp; Co. KG"/>
    <x v="0"/>
    <s v="No growth Potential"/>
    <x v="4"/>
    <x v="7"/>
    <s v="Tamm"/>
    <n v="89785"/>
    <s v="13-01-2022"/>
    <n v="0"/>
    <d v="2022-02-02T00:00:00"/>
  </r>
  <r>
    <s v="Aktiv-Schuh Handelsgesellschaft mbH"/>
    <x v="0"/>
    <s v="No growth Potential"/>
    <x v="4"/>
    <x v="7"/>
    <s v="Berlin"/>
    <n v="315752"/>
    <s v="23-01-2023"/>
    <n v="0"/>
    <d v="2023-02-02T00:00:00"/>
  </r>
  <r>
    <s v="ÖBB-Business Competence Center GmbH"/>
    <x v="0"/>
    <s v="No growth Potential"/>
    <x v="4"/>
    <x v="9"/>
    <s v="Wien"/>
    <n v="197463"/>
    <s v="23-09-2022"/>
    <n v="0"/>
    <d v="2022-02-11T00:00:00"/>
  </r>
  <r>
    <s v="University of Basel"/>
    <x v="0"/>
    <s v="No growth Potential"/>
    <x v="4"/>
    <x v="10"/>
    <s v="TBD"/>
    <n v="97713"/>
    <d v="2023-01-02T00:00:00"/>
    <n v="0"/>
    <d v="2023-02-04T00:00:00"/>
  </r>
  <r>
    <s v="Hans Kupfer &amp; Sohn Gmbh &amp; Co. Kg"/>
    <x v="0"/>
    <s v="No growth Potential"/>
    <x v="4"/>
    <x v="7"/>
    <s v="Heilsbronn"/>
    <n v="217224"/>
    <d v="2022-03-01T00:00:00"/>
    <n v="0"/>
    <d v="2022-02-02T00:00:00"/>
  </r>
  <r>
    <s v="Energie AG Oberösterreich"/>
    <x v="0"/>
    <s v="No growth Potential"/>
    <x v="4"/>
    <x v="9"/>
    <s v="Linz"/>
    <n v="335001"/>
    <s v="23-09-2022"/>
    <n v="0"/>
    <d v="2022-02-11T00:00:00"/>
  </r>
  <r>
    <s v="Landeshauptstadt Wiesbaden"/>
    <x v="0"/>
    <s v="No growth Potential"/>
    <x v="4"/>
    <x v="7"/>
    <s v="Wiesbaden"/>
    <n v="141785"/>
    <s v="24-11-2021"/>
    <n v="0"/>
    <d v="2022-02-02T00:00:00"/>
  </r>
  <r>
    <s v="ZGONC Handel GmbH"/>
    <x v="0"/>
    <s v="No growth Potential"/>
    <x v="4"/>
    <x v="9"/>
    <s v="Wien"/>
    <n v="29747"/>
    <s v="13-07-2022"/>
    <n v="0"/>
    <d v="2022-02-08T00:00:00"/>
  </r>
  <r>
    <s v="STEAG GmbH"/>
    <x v="0"/>
    <s v="No growth Potential"/>
    <x v="4"/>
    <x v="7"/>
    <s v="Essen"/>
    <n v="83497"/>
    <s v="13-10-2022"/>
    <n v="0"/>
    <d v="2022-02-11T00:00:00"/>
  </r>
  <r>
    <s v="Hewlett Packard (Schweiz) GmbH"/>
    <x v="0"/>
    <s v="No growth Potential"/>
    <x v="4"/>
    <x v="10"/>
    <s v="Duebendorf"/>
    <m/>
    <d v="2022-02-09T00:00:00"/>
    <n v="0"/>
    <d v="2022-02-10T00:00:00"/>
  </r>
  <r>
    <s v="Ampegon"/>
    <x v="0"/>
    <s v="No growth Potential"/>
    <x v="4"/>
    <x v="10"/>
    <s v="TBD"/>
    <n v="69934"/>
    <s v="24-08-2022"/>
    <n v="0"/>
    <d v="2022-02-11T00:00:00"/>
  </r>
  <r>
    <s v="Vector Informatik GmbH"/>
    <x v="1"/>
    <s v="Medium Growth"/>
    <x v="4"/>
    <x v="7"/>
    <s v="Stuttgart"/>
    <n v="202550"/>
    <s v="27-11-2022"/>
    <n v="25319"/>
    <d v="2023-05-02T00:00:00"/>
  </r>
  <r>
    <s v="huelsta-werke Huels GmbH &amp; Co. KG"/>
    <x v="0"/>
    <s v="No growth Potential"/>
    <x v="4"/>
    <x v="7"/>
    <s v="Stadtlohn"/>
    <n v="30746"/>
    <d v="2022-02-06T00:00:00"/>
    <n v="0"/>
    <d v="2022-02-07T00:00:00"/>
  </r>
  <r>
    <s v="Bedag Informatik AG"/>
    <x v="0"/>
    <s v="No growth Potential"/>
    <x v="4"/>
    <x v="10"/>
    <s v="Bern"/>
    <n v="87557"/>
    <d v="2022-03-03T00:00:00"/>
    <n v="0"/>
    <d v="2022-02-04T00:00:00"/>
  </r>
  <r>
    <s v="FH JOANNEUM Graz"/>
    <x v="0"/>
    <s v="No growth Potential"/>
    <x v="4"/>
    <x v="9"/>
    <s v="Graz"/>
    <n v="396756"/>
    <s v="20-02-2023"/>
    <n v="0"/>
    <d v="2023-02-03T00:00:00"/>
  </r>
  <r>
    <s v="Jenoptik AG"/>
    <x v="0"/>
    <s v="No growth Potential"/>
    <x v="4"/>
    <x v="7"/>
    <s v="Jena"/>
    <m/>
    <s v="21-10-2022"/>
    <n v="0"/>
    <s v="20-11-2022"/>
  </r>
  <r>
    <s v="Keller Sports GmbH"/>
    <x v="0"/>
    <s v="No growth Potential"/>
    <x v="4"/>
    <x v="7"/>
    <s v="München"/>
    <n v="91174"/>
    <s v="13-09-2022"/>
    <n v="0"/>
    <d v="2022-02-11T00:00:00"/>
  </r>
  <r>
    <s v="Lensspirit GmbH"/>
    <x v="0"/>
    <s v="No growth Potential"/>
    <x v="4"/>
    <x v="7"/>
    <s v="Leipzig"/>
    <n v="120138"/>
    <s v="13-10-2022"/>
    <n v="0"/>
    <d v="2022-02-11T00:00:00"/>
  </r>
  <r>
    <s v="Carl Zeiss Jena GmbH"/>
    <x v="1"/>
    <s v="No growth Potential"/>
    <x v="4"/>
    <x v="7"/>
    <s v="Jena"/>
    <n v="70066"/>
    <d v="2022-04-02T00:00:00"/>
    <n v="8758"/>
    <s v="14-02-2022"/>
  </r>
  <r>
    <s v="Versandhaus Walz GmbH"/>
    <x v="1"/>
    <s v="High Growth potential"/>
    <x v="4"/>
    <x v="7"/>
    <s v="Bad Waldsee"/>
    <n v="104067"/>
    <d v="2022-04-04T00:00:00"/>
    <n v="52034"/>
    <s v="14-05-2022"/>
  </r>
  <r>
    <s v="FraSec Fraport Security Services GmbH"/>
    <x v="0"/>
    <s v="No growth Potential"/>
    <x v="4"/>
    <x v="7"/>
    <s v="Frankfurt am Main"/>
    <n v="68829"/>
    <s v="31-01-2022"/>
    <n v="0"/>
    <d v="2022-02-03T00:00:00"/>
  </r>
  <r>
    <s v="HelmholtzZentrum munchen"/>
    <x v="0"/>
    <s v="No growth Potential"/>
    <x v="4"/>
    <x v="7"/>
    <s v="Oberschleißheim"/>
    <n v="164828"/>
    <d v="2022-03-09T00:00:00"/>
    <n v="0"/>
    <d v="2022-02-11T00:00:00"/>
  </r>
  <r>
    <s v="Kempinski AG"/>
    <x v="0"/>
    <s v="No growth Potential"/>
    <x v="4"/>
    <x v="7"/>
    <s v="München"/>
    <n v="110003"/>
    <d v="2022-03-10T00:00:00"/>
    <n v="0"/>
    <d v="2022-02-11T00:00:00"/>
  </r>
  <r>
    <s v="Communicate IT Services SA"/>
    <x v="0"/>
    <s v="No growth Potential"/>
    <x v="4"/>
    <x v="10"/>
    <s v="TBD"/>
    <n v="117618"/>
    <s v="13-08-2022"/>
    <n v="0"/>
    <d v="2022-02-09T00:00:00"/>
  </r>
  <r>
    <s v="H. Kemper GmbH &amp; Co. KG"/>
    <x v="0"/>
    <s v="No growth Potential"/>
    <x v="4"/>
    <x v="7"/>
    <s v="Nortrup"/>
    <n v="185364"/>
    <s v="13-09-2022"/>
    <n v="0"/>
    <d v="2022-02-11T00:00:00"/>
  </r>
  <r>
    <s v="Chrono24 GmbH"/>
    <x v="1"/>
    <s v="High Growth potential"/>
    <x v="4"/>
    <x v="7"/>
    <s v="Karlsruhe"/>
    <n v="185510"/>
    <d v="2022-09-10T00:00:00"/>
    <n v="92755"/>
    <d v="2022-08-11T00:00:00"/>
  </r>
  <r>
    <s v="Zenhomes GmbH"/>
    <x v="0"/>
    <s v="No growth Potential"/>
    <x v="4"/>
    <x v="7"/>
    <s v="Berlin"/>
    <n v="80098"/>
    <s v="13-09-2022"/>
    <n v="0"/>
    <d v="2022-02-11T00:00:00"/>
  </r>
  <r>
    <s v="University of Munich"/>
    <x v="0"/>
    <s v="No growth Potential"/>
    <x v="4"/>
    <x v="7"/>
    <s v="Munchen"/>
    <n v="242686"/>
    <s v="13-09-2022"/>
    <n v="0"/>
    <d v="2022-02-11T00:00:00"/>
  </r>
  <r>
    <s v="AirTies Austria"/>
    <x v="0"/>
    <s v="No growth Potential"/>
    <x v="4"/>
    <x v="9"/>
    <s v="TBD"/>
    <n v="270276"/>
    <d v="2023-11-01T00:00:00"/>
    <n v="0"/>
    <d v="2023-02-03T00:00:00"/>
  </r>
  <r>
    <s v="DianaKlinik"/>
    <x v="0"/>
    <s v="No growth Potential"/>
    <x v="4"/>
    <x v="7"/>
    <s v="Bad Bevensen"/>
    <n v="96601"/>
    <d v="2022-10-02T00:00:00"/>
    <n v="0"/>
    <d v="2022-02-03T00:00:00"/>
  </r>
  <r>
    <s v="Infosys Consulting GmbH"/>
    <x v="0"/>
    <s v="No growth Potential"/>
    <x v="4"/>
    <x v="7"/>
    <s v="Garching bei Muenchen"/>
    <n v="57602"/>
    <d v="2022-03-09T00:00:00"/>
    <n v="0"/>
    <d v="2022-02-11T00:00:00"/>
  </r>
  <r>
    <s v="UDG Cross GmbH"/>
    <x v="0"/>
    <s v="No growth Potential"/>
    <x v="4"/>
    <x v="7"/>
    <s v="Luwigsburg"/>
    <n v="109436"/>
    <s v="24-08-2022"/>
    <n v="0"/>
    <d v="2022-02-11T00:00:00"/>
  </r>
  <r>
    <s v="Justus-Liebig-Universität Gießen"/>
    <x v="0"/>
    <s v="No growth Potential"/>
    <x v="4"/>
    <x v="7"/>
    <s v="Giessen"/>
    <n v="98301"/>
    <d v="2022-03-10T00:00:00"/>
    <n v="0"/>
    <d v="2022-02-11T00:00:00"/>
  </r>
  <r>
    <s v="DERTICKETSERVICE.DE GmbH &amp; Co. KG"/>
    <x v="0"/>
    <s v="No growth Potential"/>
    <x v="4"/>
    <x v="7"/>
    <s v="Köln"/>
    <m/>
    <d v="2022-03-09T00:00:00"/>
    <n v="0"/>
    <d v="2022-02-11T00:00:00"/>
  </r>
  <r>
    <s v="Liesegang &amp; Partner mbB"/>
    <x v="0"/>
    <s v="No growth Potential"/>
    <x v="4"/>
    <x v="7"/>
    <s v="Frankfurt"/>
    <n v="373025"/>
    <s v="13-05-2022"/>
    <n v="0"/>
    <d v="2022-02-07T00:00:00"/>
  </r>
  <r>
    <s v="Kolding Municipality"/>
    <x v="0"/>
    <s v="No growth Potential"/>
    <x v="4"/>
    <x v="13"/>
    <s v="Kolding"/>
    <n v="89785"/>
    <d v="2023-11-02T00:00:00"/>
    <n v="0"/>
    <d v="2023-02-04T00:00:00"/>
  </r>
  <r>
    <s v="Idiap Research Institute"/>
    <x v="0"/>
    <s v="No growth Potential"/>
    <x v="4"/>
    <x v="10"/>
    <s v="Martigny"/>
    <n v="114534"/>
    <d v="2022-11-02T00:00:00"/>
    <n v="0"/>
    <d v="2022-02-04T00:00:00"/>
  </r>
  <r>
    <s v="GINA LAURA GmbH &amp; Co. KG"/>
    <x v="1"/>
    <s v="High Growth potential"/>
    <x v="4"/>
    <x v="7"/>
    <s v="TBD"/>
    <n v="128469"/>
    <s v="21-10-2022"/>
    <n v="64234"/>
    <s v="20-11-2022"/>
  </r>
  <r>
    <s v="Daimani AG"/>
    <x v="0"/>
    <s v="No growth Potential"/>
    <x v="4"/>
    <x v="10"/>
    <s v="Zurich"/>
    <n v="290547"/>
    <s v="24-12-2021"/>
    <n v="0"/>
    <d v="2022-02-02T00:00:00"/>
  </r>
  <r>
    <s v="GLOCK Ges.m.b.H."/>
    <x v="0"/>
    <s v="No growth Potential"/>
    <x v="4"/>
    <x v="9"/>
    <s v="Deutsch Wagram"/>
    <n v="365681"/>
    <s v="24-08-2022"/>
    <n v="0"/>
    <d v="2022-02-11T00:00:00"/>
  </r>
  <r>
    <s v="REHAU AG Co"/>
    <x v="1"/>
    <s v="Medium Growth"/>
    <x v="4"/>
    <x v="7"/>
    <s v="Rehau"/>
    <n v="85140"/>
    <s v="31-10-2022"/>
    <n v="42570"/>
    <s v="20-11-2022"/>
  </r>
  <r>
    <s v="Viessmann Werke GmbH &amp; Co KG"/>
    <x v="0"/>
    <s v="No growth Potential"/>
    <x v="4"/>
    <x v="7"/>
    <s v="Allendorf (Eder)"/>
    <n v="220731"/>
    <s v="13-05-2022"/>
    <n v="0"/>
    <d v="2022-02-07T00:00:00"/>
  </r>
  <r>
    <s v="University of Fribourg"/>
    <x v="0"/>
    <s v="No growth Potential"/>
    <x v="4"/>
    <x v="10"/>
    <s v="Fribourg"/>
    <n v="115047"/>
    <s v="24-08-2022"/>
    <n v="0"/>
    <d v="2022-02-11T00:00:00"/>
  </r>
  <r>
    <s v="REALTECH AG"/>
    <x v="0"/>
    <s v="No growth Potential"/>
    <x v="4"/>
    <x v="7"/>
    <s v="Walldorf"/>
    <n v="121681"/>
    <d v="2022-03-09T00:00:00"/>
    <n v="0"/>
    <d v="2022-02-11T00:00:00"/>
  </r>
  <r>
    <s v="Cinram GmbH"/>
    <x v="0"/>
    <s v="No growth Potential"/>
    <x v="4"/>
    <x v="7"/>
    <s v="Alsdorf"/>
    <n v="181209"/>
    <s v="22-04-2022"/>
    <n v="0"/>
    <d v="2022-02-05T00:00:00"/>
  </r>
  <r>
    <s v="swisspro AG"/>
    <x v="0"/>
    <s v="No growth Potential"/>
    <x v="4"/>
    <x v="10"/>
    <s v="ZÜRICH"/>
    <n v="94757"/>
    <d v="2022-03-09T00:00:00"/>
    <n v="0"/>
    <d v="2022-02-11T00:00:00"/>
  </r>
  <r>
    <s v="KIDOH in der Verlagsgruppe Weltbild GmbH - kidoh.de"/>
    <x v="0"/>
    <s v="No growth Potential"/>
    <x v="4"/>
    <x v="7"/>
    <s v="Augsburg"/>
    <n v="138924"/>
    <d v="2023-03-04T00:00:00"/>
    <n v="0"/>
    <d v="2023-02-06T00:00:00"/>
  </r>
  <r>
    <s v="Gries Deco Company GmbH"/>
    <x v="0"/>
    <s v="No growth Potential"/>
    <x v="4"/>
    <x v="7"/>
    <s v="Niedernberg"/>
    <n v="141274"/>
    <d v="2023-03-03T00:00:00"/>
    <n v="0"/>
    <d v="2023-02-04T00:00:00"/>
  </r>
  <r>
    <s v="noline.ch GmbH"/>
    <x v="0"/>
    <s v="No growth Potential"/>
    <x v="4"/>
    <x v="10"/>
    <s v="Buus"/>
    <n v="149252"/>
    <s v="23-10-2022"/>
    <n v="0"/>
    <d v="2022-02-11T00:00:00"/>
  </r>
  <r>
    <s v="Deutsche Reiterliche Vereinigung e.V."/>
    <x v="0"/>
    <s v="No growth Potential"/>
    <x v="4"/>
    <x v="7"/>
    <s v="Warendorf"/>
    <m/>
    <d v="2022-03-10T00:00:00"/>
    <n v="0"/>
    <d v="2022-02-11T00:00:00"/>
  </r>
  <r>
    <s v="Van Doorn &amp; Becker KG"/>
    <x v="0"/>
    <s v="No growth Potential"/>
    <x v="4"/>
    <x v="7"/>
    <s v="Mülheim an der Ruhr"/>
    <n v="457075"/>
    <s v="13-01-2022"/>
    <n v="0"/>
    <d v="2022-02-02T00:00:00"/>
  </r>
  <r>
    <s v="JAKO-O GmbH"/>
    <x v="0"/>
    <s v="No growth Potential"/>
    <x v="4"/>
    <x v="7"/>
    <s v="Bad Rodach"/>
    <n v="115084"/>
    <d v="2022-03-10T00:00:00"/>
    <n v="0"/>
    <d v="2022-02-11T00:00:00"/>
  </r>
  <r>
    <s v="Bulthaup GmbH &amp; Co. KG"/>
    <x v="0"/>
    <s v="No growth Potential"/>
    <x v="4"/>
    <x v="7"/>
    <s v="Bodenkirchen"/>
    <n v="311196"/>
    <s v="23-04-2022"/>
    <n v="0"/>
    <d v="2022-02-06T00:00:00"/>
  </r>
  <r>
    <s v="HSL Informatik AG"/>
    <x v="0"/>
    <s v="No growth Potential"/>
    <x v="4"/>
    <x v="14"/>
    <s v="Balzers"/>
    <n v="237786"/>
    <s v="23-10-2022"/>
    <n v="0"/>
    <d v="2022-02-11T00:00:00"/>
  </r>
  <r>
    <s v="Ibbenburen"/>
    <x v="0"/>
    <s v="No growth Potential"/>
    <x v="4"/>
    <x v="7"/>
    <s v="Ibbenbüren"/>
    <n v="100561"/>
    <s v="23-10-2022"/>
    <n v="0"/>
    <d v="2022-02-11T00:00:00"/>
  </r>
  <r>
    <s v="Leder &amp; Schuh AG"/>
    <x v="0"/>
    <s v="No growth Potential"/>
    <x v="4"/>
    <x v="9"/>
    <s v="Graz"/>
    <n v="118571"/>
    <d v="2022-03-09T00:00:00"/>
    <n v="0"/>
    <d v="2022-02-11T00:00:00"/>
  </r>
  <r>
    <s v="BORSIG GmbH"/>
    <x v="0"/>
    <s v="No growth Potential"/>
    <x v="4"/>
    <x v="7"/>
    <s v="Berlin"/>
    <m/>
    <d v="2022-03-09T00:00:00"/>
    <n v="0"/>
    <d v="2022-02-11T00:00:00"/>
  </r>
  <r>
    <s v="Happy Size Versand GmbH &amp; Co. KG"/>
    <x v="0"/>
    <s v="No growth Potential"/>
    <x v="4"/>
    <x v="7"/>
    <s v="Pforzheim"/>
    <n v="107100"/>
    <s v="23-01-2022"/>
    <n v="0"/>
    <d v="2022-02-02T00:00:00"/>
  </r>
  <r>
    <s v="kutscher.TEC GmbH"/>
    <x v="0"/>
    <s v="No growth Potential"/>
    <x v="4"/>
    <x v="7"/>
    <s v="Braunschweig"/>
    <n v="149252"/>
    <s v="23-09-2022"/>
    <n v="0"/>
    <d v="2022-02-11T00:00:00"/>
  </r>
  <r>
    <s v="AKD Inflatables GmbH"/>
    <x v="0"/>
    <s v="No growth Potential"/>
    <x v="4"/>
    <x v="7"/>
    <s v="Blumberger dam"/>
    <n v="141255"/>
    <d v="2022-03-08T00:00:00"/>
    <n v="0"/>
    <d v="2022-02-09T00:00:00"/>
  </r>
  <r>
    <s v="CKW"/>
    <x v="0"/>
    <s v="No growth Potential"/>
    <x v="4"/>
    <x v="10"/>
    <s v="Luzern"/>
    <n v="143553"/>
    <d v="2022-03-10T00:00:00"/>
    <n v="0"/>
    <d v="2022-02-11T00:00:00"/>
  </r>
  <r>
    <s v="awinta DUMMY ACCOUNT"/>
    <x v="0"/>
    <s v="No growth Potential"/>
    <x v="4"/>
    <x v="7"/>
    <s v="TBD"/>
    <n v="69905"/>
    <s v="23-12-2021"/>
    <n v="0"/>
    <d v="2022-02-01T00:00:00"/>
  </r>
  <r>
    <s v="University Of Basel"/>
    <x v="0"/>
    <s v="No growth Potential"/>
    <x v="4"/>
    <x v="10"/>
    <s v="TBD"/>
    <n v="98844"/>
    <s v="23-03-2023"/>
    <n v="0"/>
    <d v="2023-02-04T00:00:00"/>
  </r>
  <r>
    <s v="net.DE AG"/>
    <x v="0"/>
    <s v="No growth Potential"/>
    <x v="4"/>
    <x v="7"/>
    <s v="Hannover"/>
    <n v="78985"/>
    <d v="2022-03-09T00:00:00"/>
    <n v="0"/>
    <d v="2022-02-11T00:00:00"/>
  </r>
  <r>
    <s v="Atos"/>
    <x v="0"/>
    <s v="No growth Potential"/>
    <x v="4"/>
    <x v="10"/>
    <s v="TBD"/>
    <n v="397020"/>
    <s v="13-10-2022"/>
    <n v="0"/>
    <d v="2022-02-11T00:00:00"/>
  </r>
  <r>
    <s v="BEO GmbH"/>
    <x v="0"/>
    <s v="No growth Potential"/>
    <x v="4"/>
    <x v="7"/>
    <s v="Endingen"/>
    <n v="468134"/>
    <s v="24-08-2022"/>
    <n v="0"/>
    <d v="2022-02-11T00:00:00"/>
  </r>
  <r>
    <s v="MEDION AG"/>
    <x v="1"/>
    <s v="Medium Growth"/>
    <x v="4"/>
    <x v="7"/>
    <s v="Essen"/>
    <n v="50290"/>
    <s v="18-09-2022"/>
    <n v="12572"/>
    <s v="17-11-2022"/>
  </r>
  <r>
    <s v="ehorses GmbH &amp; Co. KG"/>
    <x v="0"/>
    <s v="No growth Potential"/>
    <x v="4"/>
    <x v="7"/>
    <s v="Georgsmarienhütte"/>
    <n v="58235"/>
    <s v="23-10-2022"/>
    <n v="0"/>
    <d v="2022-02-11T00:00:00"/>
  </r>
  <r>
    <s v="artvera GmbH &amp; Co. KG"/>
    <x v="0"/>
    <s v="No growth Potential"/>
    <x v="4"/>
    <x v="7"/>
    <s v="Berlin"/>
    <n v="107478"/>
    <s v="24-10-2021"/>
    <n v="0"/>
    <d v="2022-02-01T00:00:00"/>
  </r>
  <r>
    <s v="Herz-Zentrum Bad Krozingen"/>
    <x v="0"/>
    <s v="No growth Potential"/>
    <x v="4"/>
    <x v="7"/>
    <s v="TBD"/>
    <n v="88249"/>
    <d v="2023-01-01T00:00:00"/>
    <n v="0"/>
    <d v="2023-02-03T00:00:00"/>
  </r>
  <r>
    <s v="Brauerei C. &amp; A. Veltins GmbH &amp; Co. KG"/>
    <x v="0"/>
    <s v="No growth Potential"/>
    <x v="4"/>
    <x v="7"/>
    <s v="Meschede-Grevenstein"/>
    <n v="143593"/>
    <s v="31-01-2022"/>
    <n v="0"/>
    <d v="2022-02-03T00:00:00"/>
  </r>
  <r>
    <s v="Christoph Kroschke GmbH Germany"/>
    <x v="0"/>
    <s v="No growth Potential"/>
    <x v="4"/>
    <x v="7"/>
    <s v="Ahrensburg"/>
    <n v="205072"/>
    <d v="2022-03-04T00:00:00"/>
    <n v="0"/>
    <d v="2022-02-06T00:00:00"/>
  </r>
  <r>
    <s v="Gerhard D. Wempe KG"/>
    <x v="0"/>
    <s v="No growth Potential"/>
    <x v="4"/>
    <x v="7"/>
    <s v="Hamburg"/>
    <m/>
    <s v="21-02-2022"/>
    <n v="0"/>
    <d v="2022-02-05T00:00:00"/>
  </r>
  <r>
    <s v="ip.labs GmbH"/>
    <x v="0"/>
    <s v="No growth Potential"/>
    <x v="4"/>
    <x v="7"/>
    <s v="TBD"/>
    <n v="104709"/>
    <s v="13-03-2022"/>
    <n v="0"/>
    <d v="2022-02-05T00:00:00"/>
  </r>
  <r>
    <s v="Event Hospitality Management Holding GmbH &amp; Co KG"/>
    <x v="0"/>
    <s v="No growth Potential"/>
    <x v="4"/>
    <x v="7"/>
    <s v="Köln"/>
    <n v="228933"/>
    <s v="13-12-2022"/>
    <n v="0"/>
    <d v="2023-02-01T00:00:00"/>
  </r>
  <r>
    <s v="SSI International GmbH"/>
    <x v="0"/>
    <s v="No growth Potential"/>
    <x v="4"/>
    <x v="7"/>
    <s v="Wendelstein"/>
    <n v="126095"/>
    <d v="2022-03-10T00:00:00"/>
    <n v="0"/>
    <d v="2022-02-11T00:00:00"/>
  </r>
  <r>
    <s v="A.S. Ceation Tapeten AG"/>
    <x v="0"/>
    <s v="No growth Potential"/>
    <x v="4"/>
    <x v="7"/>
    <s v="Gummersbach"/>
    <n v="86919"/>
    <s v="23-06-2022"/>
    <n v="0"/>
    <d v="2022-02-08T00:00:00"/>
  </r>
  <r>
    <s v="KW Automotive GmbH"/>
    <x v="0"/>
    <s v="No growth Potential"/>
    <x v="4"/>
    <x v="7"/>
    <s v="Fichtenberg"/>
    <n v="290520"/>
    <s v="13-10-2022"/>
    <n v="0"/>
    <d v="2022-02-11T00:00:00"/>
  </r>
  <r>
    <s v="LÜSCHER informatik"/>
    <x v="0"/>
    <s v="No growth Potential"/>
    <x v="4"/>
    <x v="10"/>
    <s v="Brunegg"/>
    <n v="143043"/>
    <s v="21-01-2023"/>
    <n v="0"/>
    <d v="2023-02-03T00:00:00"/>
  </r>
  <r>
    <s v="Berndt GMBH"/>
    <x v="0"/>
    <s v="No growth Potential"/>
    <x v="4"/>
    <x v="7"/>
    <s v="Oberding"/>
    <n v="70910"/>
    <d v="2022-03-10T00:00:00"/>
    <n v="0"/>
    <d v="2022-02-11T00:00:00"/>
  </r>
  <r>
    <s v="Messe Duesseldorf GmbH"/>
    <x v="1"/>
    <s v="Medium Growth"/>
    <x v="4"/>
    <x v="7"/>
    <s v="Düsseldorf"/>
    <n v="260822"/>
    <s v="22-09-2022"/>
    <n v="130411"/>
    <d v="2022-11-11T00:00:00"/>
  </r>
  <r>
    <s v="DailyDeal GmbH"/>
    <x v="0"/>
    <s v="No growth Potential"/>
    <x v="4"/>
    <x v="7"/>
    <s v="Berlin"/>
    <n v="91171"/>
    <d v="2022-03-01T00:00:00"/>
    <n v="0"/>
    <d v="2022-02-02T00:00:00"/>
  </r>
  <r>
    <s v="Caritas Trägergesellschaft Saarbrücken mbH (cts)"/>
    <x v="0"/>
    <s v="No growth Potential"/>
    <x v="4"/>
    <x v="7"/>
    <s v="Saarbrücken"/>
    <m/>
    <s v="13-01-2022"/>
    <n v="0"/>
    <d v="2022-02-02T00:00:00"/>
  </r>
  <r>
    <s v="LLOYD Shoes GmbH"/>
    <x v="0"/>
    <s v="No growth Potential"/>
    <x v="4"/>
    <x v="7"/>
    <s v="Sulingen"/>
    <n v="109947"/>
    <d v="2022-03-10T00:00:00"/>
    <n v="0"/>
    <d v="2022-02-11T00:00:00"/>
  </r>
  <r>
    <s v="CATALINA DEUTSCHLAND GMBH"/>
    <x v="0"/>
    <s v="No growth Potential"/>
    <x v="4"/>
    <x v="7"/>
    <s v="Bad Homburg"/>
    <n v="311129"/>
    <d v="2022-03-10T00:00:00"/>
    <n v="0"/>
    <d v="2022-02-11T00:00:00"/>
  </r>
  <r>
    <s v="AMAG Group AG"/>
    <x v="0"/>
    <s v="No growth Potential"/>
    <x v="4"/>
    <x v="10"/>
    <s v="Cham"/>
    <n v="90072"/>
    <s v="24-08-2022"/>
    <n v="0"/>
    <d v="2022-02-11T00:00:00"/>
  </r>
  <r>
    <s v="VNG ? Verbundnetz Gas Aktiengesellschaft"/>
    <x v="0"/>
    <s v="No growth Potential"/>
    <x v="4"/>
    <x v="7"/>
    <s v="Leipzig"/>
    <n v="33564"/>
    <d v="2021-03-07T00:00:00"/>
    <n v="0"/>
    <d v="2021-01-09T00:00:00"/>
  </r>
  <r>
    <s v="synalis GmbH &amp; Co. KG"/>
    <x v="0"/>
    <s v="No growth Potential"/>
    <x v="4"/>
    <x v="7"/>
    <s v="Bonn"/>
    <n v="115643"/>
    <d v="2022-03-03T00:00:00"/>
    <n v="0"/>
    <d v="2022-02-04T00:00:00"/>
  </r>
  <r>
    <s v="Questionmark GmbH"/>
    <x v="0"/>
    <s v="No growth Potential"/>
    <x v="4"/>
    <x v="7"/>
    <s v="Munich"/>
    <n v="158341"/>
    <d v="2022-03-08T00:00:00"/>
    <n v="0"/>
    <d v="2022-02-10T00:00:00"/>
  </r>
  <r>
    <s v="Brent Dorsch"/>
    <x v="0"/>
    <s v="No growth Potential"/>
    <x v="4"/>
    <x v="11"/>
    <s v="Oklahoma City"/>
    <n v="160759"/>
    <s v="24-08-2022"/>
    <n v="0"/>
    <d v="2022-02-11T00:00:00"/>
  </r>
  <r>
    <s v="Compass Group Deutschland GmbH"/>
    <x v="0"/>
    <s v="No growth Potential"/>
    <x v="4"/>
    <x v="7"/>
    <s v="Eschborn"/>
    <n v="178915"/>
    <d v="2022-02-04T00:00:00"/>
    <n v="0"/>
    <d v="2022-02-05T00:00:00"/>
  </r>
  <r>
    <s v="Thalia Holding GmbH / Standort Muenster"/>
    <x v="1"/>
    <s v="Medium Growth"/>
    <x v="4"/>
    <x v="7"/>
    <s v="MUENSTER"/>
    <n v="209815"/>
    <d v="2022-11-02T00:00:00"/>
    <n v="41963"/>
    <s v="23-03-2022"/>
  </r>
  <r>
    <s v="Secretariat of the Basel Rotterdam and Stockholm Conventions"/>
    <x v="0"/>
    <s v="No growth Potential"/>
    <x v="4"/>
    <x v="10"/>
    <s v="Châtelaine"/>
    <n v="52824"/>
    <s v="23-05-2022"/>
    <n v="0"/>
    <d v="2022-02-07T00:00:00"/>
  </r>
  <r>
    <s v="Inselspital Universitätsspital Bern"/>
    <x v="0"/>
    <s v="No growth Potential"/>
    <x v="4"/>
    <x v="10"/>
    <s v="Bern"/>
    <n v="117495"/>
    <s v="22-09-2022"/>
    <n v="0"/>
    <d v="2022-02-10T00:00:00"/>
  </r>
  <r>
    <s v="Humbaur GmbH"/>
    <x v="0"/>
    <s v="No growth Potential"/>
    <x v="4"/>
    <x v="7"/>
    <s v="Gersthofen"/>
    <n v="88044"/>
    <s v="13-03-2022"/>
    <n v="0"/>
    <d v="2022-02-05T00:00:00"/>
  </r>
  <r>
    <s v="eprimo GmbH"/>
    <x v="0"/>
    <s v="No growth Potential"/>
    <x v="4"/>
    <x v="7"/>
    <s v="Neu-Isenburg"/>
    <n v="33496"/>
    <s v="13-09-2022"/>
    <n v="0"/>
    <d v="2022-02-11T00:00:00"/>
  </r>
  <r>
    <s v="KÖNIG GmbH &amp; Co KG"/>
    <x v="0"/>
    <s v="No growth Potential"/>
    <x v="4"/>
    <x v="7"/>
    <s v="Moringen"/>
    <n v="74048"/>
    <s v="23-09-2022"/>
    <n v="0"/>
    <d v="2022-02-11T00:00:00"/>
  </r>
  <r>
    <s v="TUI Cruises GmbH"/>
    <x v="0"/>
    <s v="No growth Potential"/>
    <x v="4"/>
    <x v="7"/>
    <s v="Hamburg"/>
    <n v="177894"/>
    <s v="24-08-2022"/>
    <n v="0"/>
    <d v="2022-02-11T00:00:00"/>
  </r>
  <r>
    <s v="Dialog Semiconductor GmbH"/>
    <x v="1"/>
    <s v="Medium Growth"/>
    <x v="4"/>
    <x v="7"/>
    <s v="Kirchheim"/>
    <n v="88374"/>
    <d v="2022-08-02T00:00:00"/>
    <n v="44187"/>
    <s v="20-03-2022"/>
  </r>
  <r>
    <s v="Lenze SE"/>
    <x v="0"/>
    <s v="No growth Potential"/>
    <x v="4"/>
    <x v="7"/>
    <s v="Aerzen"/>
    <n v="150659"/>
    <s v="13-10-2022"/>
    <n v="0"/>
    <d v="2022-02-11T00:00:00"/>
  </r>
  <r>
    <s v="Berlin Tourismus &amp; Kongress GmbH"/>
    <x v="0"/>
    <s v="No growth Potential"/>
    <x v="4"/>
    <x v="7"/>
    <s v="Berlin"/>
    <n v="106909"/>
    <s v="13-10-2022"/>
    <n v="0"/>
    <d v="2022-02-11T00:00:00"/>
  </r>
  <r>
    <s v="ALPINE Bau GmbH"/>
    <x v="0"/>
    <s v="No growth Potential"/>
    <x v="4"/>
    <x v="9"/>
    <s v="Wals bei Salzburg"/>
    <n v="94769"/>
    <s v="23-08-2022"/>
    <n v="0"/>
    <d v="2022-02-09T00:00:00"/>
  </r>
  <r>
    <s v="Fahrrad-XXL.de GmbH &amp; Co. KG"/>
    <x v="0"/>
    <s v="No growth Potential"/>
    <x v="4"/>
    <x v="7"/>
    <s v="Frankfurt am Main"/>
    <n v="92190"/>
    <s v="24-12-2021"/>
    <n v="0"/>
    <d v="2022-02-02T00:00:00"/>
  </r>
  <r>
    <s v="Pcaide"/>
    <x v="0"/>
    <s v="No growth Potential"/>
    <x v="4"/>
    <x v="10"/>
    <s v="TBD"/>
    <n v="29750"/>
    <s v="22-12-2021"/>
    <n v="0"/>
    <d v="2022-02-03T00:00:00"/>
  </r>
  <r>
    <s v="Keller &amp; Kalmbach GmbH"/>
    <x v="0"/>
    <s v="No growth Potential"/>
    <x v="4"/>
    <x v="7"/>
    <s v="Unterschleißheim"/>
    <n v="132213"/>
    <s v="23-10-2022"/>
    <n v="0"/>
    <d v="2022-02-11T00:00:00"/>
  </r>
  <r>
    <s v="HELBLING NETWORK CONSULTING"/>
    <x v="0"/>
    <s v="No growth Potential"/>
    <x v="4"/>
    <x v="7"/>
    <s v="Hamburg"/>
    <n v="74394"/>
    <s v="23-09-2022"/>
    <n v="0"/>
    <d v="2022-02-11T00:00:00"/>
  </r>
  <r>
    <s v="JAB Anstoetz KG"/>
    <x v="0"/>
    <s v="No growth Potential"/>
    <x v="4"/>
    <x v="7"/>
    <s v="Bielefeld"/>
    <n v="143820"/>
    <d v="2022-03-10T00:00:00"/>
    <n v="0"/>
    <d v="2022-02-11T00:00:00"/>
  </r>
  <r>
    <s v="Busch-Jaeger Elektro GmbH"/>
    <x v="0"/>
    <s v="No growth Potential"/>
    <x v="4"/>
    <x v="7"/>
    <s v="Lüdenscheid"/>
    <n v="69927"/>
    <s v="24-05-2022"/>
    <n v="0"/>
    <d v="2022-02-08T00:00:00"/>
  </r>
  <r>
    <s v="Schmetterling International GmbH &amp; Co. KG"/>
    <x v="0"/>
    <s v="No growth Potential"/>
    <x v="4"/>
    <x v="7"/>
    <s v="Obertrubach-Geschwand"/>
    <n v="104065"/>
    <d v="2021-12-09T00:00:00"/>
    <n v="0"/>
    <d v="2021-02-10T00:00:00"/>
  </r>
  <r>
    <s v="Bit AG fur Informationstechnologien"/>
    <x v="0"/>
    <s v="No growth Potential"/>
    <x v="4"/>
    <x v="10"/>
    <s v="Rapperswil-Jona"/>
    <n v="203768"/>
    <s v="24-03-2023"/>
    <n v="0"/>
    <d v="2023-02-06T00:00:00"/>
  </r>
  <r>
    <s v="Ameropa"/>
    <x v="0"/>
    <s v="No growth Potential"/>
    <x v="4"/>
    <x v="10"/>
    <s v="TBD"/>
    <n v="311132"/>
    <s v="13-05-2022"/>
    <n v="0"/>
    <d v="2022-02-07T00:00:00"/>
  </r>
  <r>
    <s v="Hans Geis GmbH + Co KG Internationale Spedition"/>
    <x v="0"/>
    <s v="No growth Potential"/>
    <x v="4"/>
    <x v="7"/>
    <s v="Bad Neustadt"/>
    <m/>
    <d v="2021-04-12T00:00:00"/>
    <n v="0"/>
    <d v="2022-02-02T00:00:00"/>
  </r>
  <r>
    <s v="btf GmbH"/>
    <x v="0"/>
    <s v="No growth Potential"/>
    <x v="4"/>
    <x v="7"/>
    <s v="Köln"/>
    <n v="66219"/>
    <d v="2022-03-09T00:00:00"/>
    <n v="0"/>
    <d v="2022-02-11T00:00:00"/>
  </r>
  <r>
    <s v="Fujitsu Technology Solutions GmbH"/>
    <x v="1"/>
    <s v="Medium Growth"/>
    <x v="4"/>
    <x v="7"/>
    <s v="München"/>
    <n v="147772"/>
    <s v="22-09-2022"/>
    <n v="36943"/>
    <d v="2022-11-11T00:00:00"/>
  </r>
  <r>
    <s v="Landverein fur Innere Mission in der Pfalz e.V."/>
    <x v="0"/>
    <s v="No growth Potential"/>
    <x v="4"/>
    <x v="7"/>
    <s v="Bad Dürkheim"/>
    <n v="146799"/>
    <d v="2022-03-01T00:00:00"/>
    <n v="0"/>
    <d v="2022-02-02T00:00:00"/>
  </r>
  <r>
    <s v="Endress+Hauser Wetzer GmbH+Co.KG"/>
    <x v="0"/>
    <s v="No growth Potential"/>
    <x v="4"/>
    <x v="7"/>
    <s v="Nesselwang"/>
    <n v="132359"/>
    <s v="24-07-2022"/>
    <n v="0"/>
    <d v="2022-02-10T00:00:00"/>
  </r>
  <r>
    <s v="commercetools GmbH"/>
    <x v="0"/>
    <s v="No growth Potential"/>
    <x v="4"/>
    <x v="7"/>
    <s v="München"/>
    <n v="206073"/>
    <s v="23-10-2022"/>
    <n v="0"/>
    <d v="2022-02-11T00:00:00"/>
  </r>
  <r>
    <s v="Datamars SA"/>
    <x v="0"/>
    <s v="No growth Potential"/>
    <x v="4"/>
    <x v="10"/>
    <s v="Lamone"/>
    <n v="33497"/>
    <s v="23-01-2022"/>
    <n v="0"/>
    <d v="2022-02-02T00:00:00"/>
  </r>
  <r>
    <s v="SinusQuadrat GmbH"/>
    <x v="0"/>
    <s v="No growth Potential"/>
    <x v="4"/>
    <x v="7"/>
    <s v="Offenburg"/>
    <n v="100210"/>
    <s v="13-07-2022"/>
    <n v="0"/>
    <d v="2022-02-08T00:00:00"/>
  </r>
  <r>
    <s v="Belenus LOB Informatic GmbH"/>
    <x v="1"/>
    <s v="Medium Growth"/>
    <x v="4"/>
    <x v="7"/>
    <s v="Munich"/>
    <n v="202434"/>
    <s v="17-07-2021"/>
    <n v="15572"/>
    <s v="16-08-2021"/>
  </r>
  <r>
    <s v="Smaser AG"/>
    <x v="0"/>
    <s v="No growth Potential"/>
    <x v="4"/>
    <x v="7"/>
    <s v="Darmstadt"/>
    <n v="138670"/>
    <d v="2022-11-01T00:00:00"/>
    <n v="0"/>
    <d v="2022-02-03T00:00:00"/>
  </r>
  <r>
    <s v="HairGroup GmbH"/>
    <x v="0"/>
    <s v="No growth Potential"/>
    <x v="4"/>
    <x v="7"/>
    <s v="Düsseldorf"/>
    <n v="98815"/>
    <s v="13-01-2022"/>
    <n v="0"/>
    <d v="2022-02-02T00:00:00"/>
  </r>
  <r>
    <s v="Leineweber GmbH &amp; Co. KG"/>
    <x v="0"/>
    <s v="No growth Potential"/>
    <x v="4"/>
    <x v="7"/>
    <s v="Herford"/>
    <n v="51410"/>
    <s v="13-10-2022"/>
    <n v="0"/>
    <d v="2022-02-11T00:00:00"/>
  </r>
  <r>
    <s v="KabelScheune"/>
    <x v="0"/>
    <s v="No growth Potential"/>
    <x v="4"/>
    <x v="7"/>
    <s v="TBD"/>
    <n v="98643"/>
    <s v="24-11-2021"/>
    <n v="0"/>
    <d v="2022-02-02T00:00:00"/>
  </r>
  <r>
    <s v="Foodexplorer Fine Food GmbH"/>
    <x v="0"/>
    <s v="No growth Potential"/>
    <x v="4"/>
    <x v="7"/>
    <s v="Düsseldorf"/>
    <n v="220632"/>
    <s v="23-10-2022"/>
    <n v="0"/>
    <d v="2022-02-11T00:00:00"/>
  </r>
  <r>
    <s v="Pascoe pharmazeutische Präparate GmbH"/>
    <x v="0"/>
    <s v="No growth Potential"/>
    <x v="4"/>
    <x v="7"/>
    <s v="Giessen"/>
    <n v="275652"/>
    <s v="14-12-2021"/>
    <n v="0"/>
    <d v="2022-02-02T00:00:00"/>
  </r>
  <r>
    <s v="FS eCommerce GmbH"/>
    <x v="0"/>
    <s v="No growth Potential"/>
    <x v="4"/>
    <x v="7"/>
    <s v="Leipzig"/>
    <n v="112521"/>
    <d v="2022-03-09T00:00:00"/>
    <n v="0"/>
    <d v="2022-02-11T00:00:00"/>
  </r>
  <r>
    <s v="parfuemerie.de beauty alliance GmbH &amp; Co. KG"/>
    <x v="0"/>
    <s v="No growth Potential"/>
    <x v="4"/>
    <x v="7"/>
    <s v="Bielefeld"/>
    <n v="69911"/>
    <s v="13-01-2022"/>
    <n v="0"/>
    <d v="2022-02-02T00:00:00"/>
  </r>
  <r>
    <s v="ELCH"/>
    <x v="0"/>
    <s v="No growth Potential"/>
    <x v="4"/>
    <x v="10"/>
    <s v="TBD"/>
    <n v="69912"/>
    <s v="13-09-2022"/>
    <n v="0"/>
    <d v="2022-02-11T00:00:00"/>
  </r>
  <r>
    <s v="Guenthart GmbH &amp; Co. KG"/>
    <x v="0"/>
    <s v="No growth Potential"/>
    <x v="4"/>
    <x v="7"/>
    <s v="Hohentengen am Hochrhein"/>
    <n v="114000"/>
    <s v="23-05-2022"/>
    <n v="0"/>
    <d v="2022-02-07T00:00:00"/>
  </r>
  <r>
    <s v="Daenisches Bettenlager GmbH &amp; Co. KG"/>
    <x v="0"/>
    <s v="No growth Potential"/>
    <x v="4"/>
    <x v="7"/>
    <s v="Handewitt"/>
    <m/>
    <s v="14-12-2021"/>
    <n v="0"/>
    <d v="2022-02-02T00:00:00"/>
  </r>
  <r>
    <s v="Crem Solutions GmbH &amp; Co. KG"/>
    <x v="0"/>
    <s v="No growth Potential"/>
    <x v="4"/>
    <x v="7"/>
    <s v="Ratingen"/>
    <n v="72195"/>
    <s v="13-10-2022"/>
    <n v="0"/>
    <d v="2022-02-11T00:00:00"/>
  </r>
  <r>
    <s v="Geigar &amp; Haas GmbH"/>
    <x v="0"/>
    <s v="No growth Potential"/>
    <x v="4"/>
    <x v="7"/>
    <s v="Rottenburg"/>
    <n v="34002"/>
    <s v="22-04-2022"/>
    <n v="0"/>
    <d v="2022-02-05T00:00:00"/>
  </r>
  <r>
    <s v="Jacques' Wein-Depot Wein-Einzelhandel GmbH"/>
    <x v="0"/>
    <s v="No growth Potential"/>
    <x v="4"/>
    <x v="7"/>
    <s v="Düsseldorf"/>
    <n v="157004"/>
    <s v="13-01-2022"/>
    <n v="0"/>
    <d v="2022-02-02T00:00:00"/>
  </r>
  <r>
    <s v="Iselasticum Services Ltd."/>
    <x v="0"/>
    <s v="No growth Potential"/>
    <x v="4"/>
    <x v="10"/>
    <s v="Zug"/>
    <n v="40843"/>
    <s v="21-02-2022"/>
    <n v="0"/>
    <d v="2022-02-05T00:00:00"/>
  </r>
  <r>
    <s v="Beuth Verlag GmbH"/>
    <x v="0"/>
    <s v="No growth Potential"/>
    <x v="4"/>
    <x v="7"/>
    <s v="Berlin"/>
    <n v="417197"/>
    <s v="23-10-2022"/>
    <n v="0"/>
    <d v="2022-02-11T00:00:00"/>
  </r>
  <r>
    <s v="energis GmbH"/>
    <x v="0"/>
    <s v="No growth Potential"/>
    <x v="4"/>
    <x v="7"/>
    <s v="Saarbrücken"/>
    <n v="126643"/>
    <d v="2022-03-10T00:00:00"/>
    <n v="0"/>
    <d v="2022-02-11T00:00:00"/>
  </r>
  <r>
    <s v="DaDi EDV GmbH"/>
    <x v="0"/>
    <s v="No growth Potential"/>
    <x v="4"/>
    <x v="9"/>
    <s v="Graz"/>
    <n v="42359"/>
    <s v="14-12-2021"/>
    <n v="0"/>
    <d v="2022-02-02T00:00:00"/>
  </r>
  <r>
    <s v="Rösch Fashion GmbH &amp; Co. KG"/>
    <x v="0"/>
    <s v="No growth Potential"/>
    <x v="4"/>
    <x v="7"/>
    <s v="Tübingen"/>
    <n v="86087"/>
    <s v="23-06-2022"/>
    <n v="0"/>
    <d v="2022-02-08T00:00:00"/>
  </r>
  <r>
    <s v="Unstrut Saale Güterlogistik GmbH"/>
    <x v="0"/>
    <s v="No growth Potential"/>
    <x v="4"/>
    <x v="7"/>
    <s v="TBD"/>
    <n v="96867"/>
    <d v="2022-03-08T00:00:00"/>
    <n v="0"/>
    <d v="2022-02-10T00:00:00"/>
  </r>
  <r>
    <s v="E. Breuninger GmbH &amp; Co."/>
    <x v="0"/>
    <s v="No growth Potential"/>
    <x v="4"/>
    <x v="7"/>
    <s v="Stuttgart"/>
    <n v="122808"/>
    <s v="13-09-2022"/>
    <n v="0"/>
    <d v="2022-02-11T00:00:00"/>
  </r>
  <r>
    <s v="GKN Aftermarket Operations GKN Service International GmbH"/>
    <x v="0"/>
    <s v="No growth Potential"/>
    <x v="4"/>
    <x v="7"/>
    <s v="Rosrath"/>
    <n v="288804"/>
    <s v="24-08-2022"/>
    <n v="0"/>
    <d v="2022-02-11T00:00:00"/>
  </r>
  <r>
    <s v="Schroders"/>
    <x v="0"/>
    <s v="No growth Potential"/>
    <x v="4"/>
    <x v="10"/>
    <s v="TBD"/>
    <n v="120910"/>
    <d v="2022-03-09T00:00:00"/>
    <n v="0"/>
    <d v="2022-02-11T00:00:00"/>
  </r>
  <r>
    <s v="Amann Informatik AG"/>
    <x v="0"/>
    <s v="No growth Potential"/>
    <x v="4"/>
    <x v="10"/>
    <s v="Reinach"/>
    <n v="100342"/>
    <s v="31-01-2022"/>
    <n v="0"/>
    <d v="2022-02-03T00:00:00"/>
  </r>
  <r>
    <s v="Atelco Computer AG"/>
    <x v="0"/>
    <s v="No growth Potential"/>
    <x v="4"/>
    <x v="7"/>
    <s v="Möhnesee"/>
    <n v="103313"/>
    <s v="13-10-2022"/>
    <n v="0"/>
    <d v="2022-02-11T00:00:00"/>
  </r>
  <r>
    <s v="KUNERT FASHION GmbH"/>
    <x v="0"/>
    <s v="No growth Potential"/>
    <x v="4"/>
    <x v="7"/>
    <s v="Immenstadt"/>
    <n v="38843"/>
    <d v="2022-03-10T00:00:00"/>
    <n v="0"/>
    <d v="2022-02-11T00:00:00"/>
  </r>
  <r>
    <s v="Wiener Festwochen Gesellschaft m.b.H."/>
    <x v="0"/>
    <s v="No growth Potential"/>
    <x v="4"/>
    <x v="9"/>
    <s v="Wien"/>
    <n v="93843"/>
    <s v="14-03-2022"/>
    <n v="0"/>
    <d v="2022-03-05T00:00:00"/>
  </r>
  <r>
    <s v="WINGAS GmbH &amp; Co. KG"/>
    <x v="0"/>
    <s v="No growth Potential"/>
    <x v="4"/>
    <x v="7"/>
    <s v="Kassel"/>
    <n v="32208"/>
    <s v="13-09-2022"/>
    <n v="0"/>
    <d v="2022-02-11T00:00:00"/>
  </r>
  <r>
    <s v="Hi-Media Deutschland AG"/>
    <x v="0"/>
    <s v="No growth Potential"/>
    <x v="4"/>
    <x v="7"/>
    <s v="Düsseldorf"/>
    <n v="83498"/>
    <d v="2022-03-07T00:00:00"/>
    <n v="0"/>
    <d v="2022-02-08T00:00:00"/>
  </r>
  <r>
    <s v="Goodyear Dunlop Tires Germany GmbH"/>
    <x v="0"/>
    <s v="No growth Potential"/>
    <x v="4"/>
    <x v="7"/>
    <s v="Hanau"/>
    <n v="152451"/>
    <d v="2022-03-05T00:00:00"/>
    <n v="0"/>
    <d v="2022-02-07T00:00:00"/>
  </r>
  <r>
    <s v="bett1.de GmbH"/>
    <x v="0"/>
    <s v="No growth Potential"/>
    <x v="4"/>
    <x v="7"/>
    <s v="Berlin"/>
    <n v="54000"/>
    <s v="13-09-2022"/>
    <n v="0"/>
    <d v="2022-02-11T00:00:00"/>
  </r>
  <r>
    <s v="MTC-Grossenbacher"/>
    <x v="0"/>
    <s v="No growth Potential"/>
    <x v="4"/>
    <x v="10"/>
    <s v="Konolfingen"/>
    <n v="204793"/>
    <d v="2022-03-12T00:00:00"/>
    <n v="0"/>
    <d v="2023-02-01T00:00:00"/>
  </r>
  <r>
    <s v="Avaloq"/>
    <x v="0"/>
    <s v="No growth Potential"/>
    <x v="4"/>
    <x v="10"/>
    <s v="TBD"/>
    <n v="154445"/>
    <s v="22-12-2021"/>
    <n v="0"/>
    <d v="2022-02-03T00:00:00"/>
  </r>
  <r>
    <s v="CeTris GmBh"/>
    <x v="0"/>
    <s v="No growth Potential"/>
    <x v="4"/>
    <x v="10"/>
    <s v="TBD"/>
    <n v="90023"/>
    <s v="23-09-2022"/>
    <n v="0"/>
    <d v="2022-02-11T00:00:00"/>
  </r>
  <r>
    <s v="baby-walz GmbH"/>
    <x v="0"/>
    <s v="No growth Potential"/>
    <x v="4"/>
    <x v="7"/>
    <s v="Bad Waldsee"/>
    <n v="296726"/>
    <s v="23-01-2022"/>
    <n v="0"/>
    <d v="2022-02-02T00:00:00"/>
  </r>
  <r>
    <s v="Seven Principles AG"/>
    <x v="0"/>
    <s v="No growth Potential"/>
    <x v="4"/>
    <x v="7"/>
    <s v="Köln"/>
    <n v="362848"/>
    <d v="2022-03-10T00:00:00"/>
    <n v="0"/>
    <d v="2022-02-11T00:00:00"/>
  </r>
  <r>
    <s v="mediaBEAM GmbH"/>
    <x v="0"/>
    <s v="No growth Potential"/>
    <x v="4"/>
    <x v="7"/>
    <s v="Ahaus"/>
    <n v="52325"/>
    <d v="2022-03-03T00:00:00"/>
    <n v="0"/>
    <d v="2022-02-05T00:00:00"/>
  </r>
  <r>
    <s v="EGLO LEUCHTEN GMBH"/>
    <x v="0"/>
    <s v="No growth Potential"/>
    <x v="4"/>
    <x v="9"/>
    <s v="PILL"/>
    <n v="101567"/>
    <s v="23-10-2022"/>
    <n v="0"/>
    <d v="2022-02-11T00:00:00"/>
  </r>
  <r>
    <s v="energy &amp; meteo systems GmbH"/>
    <x v="0"/>
    <s v="No growth Potential"/>
    <x v="4"/>
    <x v="7"/>
    <s v="Oldenburg"/>
    <n v="42000"/>
    <d v="2022-03-09T00:00:00"/>
    <n v="0"/>
    <d v="2022-02-11T00:00:00"/>
  </r>
  <r>
    <s v="Optonet AG"/>
    <x v="0"/>
    <s v="No growth Potential"/>
    <x v="4"/>
    <x v="10"/>
    <s v="Walchwil"/>
    <n v="336223"/>
    <s v="13-09-2022"/>
    <n v="0"/>
    <d v="2022-02-11T00:00:00"/>
  </r>
  <r>
    <s v="Blickle Räder+Rollen GmbH u. Co. KG"/>
    <x v="0"/>
    <s v="No growth Potential"/>
    <x v="4"/>
    <x v="7"/>
    <s v="Rosenfeld"/>
    <n v="123208"/>
    <d v="2022-03-10T00:00:00"/>
    <n v="0"/>
    <d v="2022-02-11T00:00:00"/>
  </r>
  <r>
    <s v="dahme spreewald.d"/>
    <x v="0"/>
    <s v="No growth Potential"/>
    <x v="4"/>
    <x v="7"/>
    <s v="TBD"/>
    <n v="55088"/>
    <d v="2021-04-12T00:00:00"/>
    <n v="0"/>
    <d v="2022-02-02T00:00:00"/>
  </r>
  <r>
    <s v="Lampenwelt GmbH &amp; Co KG"/>
    <x v="0"/>
    <s v="No growth Potential"/>
    <x v="4"/>
    <x v="7"/>
    <s v="Schlitz"/>
    <n v="203774"/>
    <s v="14-12-2021"/>
    <n v="0"/>
    <d v="2022-02-02T00:00:00"/>
  </r>
  <r>
    <s v="CLICKCONCEPTS GmbH"/>
    <x v="0"/>
    <s v="No growth Potential"/>
    <x v="4"/>
    <x v="7"/>
    <s v="Ellwangen"/>
    <n v="101473"/>
    <s v="24-08-2022"/>
    <n v="0"/>
    <d v="2022-02-11T00:00:00"/>
  </r>
  <r>
    <s v="JAGO AG"/>
    <x v="0"/>
    <s v="No growth Potential"/>
    <x v="4"/>
    <x v="7"/>
    <s v="Stuttgart"/>
    <n v="178416"/>
    <s v="13-09-2022"/>
    <n v="0"/>
    <d v="2022-02-11T00:00:00"/>
  </r>
  <r>
    <s v="Hans Soldan GmbH"/>
    <x v="0"/>
    <s v="No growth Potential"/>
    <x v="4"/>
    <x v="7"/>
    <s v="Essen"/>
    <n v="99512"/>
    <s v="13-01-2022"/>
    <n v="0"/>
    <d v="2022-02-02T00:00:00"/>
  </r>
  <r>
    <s v="Metrohm"/>
    <x v="0"/>
    <s v="No growth Potential"/>
    <x v="4"/>
    <x v="10"/>
    <s v="Herisau"/>
    <n v="232779"/>
    <s v="13-09-2022"/>
    <n v="0"/>
    <d v="2022-02-11T00:00:00"/>
  </r>
  <r>
    <s v="Schulthess Clinic"/>
    <x v="0"/>
    <s v="No growth Potential"/>
    <x v="4"/>
    <x v="10"/>
    <s v="Zurich"/>
    <n v="226308"/>
    <d v="2022-03-10T00:00:00"/>
    <n v="0"/>
    <d v="2022-02-11T00:00:00"/>
  </r>
  <r>
    <s v="HIAG Data"/>
    <x v="0"/>
    <s v="No growth Potential"/>
    <x v="4"/>
    <x v="10"/>
    <s v="TBD"/>
    <n v="228010"/>
    <s v="13-05-2022"/>
    <n v="0"/>
    <d v="2022-02-07T00:00:00"/>
  </r>
  <r>
    <s v="Triaz GmbH"/>
    <x v="0"/>
    <s v="No growth Potential"/>
    <x v="4"/>
    <x v="7"/>
    <s v="Freiburg"/>
    <n v="81128"/>
    <s v="23-03-2022"/>
    <n v="0"/>
    <d v="2022-02-04T00:00:00"/>
  </r>
  <r>
    <s v="Leopold Kostal GmbH &amp; Co. KG"/>
    <x v="0"/>
    <s v="No growth Potential"/>
    <x v="4"/>
    <x v="7"/>
    <s v="Lüdenscheid"/>
    <n v="182444"/>
    <s v="23-11-2022"/>
    <n v="0"/>
    <d v="2023-02-01T00:00:00"/>
  </r>
  <r>
    <s v="ams AG"/>
    <x v="0"/>
    <s v="No growth Potential"/>
    <x v="4"/>
    <x v="9"/>
    <s v="Premstaetten"/>
    <n v="80117"/>
    <s v="24-10-2021"/>
    <n v="0"/>
    <d v="2022-02-01T00:00:00"/>
  </r>
  <r>
    <s v="ADM Germany GmbH"/>
    <x v="0"/>
    <s v="No growth Potential"/>
    <x v="4"/>
    <x v="7"/>
    <s v="Hamburg"/>
    <m/>
    <s v="24-07-2022"/>
    <n v="0"/>
    <d v="2022-02-09T00:00:00"/>
  </r>
  <r>
    <s v="AVL LIST GMBH"/>
    <x v="0"/>
    <s v="No growth Potential"/>
    <x v="4"/>
    <x v="9"/>
    <s v="GRAZ"/>
    <n v="115130"/>
    <s v="24-08-2022"/>
    <n v="0"/>
    <d v="2022-02-11T00:00:00"/>
  </r>
  <r>
    <s v="Fronius International GmbH"/>
    <x v="0"/>
    <s v="No growth Potential"/>
    <x v="4"/>
    <x v="9"/>
    <s v="Wels"/>
    <n v="499883"/>
    <s v="22-12-2022"/>
    <n v="0"/>
    <d v="2023-02-03T00:00:00"/>
  </r>
  <r>
    <s v="Stadtwerke Gießen AG"/>
    <x v="0"/>
    <s v="No growth Potential"/>
    <x v="4"/>
    <x v="7"/>
    <s v="Giessen"/>
    <n v="181194"/>
    <s v="20-02-2022"/>
    <n v="0"/>
    <d v="2022-02-03T00:00:00"/>
  </r>
  <r>
    <s v="ebm-papst Mulfingen GmbH &amp; Co. KG"/>
    <x v="0"/>
    <s v="No growth Potential"/>
    <x v="4"/>
    <x v="7"/>
    <s v="Mulfingen"/>
    <n v="144507"/>
    <s v="13-05-2022"/>
    <n v="0"/>
    <d v="2022-02-06T00:00:00"/>
  </r>
  <r>
    <s v="HUBER+SUHNER"/>
    <x v="0"/>
    <s v="No growth Potential"/>
    <x v="4"/>
    <x v="10"/>
    <s v="TBD"/>
    <n v="80575"/>
    <s v="13-10-2022"/>
    <n v="0"/>
    <d v="2022-02-11T00:00:00"/>
  </r>
  <r>
    <s v="A + E Informatik GmbH"/>
    <x v="0"/>
    <s v="No growth Potential"/>
    <x v="4"/>
    <x v="10"/>
    <s v="TBD"/>
    <n v="42403"/>
    <s v="13-12-2022"/>
    <n v="0"/>
    <d v="2023-02-01T00:00:00"/>
  </r>
  <r>
    <s v="Hamburg Messe und Congress GmbH"/>
    <x v="0"/>
    <s v="No growth Potential"/>
    <x v="4"/>
    <x v="7"/>
    <s v="Hamburg"/>
    <n v="107201"/>
    <d v="2021-04-12T00:00:00"/>
    <n v="0"/>
    <d v="2022-02-02T00:00:00"/>
  </r>
  <r>
    <s v="Tectake Gmbh"/>
    <x v="0"/>
    <s v="No growth Potential"/>
    <x v="4"/>
    <x v="7"/>
    <s v="Igersheim"/>
    <n v="115531"/>
    <s v="22-04-2022"/>
    <n v="0"/>
    <d v="2022-02-05T00:00:00"/>
  </r>
  <r>
    <s v="Curated Shopping GmbH"/>
    <x v="0"/>
    <s v="No growth Potential"/>
    <x v="4"/>
    <x v="7"/>
    <s v="Berlin"/>
    <n v="51557"/>
    <s v="23-03-2022"/>
    <n v="0"/>
    <d v="2022-02-04T00:00:00"/>
  </r>
  <r>
    <s v="Krombacher Brauerei B. Schadeberg GmbH &amp; Co.KG"/>
    <x v="0"/>
    <s v="No growth Potential"/>
    <x v="4"/>
    <x v="7"/>
    <s v="Kreuztal"/>
    <n v="434322"/>
    <s v="13-05-2022"/>
    <n v="0"/>
    <d v="2022-02-06T00:00:00"/>
  </r>
  <r>
    <s v="Elster GmbH"/>
    <x v="0"/>
    <s v="No growth Potential"/>
    <x v="4"/>
    <x v="7"/>
    <s v="Mainz-Kastel"/>
    <n v="88374"/>
    <d v="2022-03-09T00:00:00"/>
    <n v="0"/>
    <d v="2022-02-11T00:00:00"/>
  </r>
  <r>
    <s v="Landkreis Celle"/>
    <x v="0"/>
    <s v="No growth Potential"/>
    <x v="4"/>
    <x v="7"/>
    <s v="Celle"/>
    <n v="118485"/>
    <s v="14-12-2021"/>
    <n v="0"/>
    <d v="2022-02-02T00:00:00"/>
  </r>
  <r>
    <s v="hagebau IT GmbH"/>
    <x v="0"/>
    <s v="No growth Potential"/>
    <x v="4"/>
    <x v="7"/>
    <s v="Soltau"/>
    <n v="94837"/>
    <s v="24-12-2021"/>
    <n v="0"/>
    <d v="2022-02-02T00:00:00"/>
  </r>
  <r>
    <s v="Centre hospitalier universitaire vaudois"/>
    <x v="0"/>
    <s v="No growth Potential"/>
    <x v="4"/>
    <x v="10"/>
    <s v="TBD"/>
    <n v="77575"/>
    <d v="2023-03-01T00:00:00"/>
    <n v="0"/>
    <d v="2023-02-02T00:00:00"/>
  </r>
  <r>
    <s v="Deloitte &amp; Touche Corporate Finance GmbH"/>
    <x v="0"/>
    <s v="No growth Potential"/>
    <x v="4"/>
    <x v="7"/>
    <s v="Düsseldorf"/>
    <n v="39050"/>
    <d v="2022-02-01T00:00:00"/>
    <n v="0"/>
    <d v="2022-01-02T00:00:00"/>
  </r>
  <r>
    <s v="ELV Elektronik AG"/>
    <x v="0"/>
    <s v="No growth Potential"/>
    <x v="4"/>
    <x v="7"/>
    <s v="Leer"/>
    <n v="114024"/>
    <s v="13-09-2022"/>
    <n v="0"/>
    <d v="2022-02-11T00:00:00"/>
  </r>
  <r>
    <s v="Holz-Richter GmbH"/>
    <x v="0"/>
    <s v="No growth Potential"/>
    <x v="4"/>
    <x v="7"/>
    <s v="Lindlar"/>
    <n v="57390"/>
    <d v="2022-03-10T00:00:00"/>
    <n v="0"/>
    <d v="2022-02-11T00:00:00"/>
  </r>
  <r>
    <s v="Hela Gewürzwerk Hermann Laue GmbH"/>
    <x v="0"/>
    <s v="No growth Potential"/>
    <x v="4"/>
    <x v="7"/>
    <s v="Ahrensburg"/>
    <n v="144896"/>
    <s v="13-03-2022"/>
    <n v="0"/>
    <d v="2022-02-04T00:00:00"/>
  </r>
  <r>
    <s v="itnetx"/>
    <x v="0"/>
    <s v="No growth Potential"/>
    <x v="4"/>
    <x v="10"/>
    <s v="TBD"/>
    <n v="220731"/>
    <s v="24-08-2022"/>
    <n v="0"/>
    <d v="2022-02-11T00:00:00"/>
  </r>
  <r>
    <s v="Berlin Institute for Population and Development"/>
    <x v="0"/>
    <s v="No growth Potential"/>
    <x v="4"/>
    <x v="7"/>
    <s v="TBD"/>
    <n v="48311"/>
    <s v="13-03-2022"/>
    <n v="0"/>
    <d v="2022-02-04T00:00:00"/>
  </r>
  <r>
    <s v="Kiddy GmbH"/>
    <x v="0"/>
    <s v="No growth Potential"/>
    <x v="4"/>
    <x v="7"/>
    <s v="Hof"/>
    <n v="143728"/>
    <s v="13-09-2022"/>
    <n v="0"/>
    <d v="2022-02-11T00:00:00"/>
  </r>
  <r>
    <s v="Valentins GmbH"/>
    <x v="0"/>
    <s v="No growth Potential"/>
    <x v="4"/>
    <x v="7"/>
    <s v="Moerfelden-Walldorf"/>
    <m/>
    <s v="24-12-2021"/>
    <n v="0"/>
    <d v="2022-02-02T00:00:00"/>
  </r>
  <r>
    <s v="Kölner Verkehrs-Betriebe AG"/>
    <x v="0"/>
    <s v="No growth Potential"/>
    <x v="4"/>
    <x v="7"/>
    <s v="Köln"/>
    <n v="80553"/>
    <s v="23-10-2022"/>
    <n v="0"/>
    <d v="2022-02-11T00:00:00"/>
  </r>
  <r>
    <s v="MiRO Mineral oil refinery Oberrhein GmbH &amp; Co. KG"/>
    <x v="0"/>
    <s v="No growth Potential"/>
    <x v="4"/>
    <x v="7"/>
    <s v="Karlsruhe"/>
    <n v="59996"/>
    <d v="2022-03-10T00:00:00"/>
    <n v="0"/>
    <d v="2022-02-11T00:00:00"/>
  </r>
  <r>
    <s v="TimoCom Soft- und Hardware GmbH"/>
    <x v="0"/>
    <s v="No growth Potential"/>
    <x v="4"/>
    <x v="7"/>
    <s v="Düsseldorf"/>
    <n v="121681"/>
    <s v="13-07-2021"/>
    <n v="0"/>
    <d v="2021-01-09T00:00:00"/>
  </r>
  <r>
    <s v="Prym Consumer Europe GmbH"/>
    <x v="0"/>
    <s v="No growth Potential"/>
    <x v="4"/>
    <x v="7"/>
    <s v="Stolberg"/>
    <n v="113613"/>
    <s v="24-08-2022"/>
    <n v="0"/>
    <d v="2022-02-11T00:00:00"/>
  </r>
  <r>
    <s v="MeinAuto GmbH"/>
    <x v="0"/>
    <s v="No growth Potential"/>
    <x v="4"/>
    <x v="7"/>
    <s v="Köln"/>
    <n v="100385"/>
    <s v="23-09-2022"/>
    <n v="0"/>
    <d v="2022-02-11T00:00:00"/>
  </r>
  <r>
    <s v="SH Telekommunikation Deutschland GmbH"/>
    <x v="0"/>
    <s v="No growth Potential"/>
    <x v="4"/>
    <x v="7"/>
    <s v="Köln"/>
    <n v="120907"/>
    <s v="13-03-2023"/>
    <n v="0"/>
    <d v="2023-02-04T00:00:00"/>
  </r>
  <r>
    <s v="MKS (Switzerland) SA"/>
    <x v="0"/>
    <s v="No growth Potential"/>
    <x v="4"/>
    <x v="10"/>
    <s v="GENÈVE"/>
    <n v="38854"/>
    <d v="2023-03-01T00:00:00"/>
    <n v="0"/>
    <d v="2023-02-02T00:00:00"/>
  </r>
  <r>
    <s v="Leica Geosystems AG"/>
    <x v="0"/>
    <s v="No growth Potential"/>
    <x v="4"/>
    <x v="10"/>
    <s v="TBD"/>
    <n v="88044"/>
    <s v="13-03-2022"/>
    <n v="0"/>
    <d v="2022-02-05T00:00:00"/>
  </r>
  <r>
    <s v="Brüder Schlau GmbH &amp; Co. KG"/>
    <x v="0"/>
    <s v="No growth Potential"/>
    <x v="4"/>
    <x v="7"/>
    <s v="Porta Westfalica"/>
    <n v="118810"/>
    <s v="23-09-2022"/>
    <n v="0"/>
    <d v="2022-02-12T00:00:00"/>
  </r>
  <r>
    <s v="Christian Goldschmiede AG"/>
    <x v="0"/>
    <s v="No growth Potential"/>
    <x v="4"/>
    <x v="10"/>
    <s v="Zürich"/>
    <n v="85086"/>
    <s v="23-06-2022"/>
    <n v="0"/>
    <d v="2022-02-08T00:00:00"/>
  </r>
  <r>
    <s v="BUTLERS GmbH &amp; Co. KG"/>
    <x v="0"/>
    <s v="No growth Potential"/>
    <x v="4"/>
    <x v="7"/>
    <s v="Köln"/>
    <n v="118955"/>
    <d v="2022-03-09T00:00:00"/>
    <n v="0"/>
    <d v="2022-02-11T00:00:00"/>
  </r>
  <r>
    <s v="European Energy Exchange AG"/>
    <x v="0"/>
    <s v="No growth Potential"/>
    <x v="4"/>
    <x v="7"/>
    <s v="Leipzig"/>
    <n v="40909"/>
    <s v="13-05-2022"/>
    <n v="0"/>
    <d v="2022-02-07T00:00:00"/>
  </r>
  <r>
    <s v="AnyDesk Software GmbH"/>
    <x v="0"/>
    <s v="No growth Potential"/>
    <x v="4"/>
    <x v="7"/>
    <s v="Stuttgart"/>
    <n v="92898"/>
    <s v="13-01-2023"/>
    <n v="0"/>
    <d v="2023-02-02T00:00:00"/>
  </r>
  <r>
    <s v="Braas Alles Gut Bedacht"/>
    <x v="0"/>
    <s v="No growth Potential"/>
    <x v="4"/>
    <x v="7"/>
    <s v="TBD"/>
    <n v="44975"/>
    <s v="22-12-2021"/>
    <n v="0"/>
    <d v="2022-02-03T00:00:00"/>
  </r>
  <r>
    <s v="Stadtgemeinde Leonding"/>
    <x v="0"/>
    <s v="No growth Potential"/>
    <x v="4"/>
    <x v="9"/>
    <s v="Leonding"/>
    <n v="143641"/>
    <d v="2022-01-01T00:00:00"/>
    <n v="0"/>
    <d v="2022-02-03T00:00:00"/>
  </r>
  <r>
    <s v="B·A·D Gesundheitsvorsorge und Sicherheitstechnik GmbH"/>
    <x v="0"/>
    <s v="No growth Potential"/>
    <x v="4"/>
    <x v="7"/>
    <s v="Bonn"/>
    <n v="199851"/>
    <d v="2022-03-09T00:00:00"/>
    <n v="0"/>
    <d v="2022-02-11T00:00:00"/>
  </r>
  <r>
    <s v="Landesärztekammer Hessen"/>
    <x v="0"/>
    <s v="No growth Potential"/>
    <x v="4"/>
    <x v="7"/>
    <s v="Frankfurt am Main"/>
    <n v="42413"/>
    <s v="24-11-2021"/>
    <n v="0"/>
    <d v="2022-02-02T00:00:00"/>
  </r>
  <r>
    <s v="BIKE &amp; OUTDOOR COMPANY GmbH &amp; Co. KG"/>
    <x v="0"/>
    <s v="No growth Potential"/>
    <x v="4"/>
    <x v="7"/>
    <s v="Hamburg"/>
    <n v="57603"/>
    <s v="23-09-2022"/>
    <n v="0"/>
    <d v="2022-02-11T00:00:00"/>
  </r>
  <r>
    <s v="die.interaktiven GmbH &amp; Co. KG"/>
    <x v="0"/>
    <s v="No growth Potential"/>
    <x v="4"/>
    <x v="7"/>
    <s v="TBD"/>
    <n v="162488"/>
    <s v="13-08-2022"/>
    <n v="0"/>
    <d v="2022-02-10T00:00:00"/>
  </r>
  <r>
    <s v="Siegfried AG"/>
    <x v="0"/>
    <s v="No growth Potential"/>
    <x v="4"/>
    <x v="10"/>
    <s v="Zofingen"/>
    <n v="79855"/>
    <s v="23-09-2022"/>
    <n v="0"/>
    <d v="2022-02-11T00:00:00"/>
  </r>
  <r>
    <s v="EFG International"/>
    <x v="0"/>
    <s v="No growth Potential"/>
    <x v="4"/>
    <x v="10"/>
    <s v="Zurich"/>
    <n v="100788"/>
    <s v="23-09-2022"/>
    <n v="0"/>
    <d v="2022-02-11T00:00:00"/>
  </r>
  <r>
    <s v="Diringer &amp; Scheidel Gmbh"/>
    <x v="0"/>
    <s v="No growth Potential"/>
    <x v="4"/>
    <x v="7"/>
    <s v="Mannheim"/>
    <n v="178327"/>
    <s v="24-08-2022"/>
    <n v="0"/>
    <d v="2022-02-11T00:00:00"/>
  </r>
  <r>
    <s v="Kamps"/>
    <x v="0"/>
    <s v="No growth Potential"/>
    <x v="4"/>
    <x v="7"/>
    <s v="Düsseldorf"/>
    <n v="103310"/>
    <s v="23-01-2022"/>
    <n v="0"/>
    <d v="2022-02-02T00:00:00"/>
  </r>
  <r>
    <s v="UDG United Digital Group GmbH"/>
    <x v="1"/>
    <s v="Medium Growth"/>
    <x v="4"/>
    <x v="7"/>
    <s v="Herrenberg"/>
    <n v="170814"/>
    <d v="2023-03-05T00:00:00"/>
    <n v="24402"/>
    <s v="23-05-2023"/>
  </r>
  <r>
    <s v="regio iT gesellschaft für informationstechnologie mbh"/>
    <x v="0"/>
    <s v="No growth Potential"/>
    <x v="4"/>
    <x v="7"/>
    <s v="Aachen"/>
    <n v="80118"/>
    <s v="23-05-2021"/>
    <n v="0"/>
    <d v="2021-01-08T00:00:00"/>
  </r>
  <r>
    <s v="Kreisverwaltung Unna"/>
    <x v="0"/>
    <s v="No growth Potential"/>
    <x v="4"/>
    <x v="7"/>
    <s v="Unna"/>
    <n v="124559"/>
    <s v="24-07-2022"/>
    <n v="0"/>
    <d v="2022-02-10T00:00:00"/>
  </r>
  <r>
    <s v="Senvion GmbH"/>
    <x v="0"/>
    <s v="No growth Potential"/>
    <x v="4"/>
    <x v="7"/>
    <s v="Hamburg"/>
    <n v="122620"/>
    <s v="13-09-2022"/>
    <n v="0"/>
    <d v="2022-02-11T00:00:00"/>
  </r>
  <r>
    <s v="Blume 2000 new media ag"/>
    <x v="0"/>
    <s v="No growth Potential"/>
    <x v="4"/>
    <x v="7"/>
    <s v="Norderstedt"/>
    <n v="47890"/>
    <s v="22-08-2021"/>
    <n v="0"/>
    <d v="2021-01-09T00:00:00"/>
  </r>
  <r>
    <s v="DOK SYSTEME"/>
    <x v="0"/>
    <s v="No growth Potential"/>
    <x v="4"/>
    <x v="7"/>
    <s v="Garbsen"/>
    <n v="113694"/>
    <s v="13-09-2022"/>
    <n v="0"/>
    <d v="2022-02-11T00:00:00"/>
  </r>
  <r>
    <s v="Hans Segmüller Polstermöbelfabrik GmbH &amp; Co. KG"/>
    <x v="0"/>
    <s v="No growth Potential"/>
    <x v="4"/>
    <x v="7"/>
    <s v="Friedberg"/>
    <n v="131573"/>
    <s v="14-12-2021"/>
    <n v="0"/>
    <d v="2022-02-02T00:00:00"/>
  </r>
  <r>
    <s v="OOEV"/>
    <x v="0"/>
    <s v="No growth Potential"/>
    <x v="4"/>
    <x v="9"/>
    <s v="TBD"/>
    <n v="92127"/>
    <s v="23-10-2022"/>
    <n v="0"/>
    <d v="2022-02-11T00:00:00"/>
  </r>
  <r>
    <s v="Erich NETZSCH GmbH &amp; Co. Holding KG"/>
    <x v="0"/>
    <s v="No growth Potential"/>
    <x v="4"/>
    <x v="7"/>
    <s v="Selb"/>
    <n v="122628"/>
    <s v="23-09-2022"/>
    <n v="0"/>
    <d v="2022-02-11T00:00:00"/>
  </r>
  <r>
    <s v="KHS GmbH"/>
    <x v="0"/>
    <s v="No growth Potential"/>
    <x v="4"/>
    <x v="7"/>
    <s v="Dortmund"/>
    <n v="74399"/>
    <s v="24-08-2022"/>
    <n v="0"/>
    <d v="2022-02-11T00:00:00"/>
  </r>
  <r>
    <s v="eCom Logistik GmbH &amp; Co. KG"/>
    <x v="0"/>
    <s v="No growth Potential"/>
    <x v="4"/>
    <x v="7"/>
    <s v="Falkensee"/>
    <n v="58295"/>
    <s v="24-08-2022"/>
    <n v="0"/>
    <d v="2022-02-11T00:00:00"/>
  </r>
  <r>
    <s v="Ankerkraut GmbH"/>
    <x v="0"/>
    <s v="No growth Potential"/>
    <x v="4"/>
    <x v="7"/>
    <s v="Jesteburg"/>
    <n v="118703"/>
    <s v="13-07-2022"/>
    <n v="0"/>
    <d v="2022-02-08T00:00:00"/>
  </r>
  <r>
    <s v="Cotecna"/>
    <x v="0"/>
    <s v="No growth Potential"/>
    <x v="4"/>
    <x v="10"/>
    <s v="TBD"/>
    <n v="140673"/>
    <s v="13-05-2022"/>
    <n v="0"/>
    <d v="2022-02-07T00:00:00"/>
  </r>
  <r>
    <s v="Keramik Keramische Werke GmbH"/>
    <x v="0"/>
    <s v="No growth Potential"/>
    <x v="4"/>
    <x v="7"/>
    <s v="Ratingen"/>
    <n v="136262"/>
    <s v="22-01-2022"/>
    <n v="0"/>
    <d v="2022-02-04T00:00:00"/>
  </r>
  <r>
    <s v="Ev. Krankenhausgemeinschaft Herne-Castrop-Rauxel"/>
    <x v="0"/>
    <s v="No growth Potential"/>
    <x v="4"/>
    <x v="7"/>
    <s v="Herne"/>
    <n v="55063"/>
    <d v="2022-12-06T00:00:00"/>
    <n v="0"/>
    <d v="2022-02-07T00:00:00"/>
  </r>
  <r>
    <s v="E/D/E ? Einkaufsbüro Deutscher Eisenhändler"/>
    <x v="0"/>
    <s v="No growth Potential"/>
    <x v="4"/>
    <x v="7"/>
    <s v="Wuppertal"/>
    <n v="113586"/>
    <d v="2022-03-11T00:00:00"/>
    <n v="0"/>
    <d v="2023-02-01T00:00:00"/>
  </r>
  <r>
    <s v="CHRIST Juweliere und Uhrmacher seit 1863 GmbH"/>
    <x v="0"/>
    <s v="No growth Potential"/>
    <x v="4"/>
    <x v="7"/>
    <s v="Hagen"/>
    <n v="105276"/>
    <s v="22-02-2022"/>
    <n v="0"/>
    <d v="2022-04-03T00:00:00"/>
  </r>
  <r>
    <s v="item Industrietechnik GmbH"/>
    <x v="0"/>
    <s v="No growth Potential"/>
    <x v="4"/>
    <x v="7"/>
    <s v="Solingen"/>
    <n v="101400"/>
    <s v="23-10-2022"/>
    <n v="0"/>
    <d v="2022-02-11T00:00:00"/>
  </r>
  <r>
    <s v="EBF-EDV Beratung Föllmer GmbH"/>
    <x v="0"/>
    <s v="No growth Potential"/>
    <x v="4"/>
    <x v="7"/>
    <s v="Köln"/>
    <n v="93074"/>
    <d v="2022-03-10T00:00:00"/>
    <n v="0"/>
    <d v="2022-02-12T00:00:00"/>
  </r>
  <r>
    <s v="HTBLA Traun"/>
    <x v="0"/>
    <s v="No growth Potential"/>
    <x v="4"/>
    <x v="9"/>
    <s v="TRAUN"/>
    <n v="103312"/>
    <d v="2022-04-07T00:00:00"/>
    <n v="0"/>
    <d v="2022-02-09T00:00:00"/>
  </r>
  <r>
    <s v="NORDSEE GmbH"/>
    <x v="0"/>
    <s v="No growth Potential"/>
    <x v="4"/>
    <x v="7"/>
    <s v="Bremerhaven"/>
    <n v="164828"/>
    <d v="2022-03-10T00:00:00"/>
    <n v="0"/>
    <d v="2022-02-11T00:00:00"/>
  </r>
  <r>
    <s v="SVA System Vertrieb Alexander GmbH"/>
    <x v="0"/>
    <s v="No growth Potential"/>
    <x v="4"/>
    <x v="7"/>
    <s v="Dortmund"/>
    <n v="403644"/>
    <d v="2021-03-12T00:00:00"/>
    <n v="0"/>
    <d v="2022-01-02T00:00:00"/>
  </r>
  <r>
    <s v="Büromarkt Böttcher AG"/>
    <x v="0"/>
    <s v="No growth Potential"/>
    <x v="4"/>
    <x v="7"/>
    <s v="TBD"/>
    <n v="403777"/>
    <s v="23-04-2022"/>
    <n v="0"/>
    <d v="2022-02-06T00:00:00"/>
  </r>
  <r>
    <s v="Degussa Goldhandel GmbH"/>
    <x v="0"/>
    <s v="No growth Potential"/>
    <x v="4"/>
    <x v="7"/>
    <s v="München"/>
    <n v="350877"/>
    <s v="23-05-2022"/>
    <n v="0"/>
    <d v="2022-02-07T00:00:00"/>
  </r>
  <r>
    <s v="Lapado Handelsgesellschaft mbH"/>
    <x v="0"/>
    <s v="No growth Potential"/>
    <x v="4"/>
    <x v="7"/>
    <s v="Potsdam"/>
    <n v="218991"/>
    <s v="23-01-2022"/>
    <n v="0"/>
    <d v="2022-02-02T00:00:00"/>
  </r>
  <r>
    <s v="Mekra"/>
    <x v="0"/>
    <s v="No growth Potential"/>
    <x v="4"/>
    <x v="7"/>
    <s v="TBD"/>
    <n v="121680"/>
    <d v="2022-12-04T00:00:00"/>
    <n v="0"/>
    <d v="2022-02-05T00:00:00"/>
  </r>
  <r>
    <s v="erfal GmbH &amp; Co. KG"/>
    <x v="0"/>
    <s v="No growth Potential"/>
    <x v="4"/>
    <x v="7"/>
    <s v="Falkenstein"/>
    <m/>
    <s v="13-03-2022"/>
    <n v="0"/>
    <d v="2022-02-04T00:00:00"/>
  </r>
  <r>
    <s v="SDV Vergabe GmbH"/>
    <x v="0"/>
    <s v="No growth Potential"/>
    <x v="4"/>
    <x v="7"/>
    <s v="Dresden"/>
    <n v="209133"/>
    <s v="24-07-2022"/>
    <n v="0"/>
    <d v="2022-02-09T00:00:00"/>
  </r>
  <r>
    <s v="Ernst Dello GmbH &amp; Co. KG"/>
    <x v="0"/>
    <s v="No growth Potential"/>
    <x v="4"/>
    <x v="7"/>
    <s v="Hamburg"/>
    <n v="184665"/>
    <s v="24-08-2022"/>
    <n v="0"/>
    <d v="2022-02-11T00:00:00"/>
  </r>
  <r>
    <s v="GöTel GmbH"/>
    <x v="0"/>
    <s v="No growth Potential"/>
    <x v="4"/>
    <x v="7"/>
    <s v="Göttingen"/>
    <n v="42980"/>
    <s v="24-08-2022"/>
    <n v="0"/>
    <d v="2022-02-11T00:00:00"/>
  </r>
  <r>
    <s v="DER Fuchs GmbH"/>
    <x v="0"/>
    <s v="No growth Potential"/>
    <x v="4"/>
    <x v="7"/>
    <s v="Bad Fallingbos"/>
    <n v="149219"/>
    <s v="13-10-2022"/>
    <n v="0"/>
    <d v="2022-02-11T00:00:00"/>
  </r>
  <r>
    <s v="CPC Unternehmensmanagement AG"/>
    <x v="0"/>
    <s v="No growth Potential"/>
    <x v="4"/>
    <x v="7"/>
    <s v="Frankfurt am Main"/>
    <n v="132275"/>
    <s v="13-05-2023"/>
    <n v="0"/>
    <d v="2023-02-06T00:00:00"/>
  </r>
  <r>
    <s v="Springlane GmbH"/>
    <x v="0"/>
    <s v="No growth Potential"/>
    <x v="4"/>
    <x v="7"/>
    <s v="Düsseldorf"/>
    <n v="146500"/>
    <s v="13-07-2022"/>
    <n v="0"/>
    <d v="2022-02-08T00:00:00"/>
  </r>
  <r>
    <s v="Reichelt Elektronik GmbH &amp; Co. KG"/>
    <x v="0"/>
    <s v="No growth Potential"/>
    <x v="4"/>
    <x v="7"/>
    <s v="Sande"/>
    <n v="126360"/>
    <d v="2022-03-10T00:00:00"/>
    <n v="0"/>
    <d v="2022-02-11T00:00:00"/>
  </r>
  <r>
    <s v="SCHUNK GmbH &amp; Co. KG"/>
    <x v="0"/>
    <s v="No growth Potential"/>
    <x v="4"/>
    <x v="7"/>
    <s v="Lauffen/Neckar"/>
    <n v="109475"/>
    <s v="13-10-2022"/>
    <n v="0"/>
    <d v="2022-02-11T00:00:00"/>
  </r>
  <r>
    <s v="Roast Market GmbH"/>
    <x v="0"/>
    <s v="No growth Potential"/>
    <x v="4"/>
    <x v="7"/>
    <s v="Frankfurt am Main"/>
    <n v="130170"/>
    <s v="22-12-2021"/>
    <n v="0"/>
    <d v="2022-02-03T00:00:00"/>
  </r>
  <r>
    <s v="Handelshaus Wagner GmbH"/>
    <x v="0"/>
    <s v="No growth Potential"/>
    <x v="4"/>
    <x v="7"/>
    <s v="Nidda"/>
    <n v="139354"/>
    <s v="23-01-2022"/>
    <n v="0"/>
    <d v="2022-02-02T00:00:00"/>
  </r>
  <r>
    <s v="RatePAY GmbH"/>
    <x v="1"/>
    <s v="High Growth potential"/>
    <x v="4"/>
    <x v="7"/>
    <s v="Berlin"/>
    <n v="143630"/>
    <s v="25-12-2021"/>
    <n v="71815"/>
    <s v="23-02-2022"/>
  </r>
  <r>
    <s v="Neopoly GmbH"/>
    <x v="0"/>
    <s v="No growth Potential"/>
    <x v="4"/>
    <x v="7"/>
    <s v="Bochum"/>
    <n v="383121"/>
    <s v="13-09-2022"/>
    <n v="0"/>
    <d v="2022-02-11T00:00:00"/>
  </r>
  <r>
    <s v="KAISER+KRAFT GmbH"/>
    <x v="0"/>
    <s v="No growth Potential"/>
    <x v="4"/>
    <x v="7"/>
    <s v="Stuttgart"/>
    <n v="78686"/>
    <d v="2022-03-09T00:00:00"/>
    <n v="0"/>
    <d v="2022-02-11T00:00:00"/>
  </r>
  <r>
    <s v="Fielmann AG"/>
    <x v="1"/>
    <s v="Medium Growth"/>
    <x v="4"/>
    <x v="7"/>
    <s v="Hamburg"/>
    <n v="85668"/>
    <s v="26-04-2022"/>
    <n v="42834"/>
    <d v="2022-05-06T00:00:00"/>
  </r>
  <r>
    <s v="KATAG AG"/>
    <x v="0"/>
    <s v="No growth Potential"/>
    <x v="4"/>
    <x v="7"/>
    <s v="Bielefeld"/>
    <n v="114524"/>
    <d v="2022-03-09T00:00:00"/>
    <n v="0"/>
    <d v="2022-02-11T00:00:00"/>
  </r>
  <r>
    <s v="Caseking GmbH"/>
    <x v="0"/>
    <s v="No growth Potential"/>
    <x v="4"/>
    <x v="7"/>
    <s v="Berlin"/>
    <n v="126095"/>
    <d v="2022-03-01T00:00:00"/>
    <n v="0"/>
    <d v="2022-02-02T00:00:00"/>
  </r>
  <r>
    <s v="RIEDEL Communications GmbH &amp; Co. KG"/>
    <x v="0"/>
    <s v="No growth Potential"/>
    <x v="4"/>
    <x v="7"/>
    <s v="Wuppertal"/>
    <n v="28516"/>
    <s v="21-02-2023"/>
    <n v="0"/>
    <d v="2023-02-04T00:00:00"/>
  </r>
  <r>
    <s v="MONACOR INTERNATIONAL GmbH &amp; Co. KG"/>
    <x v="0"/>
    <s v="No growth Potential"/>
    <x v="4"/>
    <x v="7"/>
    <s v="Bremen"/>
    <n v="218565"/>
    <d v="2022-03-10T00:00:00"/>
    <n v="0"/>
    <d v="2022-02-11T00:00:00"/>
  </r>
  <r>
    <s v="UTM Muellergroup"/>
    <x v="0"/>
    <s v="No growth Potential"/>
    <x v="4"/>
    <x v="7"/>
    <s v="Freising"/>
    <n v="118900"/>
    <s v="23-10-2022"/>
    <n v="0"/>
    <d v="2022-02-11T00:00:00"/>
  </r>
  <r>
    <s v="Futurways GmbH"/>
    <x v="0"/>
    <s v="No growth Potential"/>
    <x v="4"/>
    <x v="10"/>
    <s v="TBD"/>
    <n v="172647"/>
    <d v="2022-02-06T00:00:00"/>
    <n v="0"/>
    <d v="2022-02-07T00:00:00"/>
  </r>
  <r>
    <s v="bc GmbH &amp; Co."/>
    <x v="0"/>
    <s v="No growth Potential"/>
    <x v="4"/>
    <x v="7"/>
    <s v="Würselen"/>
    <n v="103753"/>
    <d v="2022-03-10T00:00:00"/>
    <n v="0"/>
    <d v="2022-02-11T00:00:00"/>
  </r>
  <r>
    <s v="ATP Auto-Teile-Pöllath Handels GmbH"/>
    <x v="0"/>
    <s v="No growth Potential"/>
    <x v="4"/>
    <x v="7"/>
    <s v="Pressath"/>
    <n v="122275"/>
    <s v="22-08-2021"/>
    <n v="0"/>
    <d v="2021-01-09T00:00:00"/>
  </r>
  <r>
    <s v="GetYourGuide AG"/>
    <x v="0"/>
    <s v="No growth Potential"/>
    <x v="4"/>
    <x v="10"/>
    <s v="Zurich"/>
    <n v="144595"/>
    <s v="24-08-2022"/>
    <n v="0"/>
    <d v="2022-02-11T00:00:00"/>
  </r>
  <r>
    <s v="BOA Group"/>
    <x v="0"/>
    <s v="No growth Potential"/>
    <x v="4"/>
    <x v="7"/>
    <s v="Tilburg"/>
    <n v="143620"/>
    <s v="24-08-2022"/>
    <n v="0"/>
    <d v="2022-02-11T00:00:00"/>
  </r>
  <r>
    <s v="Bausch+Ströbel"/>
    <x v="0"/>
    <s v="No growth Potential"/>
    <x v="4"/>
    <x v="7"/>
    <s v="TBD"/>
    <m/>
    <s v="14-12-2021"/>
    <n v="0"/>
    <d v="2022-02-02T00:00:00"/>
  </r>
  <r>
    <s v="WERU GmbH"/>
    <x v="0"/>
    <s v="No growth Potential"/>
    <x v="4"/>
    <x v="7"/>
    <s v="Rudersberg"/>
    <n v="86471"/>
    <s v="13-10-2022"/>
    <n v="0"/>
    <d v="2022-02-11T00:00:00"/>
  </r>
  <r>
    <s v="Schecker GmbH"/>
    <x v="0"/>
    <s v="No growth Potential"/>
    <x v="4"/>
    <x v="7"/>
    <s v="Südbrookmerland"/>
    <n v="189466"/>
    <s v="23-09-2022"/>
    <n v="0"/>
    <d v="2022-02-11T00:00:00"/>
  </r>
  <r>
    <s v="Evangelische Perthes-Stiftung eV"/>
    <x v="0"/>
    <s v="No growth Potential"/>
    <x v="4"/>
    <x v="7"/>
    <s v="Münster"/>
    <n v="311127"/>
    <d v="2022-10-02T00:00:00"/>
    <n v="0"/>
    <d v="2022-02-03T00:00:00"/>
  </r>
  <r>
    <s v="M+W Group GmbH"/>
    <x v="0"/>
    <s v="No growth Potential"/>
    <x v="4"/>
    <x v="7"/>
    <s v="Stuttgart"/>
    <n v="72195"/>
    <s v="13-09-2022"/>
    <n v="0"/>
    <d v="2022-02-11T00:00:00"/>
  </r>
  <r>
    <s v="CureVac AG"/>
    <x v="0"/>
    <s v="No growth Potential"/>
    <x v="4"/>
    <x v="7"/>
    <s v="Tübingen"/>
    <n v="87983"/>
    <s v="13-05-2022"/>
    <n v="0"/>
    <d v="2022-02-06T00:00:00"/>
  </r>
  <r>
    <s v="KHD Humboldt Wedag International AG"/>
    <x v="0"/>
    <s v="No growth Potential"/>
    <x v="4"/>
    <x v="7"/>
    <s v="Cologne"/>
    <n v="153536"/>
    <s v="21-02-2023"/>
    <n v="0"/>
    <d v="2023-02-05T00:00:00"/>
  </r>
  <r>
    <s v="Information Service Center WBF ISCeco"/>
    <x v="0"/>
    <s v="No growth Potential"/>
    <x v="4"/>
    <x v="10"/>
    <s v="Bern"/>
    <n v="100504"/>
    <s v="23-05-2022"/>
    <n v="0"/>
    <d v="2022-02-07T00:00:00"/>
  </r>
  <r>
    <s v="Miele &amp; Cie. KG"/>
    <x v="1"/>
    <s v="No growth Potential"/>
    <x v="4"/>
    <x v="7"/>
    <s v="Gütersloh"/>
    <n v="143789"/>
    <s v="25-10-2022"/>
    <n v="71894"/>
    <s v="14-11-2022"/>
  </r>
  <r>
    <s v="GEFRO-Reformversand Frommlet KG - gefro.de"/>
    <x v="0"/>
    <s v="No growth Potential"/>
    <x v="4"/>
    <x v="7"/>
    <s v="Memmingen/ Allgäu"/>
    <n v="101425"/>
    <s v="21-02-2023"/>
    <n v="0"/>
    <d v="2023-02-05T00:00:00"/>
  </r>
  <r>
    <s v="Symrise AG"/>
    <x v="0"/>
    <s v="No growth Potential"/>
    <x v="4"/>
    <x v="7"/>
    <s v="Holzminden"/>
    <n v="288868"/>
    <s v="24-08-2022"/>
    <n v="0"/>
    <d v="2022-02-11T00:00:00"/>
  </r>
  <r>
    <s v="Picanova GmbH"/>
    <x v="0"/>
    <s v="No growth Potential"/>
    <x v="4"/>
    <x v="7"/>
    <s v="Koeln"/>
    <n v="74394"/>
    <s v="23-03-2022"/>
    <n v="0"/>
    <d v="2022-02-04T00:00:00"/>
  </r>
  <r>
    <s v="Neuspur"/>
    <x v="0"/>
    <s v="No growth Potential"/>
    <x v="4"/>
    <x v="7"/>
    <s v="Berlin"/>
    <n v="105714"/>
    <s v="24-08-2022"/>
    <n v="0"/>
    <d v="2022-02-11T00:00:00"/>
  </r>
  <r>
    <s v="Corden Pharma"/>
    <x v="0"/>
    <s v="No growth Potential"/>
    <x v="4"/>
    <x v="10"/>
    <s v="TBD"/>
    <n v="209804"/>
    <d v="2022-12-09T00:00:00"/>
    <n v="0"/>
    <d v="2022-02-10T00:00:00"/>
  </r>
  <r>
    <s v="EPAM Systems GmbH"/>
    <x v="0"/>
    <s v="No growth Potential"/>
    <x v="4"/>
    <x v="7"/>
    <s v="Frankfurt am Main"/>
    <n v="104785"/>
    <s v="13-10-2022"/>
    <n v="0"/>
    <d v="2022-02-11T00:00:00"/>
  </r>
  <r>
    <s v="Triple A Marketing GmbH"/>
    <x v="0"/>
    <s v="No growth Potential"/>
    <x v="4"/>
    <x v="7"/>
    <s v="Bielefeld"/>
    <n v="353362"/>
    <d v="2022-03-09T00:00:00"/>
    <n v="0"/>
    <d v="2022-02-11T00:00:00"/>
  </r>
  <r>
    <s v="Herrenknecht AG"/>
    <x v="0"/>
    <s v="No growth Potential"/>
    <x v="4"/>
    <x v="7"/>
    <s v="Schwanau"/>
    <n v="182024"/>
    <d v="2022-03-10T00:00:00"/>
    <n v="0"/>
    <d v="2022-02-11T00:00:00"/>
  </r>
  <r>
    <s v="LAYER-Grosshandel GmbH &amp; Co. KG"/>
    <x v="0"/>
    <s v="No growth Potential"/>
    <x v="4"/>
    <x v="7"/>
    <s v="Tettnang"/>
    <n v="246074"/>
    <s v="23-12-2022"/>
    <n v="0"/>
    <d v="2023-02-01T00:00:00"/>
  </r>
  <r>
    <s v="Flightright GmbH"/>
    <x v="0"/>
    <s v="No growth Potential"/>
    <x v="4"/>
    <x v="7"/>
    <s v="Potsdam"/>
    <n v="202454"/>
    <s v="24-08-2022"/>
    <n v="0"/>
    <d v="2022-02-11T00:00:00"/>
  </r>
  <r>
    <s v="Helen of Troy"/>
    <x v="0"/>
    <s v="No growth Potential"/>
    <x v="4"/>
    <x v="10"/>
    <s v="TBD"/>
    <n v="118499"/>
    <d v="2022-03-09T00:00:00"/>
    <n v="0"/>
    <d v="2022-02-11T00:00:00"/>
  </r>
  <r>
    <s v="Riedel Networks GmbH &amp; Co. KG"/>
    <x v="0"/>
    <s v="No growth Potential"/>
    <x v="4"/>
    <x v="7"/>
    <s v="Butzbach"/>
    <n v="124768"/>
    <s v="24-08-2022"/>
    <n v="0"/>
    <d v="2022-02-11T00:00:00"/>
  </r>
  <r>
    <s v="Getec Energie"/>
    <x v="0"/>
    <s v="No growth Potential"/>
    <x v="4"/>
    <x v="7"/>
    <s v="TBD"/>
    <n v="330450"/>
    <s v="23-09-2022"/>
    <n v="0"/>
    <d v="2022-02-11T00:00:00"/>
  </r>
  <r>
    <s v="Einrichtungshaus Ostermann GmbH &amp; Co.KG"/>
    <x v="0"/>
    <s v="No growth Potential"/>
    <x v="4"/>
    <x v="7"/>
    <s v="Witten"/>
    <n v="39036"/>
    <s v="14-12-2022"/>
    <n v="0"/>
    <d v="2023-02-02T00:00:00"/>
  </r>
  <r>
    <s v="Last Minute Tours - Reisen in letzter Minute Flugticket - und Restplatzbörse Ges.m.b.H."/>
    <x v="0"/>
    <s v="No growth Potential"/>
    <x v="4"/>
    <x v="9"/>
    <s v="Wien"/>
    <n v="56381"/>
    <s v="14-12-2021"/>
    <n v="0"/>
    <d v="2022-02-02T00:00:00"/>
  </r>
  <r>
    <s v="energis GmbH+"/>
    <x v="0"/>
    <s v="No growth Potential"/>
    <x v="4"/>
    <x v="7"/>
    <s v="Saarbrücken"/>
    <n v="184685"/>
    <d v="2022-03-09T00:00:00"/>
    <n v="0"/>
    <d v="2022-02-11T00:00:00"/>
  </r>
  <r>
    <s v="Mikron"/>
    <x v="0"/>
    <s v="No growth Potential"/>
    <x v="4"/>
    <x v="10"/>
    <s v="Boudry"/>
    <n v="121682"/>
    <d v="2022-03-10T00:00:00"/>
    <n v="0"/>
    <d v="2022-02-11T00:00:00"/>
  </r>
  <r>
    <s v="Widder Hotel"/>
    <x v="0"/>
    <s v="No growth Potential"/>
    <x v="4"/>
    <x v="10"/>
    <s v="TBD"/>
    <n v="217224"/>
    <s v="13-10-2022"/>
    <n v="0"/>
    <d v="2022-02-11T00:00:00"/>
  </r>
  <r>
    <s v="Buchbinder Rent-a-car"/>
    <x v="0"/>
    <s v="No growth Potential"/>
    <x v="4"/>
    <x v="7"/>
    <s v="Duisburg"/>
    <n v="176371"/>
    <s v="22-04-2023"/>
    <n v="0"/>
    <d v="2023-02-05T00:00:00"/>
  </r>
  <r>
    <s v="Valartis Group AG"/>
    <x v="0"/>
    <s v="No growth Potential"/>
    <x v="4"/>
    <x v="10"/>
    <s v="Fribourg"/>
    <n v="159032"/>
    <d v="2021-04-12T00:00:00"/>
    <n v="0"/>
    <d v="2022-02-02T00:00:00"/>
  </r>
  <r>
    <s v="Park Hyatt Zurich"/>
    <x v="0"/>
    <s v="No growth Potential"/>
    <x v="4"/>
    <x v="10"/>
    <s v="TBD"/>
    <n v="70911"/>
    <s v="24-11-2021"/>
    <n v="0"/>
    <d v="2022-02-02T00:00:00"/>
  </r>
  <r>
    <s v="Giesswein Walkwaren AG"/>
    <x v="0"/>
    <s v="No growth Potential"/>
    <x v="4"/>
    <x v="9"/>
    <s v="Brixlegg"/>
    <n v="128399"/>
    <s v="22-11-2022"/>
    <n v="0"/>
    <d v="2022-02-12T00:00:00"/>
  </r>
  <r>
    <s v="3tre"/>
    <x v="0"/>
    <s v="No growth Potential"/>
    <x v="4"/>
    <x v="10"/>
    <s v="TBD"/>
    <n v="74251"/>
    <s v="13-09-2022"/>
    <n v="0"/>
    <d v="2022-02-11T00:00:00"/>
  </r>
  <r>
    <s v="Gebrüder Martin GmbH &amp; Co. KG"/>
    <x v="0"/>
    <s v="No growth Potential"/>
    <x v="4"/>
    <x v="7"/>
    <s v="Tuttlingen"/>
    <n v="115057"/>
    <s v="24-08-2022"/>
    <n v="0"/>
    <d v="2022-02-11T00:00:00"/>
  </r>
  <r>
    <s v="Tirendo Holding GmbH"/>
    <x v="0"/>
    <s v="No growth Potential"/>
    <x v="4"/>
    <x v="7"/>
    <s v="Berlin"/>
    <n v="116925"/>
    <d v="2022-03-09T00:00:00"/>
    <n v="0"/>
    <d v="2022-02-11T00:00:00"/>
  </r>
  <r>
    <s v="BBVA"/>
    <x v="0"/>
    <s v="No growth Potential"/>
    <x v="4"/>
    <x v="10"/>
    <s v="TBD"/>
    <n v="218431"/>
    <d v="2022-03-10T00:00:00"/>
    <n v="0"/>
    <d v="2022-02-11T00:00:00"/>
  </r>
  <r>
    <s v="Kral AG"/>
    <x v="0"/>
    <s v="No growth Potential"/>
    <x v="4"/>
    <x v="9"/>
    <s v="Lustenau"/>
    <n v="114529"/>
    <d v="2022-11-01T00:00:00"/>
    <n v="0"/>
    <d v="2022-02-03T00:00:00"/>
  </r>
  <r>
    <s v="Cineplex Deutschland GmbH &amp; Co. KG"/>
    <x v="0"/>
    <s v="No growth Potential"/>
    <x v="4"/>
    <x v="7"/>
    <s v="Wuppertal"/>
    <n v="61811"/>
    <s v="13-04-2023"/>
    <n v="0"/>
    <d v="2023-02-06T00:00:00"/>
  </r>
  <r>
    <s v="WIR Bank Cooperative"/>
    <x v="0"/>
    <s v="No growth Potential"/>
    <x v="4"/>
    <x v="10"/>
    <s v="Basel"/>
    <n v="80117"/>
    <s v="24-03-2022"/>
    <n v="0"/>
    <d v="2022-02-06T00:00:00"/>
  </r>
  <r>
    <s v="zPDC GmbH"/>
    <x v="0"/>
    <s v="No growth Potential"/>
    <x v="4"/>
    <x v="7"/>
    <s v="Bremen"/>
    <n v="162884"/>
    <s v="23-10-2022"/>
    <n v="0"/>
    <d v="2022-02-11T00:00:00"/>
  </r>
  <r>
    <s v="KUKA AG"/>
    <x v="1"/>
    <s v="Medium Growth"/>
    <x v="4"/>
    <x v="7"/>
    <s v="Augsburg"/>
    <n v="199473"/>
    <d v="2022-04-11T00:00:00"/>
    <n v="99736"/>
    <s v="14-11-2022"/>
  </r>
  <r>
    <s v="Kanton Zug"/>
    <x v="0"/>
    <s v="No growth Potential"/>
    <x v="4"/>
    <x v="10"/>
    <s v="Zug"/>
    <n v="74410"/>
    <d v="2022-03-01T00:00:00"/>
    <n v="0"/>
    <d v="2022-02-02T00:00:00"/>
  </r>
  <r>
    <s v="Schumacher GmbH"/>
    <x v="0"/>
    <s v="No growth Potential"/>
    <x v="4"/>
    <x v="7"/>
    <s v="Mannheim"/>
    <n v="118668"/>
    <s v="24-03-2022"/>
    <n v="0"/>
    <d v="2022-02-06T00:00:00"/>
  </r>
  <r>
    <s v="Seal One AG"/>
    <x v="0"/>
    <s v="No growth Potential"/>
    <x v="4"/>
    <x v="7"/>
    <s v="Frankfurt am Main"/>
    <n v="63766"/>
    <s v="21-01-2022"/>
    <n v="0"/>
    <d v="2022-02-03T00:00:00"/>
  </r>
  <r>
    <s v="J.Wagner GmbH"/>
    <x v="0"/>
    <s v="No growth Potential"/>
    <x v="4"/>
    <x v="7"/>
    <s v="Markdorf"/>
    <n v="101282"/>
    <s v="22-01-2022"/>
    <n v="0"/>
    <d v="2022-02-04T00:00:00"/>
  </r>
  <r>
    <s v="ZWILLING J. A. Henckels AG"/>
    <x v="0"/>
    <s v="No growth Potential"/>
    <x v="4"/>
    <x v="7"/>
    <s v="Solingen"/>
    <n v="109936"/>
    <d v="2022-03-09T00:00:00"/>
    <n v="0"/>
    <d v="2022-02-11T00:00:00"/>
  </r>
  <r>
    <s v="Dieffenbacher GmbH &amp; Co. KG"/>
    <x v="0"/>
    <s v="No growth Potential"/>
    <x v="4"/>
    <x v="7"/>
    <s v="Eppingen"/>
    <n v="112460"/>
    <s v="24-06-2022"/>
    <n v="0"/>
    <d v="2022-02-09T00:00:00"/>
  </r>
  <r>
    <s v="Meteomatics AG"/>
    <x v="0"/>
    <s v="No growth Potential"/>
    <x v="4"/>
    <x v="10"/>
    <s v="St. Gallen"/>
    <n v="368222"/>
    <s v="23-04-2022"/>
    <n v="0"/>
    <d v="2022-02-07T00:00:00"/>
  </r>
  <r>
    <s v="TEKFOR Holding GmbH"/>
    <x v="0"/>
    <s v="No growth Potential"/>
    <x v="4"/>
    <x v="7"/>
    <s v="Offenburg"/>
    <n v="100356"/>
    <s v="13-10-2022"/>
    <n v="0"/>
    <d v="2022-02-11T00:00:00"/>
  </r>
  <r>
    <s v="METRO International AG"/>
    <x v="0"/>
    <s v="No growth Potential"/>
    <x v="4"/>
    <x v="10"/>
    <s v="Baar"/>
    <n v="98316"/>
    <d v="2022-03-12T00:00:00"/>
    <n v="0"/>
    <d v="2023-02-01T00:00:00"/>
  </r>
  <r>
    <s v="Von Roll"/>
    <x v="0"/>
    <s v="No growth Potential"/>
    <x v="4"/>
    <x v="10"/>
    <s v="TBD"/>
    <n v="106685"/>
    <s v="13-09-2022"/>
    <n v="0"/>
    <d v="2022-02-11T00:00:00"/>
  </r>
  <r>
    <s v="Oryx Energies"/>
    <x v="0"/>
    <s v="No growth Potential"/>
    <x v="4"/>
    <x v="10"/>
    <s v="TBD"/>
    <n v="111923"/>
    <s v="23-09-2022"/>
    <n v="0"/>
    <d v="2022-02-11T00:00:00"/>
  </r>
  <r>
    <s v="Axians GNS AG"/>
    <x v="0"/>
    <s v="No growth Potential"/>
    <x v="4"/>
    <x v="10"/>
    <s v="Winterthur"/>
    <n v="115032"/>
    <s v="21-02-2022"/>
    <n v="0"/>
    <d v="2022-02-04T00:00:00"/>
  </r>
  <r>
    <s v="Kepler Cheuvreux"/>
    <x v="0"/>
    <s v="No growth Potential"/>
    <x v="4"/>
    <x v="10"/>
    <s v="Eysins"/>
    <n v="104002"/>
    <s v="24-08-2022"/>
    <n v="0"/>
    <d v="2022-02-11T00:00:00"/>
  </r>
  <r>
    <s v="Bertschi AG"/>
    <x v="0"/>
    <s v="No growth Potential"/>
    <x v="4"/>
    <x v="10"/>
    <s v="Dürrenäsch"/>
    <n v="42376"/>
    <d v="2022-03-09T00:00:00"/>
    <n v="0"/>
    <d v="2022-02-11T00:00:00"/>
  </r>
  <r>
    <s v="Hoppe AG"/>
    <x v="0"/>
    <s v="No growth Potential"/>
    <x v="4"/>
    <x v="10"/>
    <s v="TBD"/>
    <n v="75938"/>
    <s v="23-09-2022"/>
    <n v="0"/>
    <d v="2022-02-11T00:00:00"/>
  </r>
  <r>
    <s v="CPNV"/>
    <x v="0"/>
    <s v="No growth Potential"/>
    <x v="4"/>
    <x v="10"/>
    <s v="TBD"/>
    <n v="98548"/>
    <s v="24-08-2022"/>
    <n v="0"/>
    <d v="2022-02-11T00:00:00"/>
  </r>
  <r>
    <s v="La Mobiliere"/>
    <x v="0"/>
    <s v="No growth Potential"/>
    <x v="4"/>
    <x v="10"/>
    <s v="TBD"/>
    <n v="55019"/>
    <s v="13-01-2022"/>
    <n v="0"/>
    <d v="2022-02-02T00:00:00"/>
  </r>
  <r>
    <s v="Senn"/>
    <x v="0"/>
    <s v="No growth Potential"/>
    <x v="4"/>
    <x v="10"/>
    <s v="TBD"/>
    <n v="139351"/>
    <s v="23-09-2022"/>
    <n v="0"/>
    <d v="2022-02-11T00:00:00"/>
  </r>
  <r>
    <s v="First Sensor AG"/>
    <x v="0"/>
    <s v="No growth Potential"/>
    <x v="4"/>
    <x v="7"/>
    <s v="Berlin"/>
    <n v="178875"/>
    <s v="23-09-2022"/>
    <n v="0"/>
    <d v="2022-02-11T00:00:00"/>
  </r>
  <r>
    <s v="EBS Sp. z o.o."/>
    <x v="1"/>
    <s v="High Growth potential"/>
    <x v="5"/>
    <x v="12"/>
    <s v="Warszawa"/>
    <n v="144738"/>
    <s v="18-09-2022"/>
    <n v="72369"/>
    <s v="17-11-2022"/>
  </r>
  <r>
    <s v="Trading 212 LTD"/>
    <x v="1"/>
    <s v="High Growth potential"/>
    <x v="5"/>
    <x v="15"/>
    <s v="Sofia"/>
    <n v="139449"/>
    <s v="15-02-2022"/>
    <n v="27890"/>
    <s v="17-03-2022"/>
  </r>
  <r>
    <s v="S.C WEEGOO E-VOLVE S.R.L."/>
    <x v="1"/>
    <s v="High Growth potential"/>
    <x v="5"/>
    <x v="16"/>
    <s v="Bucharest"/>
    <n v="101707"/>
    <d v="2022-03-11T00:00:00"/>
    <n v="50854"/>
    <s v="23-11-2022"/>
  </r>
  <r>
    <s v="Graphisoft SE"/>
    <x v="1"/>
    <s v="High Growth potential"/>
    <x v="5"/>
    <x v="17"/>
    <s v="Budapest"/>
    <n v="95993"/>
    <s v="13-02-2022"/>
    <n v="15999"/>
    <d v="2022-05-03T00:00:00"/>
  </r>
  <r>
    <s v="Solarity"/>
    <x v="1"/>
    <s v="High Growth potential"/>
    <x v="5"/>
    <x v="18"/>
    <s v="Prague"/>
    <n v="54776"/>
    <d v="2022-04-02T00:00:00"/>
    <n v="9129"/>
    <d v="2022-05-04T00:00:00"/>
  </r>
  <r>
    <s v="SIIX EMS Slovakia s.r.o."/>
    <x v="1"/>
    <s v="High Growth potential"/>
    <x v="5"/>
    <x v="19"/>
    <s v="Nitra"/>
    <n v="50316"/>
    <s v="26-01-2023"/>
    <n v="25158"/>
    <d v="2023-05-02T00:00:00"/>
  </r>
  <r>
    <s v="Gedecom"/>
    <x v="1"/>
    <s v="High Growth potential"/>
    <x v="6"/>
    <x v="3"/>
    <s v="Carros"/>
    <n v="109064"/>
    <s v="29-09-2022"/>
    <n v="54532"/>
    <d v="2022-08-11T00:00:00"/>
  </r>
  <r>
    <s v="VPG"/>
    <x v="0"/>
    <s v="No growth Potential"/>
    <x v="6"/>
    <x v="3"/>
    <s v="Aix en Provence"/>
    <n v="97965"/>
    <d v="2022-03-10T00:00:00"/>
    <n v="0"/>
    <d v="2022-02-11T00:00:00"/>
  </r>
  <r>
    <s v="Boardriders Inc - Na Pali"/>
    <x v="1"/>
    <s v="High Growth potential"/>
    <x v="6"/>
    <x v="3"/>
    <s v="Saint Jean de Luz"/>
    <n v="96608"/>
    <s v="28-12-2021"/>
    <n v="13801"/>
    <d v="2022-08-03T00:00:00"/>
  </r>
  <r>
    <s v="SAS Clarins Fragrance Group OU CFG"/>
    <x v="0"/>
    <s v="No growth Potential"/>
    <x v="6"/>
    <x v="3"/>
    <s v="Paris"/>
    <n v="189357"/>
    <s v="23-04-2022"/>
    <n v="0"/>
    <d v="2022-02-07T00:00:00"/>
  </r>
  <r>
    <s v="Selectour"/>
    <x v="0"/>
    <s v="No growth Potential"/>
    <x v="6"/>
    <x v="3"/>
    <s v="Paris"/>
    <n v="122764"/>
    <s v="13-10-2022"/>
    <n v="0"/>
    <d v="2022-02-11T00:00:00"/>
  </r>
  <r>
    <s v="Tereos"/>
    <x v="0"/>
    <s v="No growth Potential"/>
    <x v="6"/>
    <x v="3"/>
    <s v="ORIGNY STE BENOITE"/>
    <n v="124768"/>
    <d v="2022-03-09T00:00:00"/>
    <n v="0"/>
    <d v="2022-02-11T00:00:00"/>
  </r>
  <r>
    <s v="One2team"/>
    <x v="0"/>
    <s v="No growth Potential"/>
    <x v="6"/>
    <x v="3"/>
    <s v="NEUILLY SUR SEINE"/>
    <m/>
    <d v="2022-07-07T00:00:00"/>
    <n v="0"/>
    <s v="17-07-2022"/>
  </r>
  <r>
    <s v="Afibel"/>
    <x v="0"/>
    <s v="No growth Potential"/>
    <x v="6"/>
    <x v="3"/>
    <s v="Villeneuve d'Ascq"/>
    <n v="110414"/>
    <d v="2022-03-10T00:00:00"/>
    <n v="0"/>
    <d v="2022-02-11T00:00:00"/>
  </r>
  <r>
    <s v="SOFTTHINKS SAS"/>
    <x v="1"/>
    <s v="High Growth potential"/>
    <x v="6"/>
    <x v="3"/>
    <s v="Villeneuve d'Acsq"/>
    <n v="508956"/>
    <s v="15-09-2022"/>
    <n v="72708"/>
    <s v="14-11-2022"/>
  </r>
  <r>
    <s v="Paris Inn Group"/>
    <x v="0"/>
    <s v="No growth Potential"/>
    <x v="6"/>
    <x v="3"/>
    <s v="TBD"/>
    <n v="118485"/>
    <d v="2021-04-12T00:00:00"/>
    <n v="0"/>
    <d v="2022-02-02T00:00:00"/>
  </r>
  <r>
    <s v="MILIBOO.COM"/>
    <x v="0"/>
    <s v="No growth Potential"/>
    <x v="6"/>
    <x v="3"/>
    <s v="PRINGY"/>
    <n v="189357"/>
    <s v="23-10-2022"/>
    <n v="0"/>
    <d v="2022-02-11T00:00:00"/>
  </r>
  <r>
    <s v="Elle &amp; Vire"/>
    <x v="0"/>
    <s v="No growth Potential"/>
    <x v="6"/>
    <x v="3"/>
    <s v="VIROFLAY"/>
    <m/>
    <d v="2022-11-10T00:00:00"/>
    <n v="0"/>
    <s v="20-11-2022"/>
  </r>
  <r>
    <s v="Sonovente"/>
    <x v="0"/>
    <s v="No growth Potential"/>
    <x v="6"/>
    <x v="3"/>
    <s v="Palaiseau"/>
    <n v="674447"/>
    <s v="23-09-2022"/>
    <n v="0"/>
    <d v="2022-02-11T00:00:00"/>
  </r>
  <r>
    <s v="Fifty Five"/>
    <x v="0"/>
    <s v="No growth Potential"/>
    <x v="6"/>
    <x v="3"/>
    <s v="Paris"/>
    <n v="76100"/>
    <s v="13-09-2022"/>
    <n v="0"/>
    <d v="2022-02-11T00:00:00"/>
  </r>
  <r>
    <s v="Fioulmarket"/>
    <x v="0"/>
    <s v="No growth Potential"/>
    <x v="6"/>
    <x v="3"/>
    <s v="Rueil-Malmaison"/>
    <m/>
    <s v="22-06-2022"/>
    <n v="0"/>
    <d v="2022-02-07T00:00:00"/>
  </r>
  <r>
    <s v="MADE IN DESIGN SAS"/>
    <x v="0"/>
    <s v="No growth Potential"/>
    <x v="6"/>
    <x v="3"/>
    <s v="ECHIROLLES"/>
    <n v="96217"/>
    <s v="23-10-2022"/>
    <n v="0"/>
    <d v="2022-02-11T00:00:00"/>
  </r>
  <r>
    <s v="Ship24"/>
    <x v="0"/>
    <s v="No growth Potential"/>
    <x v="6"/>
    <x v="3"/>
    <s v="TBD"/>
    <n v="60997"/>
    <d v="2022-03-10T00:00:00"/>
    <n v="0"/>
    <d v="2022-02-11T00:00:00"/>
  </r>
  <r>
    <s v="Momindum"/>
    <x v="1"/>
    <s v="High Growth potential"/>
    <x v="6"/>
    <x v="3"/>
    <s v="Paris"/>
    <n v="97719"/>
    <s v="15-10-2022"/>
    <n v="24430"/>
    <s v="14-11-2022"/>
  </r>
  <r>
    <s v="NOUVELLES FRONTIERES"/>
    <x v="0"/>
    <s v="No growth Potential"/>
    <x v="6"/>
    <x v="3"/>
    <s v="Montreuil"/>
    <n v="144674"/>
    <s v="24-08-2022"/>
    <n v="0"/>
    <d v="2022-02-11T00:00:00"/>
  </r>
  <r>
    <s v="Brico Prive"/>
    <x v="0"/>
    <s v="No growth Potential"/>
    <x v="6"/>
    <x v="3"/>
    <s v="L'union"/>
    <n v="50755"/>
    <d v="2022-03-09T00:00:00"/>
    <n v="0"/>
    <d v="2022-02-11T00:00:00"/>
  </r>
  <r>
    <s v="DFi Service SA"/>
    <x v="1"/>
    <s v="High Growth potential"/>
    <x v="6"/>
    <x v="10"/>
    <s v="PLAN-LES-OUATES"/>
    <n v="396857"/>
    <d v="2022-03-11T00:00:00"/>
    <n v="132286"/>
    <s v="23-11-2022"/>
  </r>
  <r>
    <s v="Team Vitality"/>
    <x v="0"/>
    <s v="No growth Potential"/>
    <x v="6"/>
    <x v="3"/>
    <s v="Paris"/>
    <n v="77629"/>
    <d v="2022-11-01T00:00:00"/>
    <n v="0"/>
    <d v="2022-02-03T00:00:00"/>
  </r>
  <r>
    <s v="Vivescia"/>
    <x v="0"/>
    <s v="No growth Potential"/>
    <x v="6"/>
    <x v="3"/>
    <s v="REIMS"/>
    <n v="94763"/>
    <s v="23-06-2022"/>
    <n v="0"/>
    <d v="2022-02-08T00:00:00"/>
  </r>
  <r>
    <s v="CHRISTOFLE"/>
    <x v="0"/>
    <s v="No growth Potential"/>
    <x v="6"/>
    <x v="3"/>
    <s v="Paris"/>
    <n v="96600"/>
    <s v="23-10-2022"/>
    <n v="0"/>
    <d v="2022-02-11T00:00:00"/>
  </r>
  <r>
    <s v="Matelsom"/>
    <x v="0"/>
    <s v="No growth Potential"/>
    <x v="6"/>
    <x v="3"/>
    <s v="CHAURAY"/>
    <n v="101483"/>
    <d v="2021-04-12T00:00:00"/>
    <n v="0"/>
    <d v="2022-02-02T00:00:00"/>
  </r>
  <r>
    <s v="Weekendesk"/>
    <x v="0"/>
    <s v="No growth Potential"/>
    <x v="6"/>
    <x v="3"/>
    <s v="LEVALLOIS PERRET"/>
    <n v="157796"/>
    <d v="2022-03-10T00:00:00"/>
    <n v="0"/>
    <d v="2022-02-11T00:00:00"/>
  </r>
  <r>
    <s v="CELIO"/>
    <x v="0"/>
    <s v="No growth Potential"/>
    <x v="6"/>
    <x v="3"/>
    <s v="SAINT OUEN"/>
    <n v="132351"/>
    <s v="24-08-2022"/>
    <n v="0"/>
    <d v="2022-02-11T00:00:00"/>
  </r>
  <r>
    <s v="ETAM"/>
    <x v="0"/>
    <s v="No growth Potential"/>
    <x v="6"/>
    <x v="3"/>
    <s v="CLICHY"/>
    <n v="86478"/>
    <s v="13-09-2022"/>
    <n v="0"/>
    <d v="2022-02-11T00:00:00"/>
  </r>
  <r>
    <s v="INTERPLAST FITT"/>
    <x v="0"/>
    <s v="No growth Potential"/>
    <x v="6"/>
    <x v="3"/>
    <s v="MONACO"/>
    <m/>
    <s v="23-10-2022"/>
    <n v="0"/>
    <d v="2022-02-11T00:00:00"/>
  </r>
  <r>
    <s v="Unowhy"/>
    <x v="1"/>
    <s v="High Growth potential"/>
    <x v="6"/>
    <x v="3"/>
    <s v="Neuilly-sur-Seine"/>
    <n v="113625"/>
    <s v="28-09-2022"/>
    <n v="56813"/>
    <s v="17-11-2022"/>
  </r>
  <r>
    <s v="INTERSPORT LA HUTT"/>
    <x v="0"/>
    <s v="No growth Potential"/>
    <x v="6"/>
    <x v="3"/>
    <s v="LONGJUMEAU CEDEX"/>
    <n v="143476"/>
    <s v="24-08-2022"/>
    <n v="0"/>
    <d v="2022-02-11T00:00:00"/>
  </r>
  <r>
    <s v="Oogarden"/>
    <x v="0"/>
    <s v="No growth Potential"/>
    <x v="6"/>
    <x v="3"/>
    <s v="Amberieu En Bugey"/>
    <n v="115471"/>
    <s v="21-02-2022"/>
    <n v="0"/>
    <d v="2022-02-04T00:00:00"/>
  </r>
  <r>
    <s v="Vivaticket"/>
    <x v="0"/>
    <s v="No growth Potential"/>
    <x v="6"/>
    <x v="3"/>
    <s v="Chasseneuil du Poitou"/>
    <n v="89781"/>
    <s v="22-01-2022"/>
    <n v="0"/>
    <d v="2022-02-04T00:00:00"/>
  </r>
  <r>
    <s v="Fleetward"/>
    <x v="0"/>
    <s v="No growth Potential"/>
    <x v="6"/>
    <x v="20"/>
    <s v="TBD"/>
    <n v="143711"/>
    <s v="13-05-2022"/>
    <n v="0"/>
    <d v="2022-02-07T00:00:00"/>
  </r>
  <r>
    <s v="Groupe Vivarte"/>
    <x v="0"/>
    <s v="No growth Potential"/>
    <x v="6"/>
    <x v="3"/>
    <s v="PARIS CEDEX 19"/>
    <n v="95495"/>
    <s v="13-10-2022"/>
    <n v="0"/>
    <d v="2022-02-11T00:00:00"/>
  </r>
  <r>
    <s v="Bestwestern France"/>
    <x v="0"/>
    <s v="No growth Potential"/>
    <x v="6"/>
    <x v="3"/>
    <s v="Colombes"/>
    <n v="69503"/>
    <d v="2023-10-02T00:00:00"/>
    <n v="0"/>
    <d v="2023-02-03T00:00:00"/>
  </r>
  <r>
    <s v="European Society of Cardiology"/>
    <x v="1"/>
    <s v="Medium Growth"/>
    <x v="6"/>
    <x v="3"/>
    <s v="Sophia Antipolis"/>
    <n v="115094"/>
    <s v="19-05-2022"/>
    <n v="8853"/>
    <d v="2022-08-07T00:00:00"/>
  </r>
  <r>
    <s v="VSC Technologies"/>
    <x v="1"/>
    <s v="High Growth potential"/>
    <x v="6"/>
    <x v="3"/>
    <s v="PUTEAUX"/>
    <n v="88021"/>
    <s v="14-09-2022"/>
    <n v="6287"/>
    <s v="23-11-2022"/>
  </r>
  <r>
    <s v="Clarins SA"/>
    <x v="1"/>
    <s v="High Growth potential"/>
    <x v="6"/>
    <x v="3"/>
    <s v="Neuilly-sur-Seine"/>
    <n v="78207"/>
    <s v="29-01-2022"/>
    <n v="15641"/>
    <s v="20-03-2022"/>
  </r>
  <r>
    <s v="Ducatillon"/>
    <x v="0"/>
    <s v="No growth Potential"/>
    <x v="6"/>
    <x v="3"/>
    <s v="Cysoing"/>
    <n v="77468"/>
    <s v="22-01-2022"/>
    <n v="0"/>
    <d v="2022-02-04T00:00:00"/>
  </r>
  <r>
    <s v="Al Balad"/>
    <x v="0"/>
    <s v="No growth Potential"/>
    <x v="6"/>
    <x v="3"/>
    <s v="Champigny-sur-Marne"/>
    <n v="51499"/>
    <s v="23-03-2022"/>
    <n v="0"/>
    <d v="2022-02-05T00:00:00"/>
  </r>
  <r>
    <s v="Quintiles France"/>
    <x v="1"/>
    <s v="High Growth potential"/>
    <x v="6"/>
    <x v="3"/>
    <s v="LEVALLOIS PERRET"/>
    <n v="209804"/>
    <d v="2022-06-12T00:00:00"/>
    <n v="69935"/>
    <d v="2023-05-01T00:00:00"/>
  </r>
  <r>
    <s v="DOUX"/>
    <x v="0"/>
    <s v="No growth Potential"/>
    <x v="6"/>
    <x v="3"/>
    <s v="CHATEAULIN CEDEX"/>
    <n v="74071"/>
    <s v="13-10-2022"/>
    <n v="0"/>
    <d v="2022-02-11T00:00:00"/>
  </r>
  <r>
    <s v="Aéroport de Paris"/>
    <x v="0"/>
    <s v="No growth Potential"/>
    <x v="6"/>
    <x v="3"/>
    <s v="ST JACQUES DE LA LANDE"/>
    <n v="413847"/>
    <s v="24-11-2022"/>
    <n v="0"/>
    <d v="2023-02-02T00:00:00"/>
  </r>
  <r>
    <s v="Look voyages"/>
    <x v="0"/>
    <s v="No growth Potential"/>
    <x v="6"/>
    <x v="3"/>
    <s v="IVRY SUR SEINE"/>
    <m/>
    <s v="24-07-2022"/>
    <n v="0"/>
    <d v="2022-02-09T00:00:00"/>
  </r>
  <r>
    <s v="ACTEAM-IT"/>
    <x v="0"/>
    <s v="No growth Potential"/>
    <x v="6"/>
    <x v="3"/>
    <s v="TBD"/>
    <n v="111942"/>
    <s v="23-09-2022"/>
    <n v="0"/>
    <d v="2022-02-11T00:00:00"/>
  </r>
  <r>
    <s v="GROUPE PARTOUCHE SAAD"/>
    <x v="0"/>
    <s v="No growth Potential"/>
    <x v="6"/>
    <x v="3"/>
    <s v="Paris"/>
    <m/>
    <s v="13-09-2022"/>
    <n v="0"/>
    <d v="2022-02-11T00:00:00"/>
  </r>
  <r>
    <s v="Rentreediscount"/>
    <x v="0"/>
    <s v="No growth Potential"/>
    <x v="6"/>
    <x v="3"/>
    <s v="PECH LAROQUE"/>
    <n v="110357"/>
    <s v="13-09-2022"/>
    <n v="0"/>
    <d v="2022-02-11T00:00:00"/>
  </r>
  <r>
    <s v="CHARAL"/>
    <x v="0"/>
    <s v="No growth Potential"/>
    <x v="6"/>
    <x v="3"/>
    <s v="CHOLET"/>
    <n v="209215"/>
    <d v="2022-03-10T00:00:00"/>
    <n v="0"/>
    <d v="2022-02-11T00:00:00"/>
  </r>
  <r>
    <s v="SODIAAL"/>
    <x v="0"/>
    <s v="No growth Potential"/>
    <x v="6"/>
    <x v="3"/>
    <s v="PARIS"/>
    <n v="118106"/>
    <s v="13-10-2022"/>
    <n v="0"/>
    <d v="2022-02-11T00:00:00"/>
  </r>
  <r>
    <s v="JM Bruneau"/>
    <x v="0"/>
    <s v="No growth Potential"/>
    <x v="6"/>
    <x v="3"/>
    <s v="Villebon Sur Yvette"/>
    <n v="74071"/>
    <s v="23-08-2022"/>
    <n v="0"/>
    <d v="2022-02-09T00:00:00"/>
  </r>
  <r>
    <s v="DESIGN MARKET SAS"/>
    <x v="1"/>
    <s v="High Growth potential"/>
    <x v="6"/>
    <x v="3"/>
    <s v="Paris"/>
    <n v="229821"/>
    <s v="22-09-2022"/>
    <n v="57455"/>
    <d v="2022-11-11T00:00:00"/>
  </r>
  <r>
    <s v="Groupe ORIENTIS"/>
    <x v="0"/>
    <s v="No growth Potential"/>
    <x v="6"/>
    <x v="3"/>
    <s v="PARIS"/>
    <n v="124635"/>
    <s v="23-10-2022"/>
    <n v="0"/>
    <d v="2022-02-11T00:00:00"/>
  </r>
  <r>
    <s v="PARISCITYVISION"/>
    <x v="0"/>
    <s v="No growth Potential"/>
    <x v="6"/>
    <x v="3"/>
    <s v="TBD"/>
    <n v="155753"/>
    <d v="2022-03-10T00:00:00"/>
    <n v="0"/>
    <d v="2022-02-11T00:00:00"/>
  </r>
  <r>
    <s v="SAMSE"/>
    <x v="0"/>
    <s v="No growth Potential"/>
    <x v="6"/>
    <x v="3"/>
    <s v="GRENOBLE"/>
    <n v="86462"/>
    <d v="2022-03-10T00:00:00"/>
    <n v="0"/>
    <d v="2022-02-11T00:00:00"/>
  </r>
  <r>
    <s v="NOCIBE"/>
    <x v="0"/>
    <s v="No growth Potential"/>
    <x v="6"/>
    <x v="3"/>
    <s v="VILLENEUVE D ASCQ CEDEX"/>
    <n v="209272"/>
    <s v="23-10-2022"/>
    <n v="0"/>
    <d v="2022-02-11T00:00:00"/>
  </r>
  <r>
    <s v="PRESTASHOP France"/>
    <x v="1"/>
    <s v="High Growth potential"/>
    <x v="6"/>
    <x v="3"/>
    <s v="LEVALLOIS PERRET"/>
    <n v="164446"/>
    <d v="2023-04-01T00:00:00"/>
    <n v="82223"/>
    <s v="23-02-2023"/>
  </r>
  <r>
    <s v="BONDUELLE"/>
    <x v="0"/>
    <s v="No growth Potential"/>
    <x v="6"/>
    <x v="3"/>
    <s v="VILLENEUVE D ASCQ"/>
    <n v="179049"/>
    <s v="13-10-2022"/>
    <n v="0"/>
    <d v="2022-02-11T00:00:00"/>
  </r>
  <r>
    <s v="SMCP"/>
    <x v="0"/>
    <s v="No growth Potential"/>
    <x v="6"/>
    <x v="3"/>
    <s v="ST DENIS"/>
    <n v="96628"/>
    <s v="23-10-2022"/>
    <n v="0"/>
    <d v="2022-02-11T00:00:00"/>
  </r>
  <r>
    <s v="Cora"/>
    <x v="0"/>
    <s v="No growth Potential"/>
    <x v="6"/>
    <x v="3"/>
    <s v="Metz"/>
    <n v="81192"/>
    <d v="2022-03-03T00:00:00"/>
    <n v="0"/>
    <d v="2022-02-04T00:00:00"/>
  </r>
  <r>
    <s v="Euralis"/>
    <x v="0"/>
    <s v="No growth Potential"/>
    <x v="6"/>
    <x v="3"/>
    <s v="Perigeux"/>
    <n v="54000"/>
    <d v="2022-11-02T00:00:00"/>
    <n v="0"/>
    <d v="2022-02-04T00:00:00"/>
  </r>
  <r>
    <s v="MAISONS DU MONDE"/>
    <x v="0"/>
    <s v="No growth Potential"/>
    <x v="6"/>
    <x v="3"/>
    <s v="VERTOU CEDEX"/>
    <n v="91200"/>
    <s v="13-10-2022"/>
    <n v="0"/>
    <d v="2022-02-11T00:00:00"/>
  </r>
  <r>
    <s v="Damart"/>
    <x v="0"/>
    <s v="No growth Potential"/>
    <x v="6"/>
    <x v="3"/>
    <s v="ROUBAIX"/>
    <n v="105486"/>
    <d v="2022-03-01T00:00:00"/>
    <n v="0"/>
    <d v="2022-02-02T00:00:00"/>
  </r>
  <r>
    <s v="Actimagine"/>
    <x v="0"/>
    <s v="No growth Potential"/>
    <x v="6"/>
    <x v="3"/>
    <s v="Paris"/>
    <n v="89775"/>
    <s v="24-03-2022"/>
    <n v="0"/>
    <d v="2022-02-06T00:00:00"/>
  </r>
  <r>
    <s v="PIXID"/>
    <x v="1"/>
    <s v="High Growth potential"/>
    <x v="6"/>
    <x v="3"/>
    <s v="COURBEVOIE"/>
    <n v="58527"/>
    <d v="2022-02-09T00:00:00"/>
    <n v="29264"/>
    <d v="2022-11-11T00:00:00"/>
  </r>
  <r>
    <s v="Cite des Sciences"/>
    <x v="1"/>
    <s v="High Growth potential"/>
    <x v="6"/>
    <x v="3"/>
    <s v="Paris"/>
    <n v="45774"/>
    <s v="21-10-2022"/>
    <n v="22887"/>
    <s v="20-11-2022"/>
  </r>
  <r>
    <s v="Commerce BtoC"/>
    <x v="0"/>
    <s v="No growth Potential"/>
    <x v="6"/>
    <x v="3"/>
    <s v="Villeneuve d'Ascq"/>
    <n v="110363"/>
    <d v="2022-03-10T00:00:00"/>
    <n v="0"/>
    <d v="2022-02-11T00:00:00"/>
  </r>
  <r>
    <s v="AB Tasty SAS"/>
    <x v="1"/>
    <s v="High Growth potential"/>
    <x v="6"/>
    <x v="3"/>
    <s v="Paris"/>
    <n v="62653"/>
    <s v="27-02-2022"/>
    <n v="31326"/>
    <d v="2022-08-05T00:00:00"/>
  </r>
  <r>
    <s v="Lagardere Active Digital"/>
    <x v="0"/>
    <s v="No growth Potential"/>
    <x v="6"/>
    <x v="3"/>
    <s v="Levallois Perret"/>
    <n v="118984"/>
    <s v="24-11-2021"/>
    <n v="0"/>
    <d v="2022-02-02T00:00:00"/>
  </r>
  <r>
    <s v="Groupe Savencia (Soparind Bongrain)"/>
    <x v="0"/>
    <s v="No growth Potential"/>
    <x v="6"/>
    <x v="3"/>
    <s v="Viroflay"/>
    <n v="103313"/>
    <s v="24-06-2022"/>
    <n v="0"/>
    <d v="2022-02-09T00:00:00"/>
  </r>
  <r>
    <s v="Gifi"/>
    <x v="0"/>
    <s v="No growth Potential"/>
    <x v="6"/>
    <x v="21"/>
    <s v="Villeneuve sur Lot"/>
    <n v="100029"/>
    <d v="2022-03-09T00:00:00"/>
    <n v="0"/>
    <d v="2022-02-11T00:00:00"/>
  </r>
  <r>
    <s v="CAMAIEU INTERNATIONAL"/>
    <x v="0"/>
    <s v="No growth Potential"/>
    <x v="6"/>
    <x v="3"/>
    <s v="Roubaix"/>
    <n v="118894"/>
    <s v="13-09-2022"/>
    <n v="0"/>
    <d v="2022-02-11T00:00:00"/>
  </r>
  <r>
    <s v="ALCYON"/>
    <x v="0"/>
    <s v="No growth Potential"/>
    <x v="6"/>
    <x v="3"/>
    <s v="Paris"/>
    <n v="107464"/>
    <s v="13-10-2022"/>
    <n v="0"/>
    <d v="2022-02-11T00:00:00"/>
  </r>
  <r>
    <s v="Continental Reifen Deutschland GmbH"/>
    <x v="1"/>
    <s v="No growth Potential"/>
    <x v="7"/>
    <x v="7"/>
    <s v="Hannover"/>
    <n v="128110"/>
    <s v="24-08-2022"/>
    <n v="25622"/>
    <s v="23-10-2022"/>
  </r>
  <r>
    <s v="Goethe-Institut e.V."/>
    <x v="1"/>
    <s v="High Growth potential"/>
    <x v="7"/>
    <x v="7"/>
    <s v="Muenchen"/>
    <n v="164277"/>
    <s v="16-09-2022"/>
    <n v="20535"/>
    <d v="2022-05-11T00:00:00"/>
  </r>
  <r>
    <s v="Claas KGaA mbH"/>
    <x v="1"/>
    <s v="Medium Growth"/>
    <x v="7"/>
    <x v="7"/>
    <s v="Harsewinkel"/>
    <n v="40829"/>
    <s v="17-01-2022"/>
    <n v="20415"/>
    <d v="2022-08-03T00:00:00"/>
  </r>
  <r>
    <s v="ThurVgG"/>
    <x v="1"/>
    <s v="High Growth potential"/>
    <x v="7"/>
    <x v="7"/>
    <s v="Erfurt"/>
    <n v="132248"/>
    <s v="14-10-2022"/>
    <n v="66124"/>
    <s v="23-11-2022"/>
  </r>
  <r>
    <s v="Jungheinrich AG"/>
    <x v="0"/>
    <s v="No growth Potential"/>
    <x v="7"/>
    <x v="7"/>
    <s v="Hamburg"/>
    <n v="59999"/>
    <s v="24-08-2022"/>
    <n v="0"/>
    <d v="2022-02-11T00:00:00"/>
  </r>
  <r>
    <s v="Masterpayment GmbH"/>
    <x v="1"/>
    <s v="High Growth potential"/>
    <x v="7"/>
    <x v="7"/>
    <s v="Starnberg"/>
    <n v="77527"/>
    <s v="13-12-2021"/>
    <n v="38763"/>
    <d v="2022-11-02T00:00:00"/>
  </r>
  <r>
    <s v="Bayerisches Landesamt fuer Steuern"/>
    <x v="1"/>
    <s v="High Growth potential"/>
    <x v="7"/>
    <x v="7"/>
    <s v="Muenchen"/>
    <n v="106193"/>
    <d v="2022-05-01T00:00:00"/>
    <n v="17699"/>
    <s v="14-02-2022"/>
  </r>
  <r>
    <s v="PETTENON COSMETICS SPA"/>
    <x v="0"/>
    <s v="No growth Potential"/>
    <x v="8"/>
    <x v="2"/>
    <s v="San Martino di Lupari"/>
    <n v="103333"/>
    <s v="13-10-2022"/>
    <n v="0"/>
    <d v="2022-02-11T00:00:00"/>
  </r>
  <r>
    <s v="MASTROTTO SPA"/>
    <x v="0"/>
    <s v="No growth Potential"/>
    <x v="8"/>
    <x v="2"/>
    <s v="ARZIGNANO"/>
    <n v="69907"/>
    <d v="2022-03-10T00:00:00"/>
    <n v="0"/>
    <d v="2022-02-11T00:00:00"/>
  </r>
  <r>
    <s v="Bravofly SA"/>
    <x v="1"/>
    <s v="No growth Potential"/>
    <x v="8"/>
    <x v="10"/>
    <s v="Chiasso"/>
    <n v="58013"/>
    <s v="13-03-2022"/>
    <n v="29006"/>
    <s v="23-03-2022"/>
  </r>
  <r>
    <s v="A. Testoni SpA"/>
    <x v="0"/>
    <s v="No growth Potential"/>
    <x v="8"/>
    <x v="2"/>
    <s v="Bologna"/>
    <n v="181195"/>
    <s v="13-10-2022"/>
    <n v="0"/>
    <d v="2022-02-11T00:00:00"/>
  </r>
  <r>
    <s v="Kedrion SpA"/>
    <x v="0"/>
    <s v="No growth Potential"/>
    <x v="8"/>
    <x v="2"/>
    <s v="Barga"/>
    <n v="120380"/>
    <s v="13-10-2022"/>
    <n v="0"/>
    <d v="2022-02-11T00:00:00"/>
  </r>
  <r>
    <s v="AEFFE Fashion group"/>
    <x v="0"/>
    <s v="No growth Potential"/>
    <x v="8"/>
    <x v="2"/>
    <s v="SAN GIOVANNI IN MARIGNANO"/>
    <n v="33481"/>
    <d v="2022-03-06T00:00:00"/>
    <n v="0"/>
    <d v="2022-02-08T00:00:00"/>
  </r>
  <r>
    <s v="Jacobacci &amp; Partners"/>
    <x v="0"/>
    <s v="No growth Potential"/>
    <x v="8"/>
    <x v="2"/>
    <s v="Torino"/>
    <n v="123922"/>
    <s v="24-11-2021"/>
    <n v="0"/>
    <d v="2022-02-02T00:00:00"/>
  </r>
  <r>
    <s v="Gottardo Spa"/>
    <x v="0"/>
    <s v="No growth Potential"/>
    <x v="8"/>
    <x v="2"/>
    <s v="Campo San Martino"/>
    <n v="156936"/>
    <d v="2022-12-04T00:00:00"/>
    <n v="0"/>
    <d v="2022-02-05T00:00:00"/>
  </r>
  <r>
    <s v="chl"/>
    <x v="0"/>
    <s v="No growth Potential"/>
    <x v="8"/>
    <x v="2"/>
    <s v="Firenze"/>
    <n v="120242"/>
    <d v="2022-03-10T00:00:00"/>
    <n v="0"/>
    <d v="2022-02-11T00:00:00"/>
  </r>
  <r>
    <s v="Bluindaco - inblu"/>
    <x v="0"/>
    <s v="No growth Potential"/>
    <x v="8"/>
    <x v="2"/>
    <s v="Faetano"/>
    <n v="51469"/>
    <s v="22-06-2022"/>
    <n v="0"/>
    <d v="2022-02-07T00:00:00"/>
  </r>
  <r>
    <s v="IREN MERCATO SPA"/>
    <x v="0"/>
    <s v="No growth Potential"/>
    <x v="8"/>
    <x v="2"/>
    <s v="TBD"/>
    <n v="39592"/>
    <s v="23-10-2022"/>
    <n v="0"/>
    <d v="2022-02-11T00:00:00"/>
  </r>
  <r>
    <s v="NeroGiardini"/>
    <x v="0"/>
    <s v="No growth Potential"/>
    <x v="8"/>
    <x v="2"/>
    <s v="Monte S.Pietrangeli"/>
    <n v="189637"/>
    <s v="23-04-2022"/>
    <n v="0"/>
    <d v="2022-02-07T00:00:00"/>
  </r>
  <r>
    <s v="Admenta Italia SpA"/>
    <x v="0"/>
    <s v="No growth Potential"/>
    <x v="8"/>
    <x v="2"/>
    <s v="Bentivoglio"/>
    <n v="171668"/>
    <d v="2022-03-05T00:00:00"/>
    <n v="0"/>
    <d v="2022-02-07T00:00:00"/>
  </r>
  <r>
    <s v="Novamont SpA"/>
    <x v="0"/>
    <s v="No growth Potential"/>
    <x v="8"/>
    <x v="2"/>
    <s v="Novara"/>
    <n v="82556"/>
    <d v="2022-11-02T00:00:00"/>
    <n v="0"/>
    <d v="2022-02-04T00:00:00"/>
  </r>
  <r>
    <s v="Axenso srl"/>
    <x v="0"/>
    <s v="No growth Potential"/>
    <x v="8"/>
    <x v="2"/>
    <s v="Milano"/>
    <n v="103308"/>
    <s v="13-09-2022"/>
    <n v="0"/>
    <d v="2022-02-11T00:00:00"/>
  </r>
  <r>
    <s v="Preca Brummel"/>
    <x v="0"/>
    <s v="No growth Potential"/>
    <x v="8"/>
    <x v="11"/>
    <s v="Carnago"/>
    <n v="174080"/>
    <d v="2022-12-04T00:00:00"/>
    <n v="0"/>
    <d v="2022-02-05T00:00:00"/>
  </r>
  <r>
    <s v="zeroasette"/>
    <x v="0"/>
    <s v="No growth Potential"/>
    <x v="8"/>
    <x v="2"/>
    <s v="Mirano"/>
    <n v="143768"/>
    <d v="2022-02-04T00:00:00"/>
    <n v="0"/>
    <d v="2022-02-05T00:00:00"/>
  </r>
  <r>
    <s v="Vega Soc. Coop."/>
    <x v="0"/>
    <s v="No growth Potential"/>
    <x v="8"/>
    <x v="2"/>
    <s v="San Biagio di Callalta (TV)"/>
    <n v="143585"/>
    <s v="23-03-2022"/>
    <n v="0"/>
    <d v="2022-02-04T00:00:00"/>
  </r>
  <r>
    <s v="Softec Spa"/>
    <x v="0"/>
    <s v="No growth Potential"/>
    <x v="8"/>
    <x v="2"/>
    <s v="Prato"/>
    <n v="86471"/>
    <s v="23-08-2022"/>
    <n v="0"/>
    <d v="2022-02-10T00:00:00"/>
  </r>
  <r>
    <s v="Comas Srl"/>
    <x v="0"/>
    <s v="No growth Potential"/>
    <x v="8"/>
    <x v="2"/>
    <s v="TBD"/>
    <n v="69323"/>
    <s v="22-01-2022"/>
    <n v="0"/>
    <d v="2022-02-04T00:00:00"/>
  </r>
  <r>
    <s v="Miroglio SpA - Vestebene"/>
    <x v="0"/>
    <s v="No growth Potential"/>
    <x v="8"/>
    <x v="2"/>
    <s v="Alba"/>
    <n v="132337"/>
    <s v="13-10-2022"/>
    <n v="0"/>
    <d v="2022-02-11T00:00:00"/>
  </r>
  <r>
    <s v="Bennet SpA"/>
    <x v="0"/>
    <s v="No growth Potential"/>
    <x v="8"/>
    <x v="2"/>
    <s v="Montano Lucino"/>
    <n v="118894"/>
    <s v="13-09-2022"/>
    <n v="0"/>
    <d v="2022-02-11T00:00:00"/>
  </r>
  <r>
    <s v="Verallia Italia"/>
    <x v="0"/>
    <s v="No growth Potential"/>
    <x v="8"/>
    <x v="2"/>
    <s v="Lonigo"/>
    <n v="123212"/>
    <s v="21-02-2022"/>
    <n v="0"/>
    <d v="2022-02-04T00:00:00"/>
  </r>
  <r>
    <s v="Masterwood SpA"/>
    <x v="0"/>
    <s v="No growth Potential"/>
    <x v="8"/>
    <x v="2"/>
    <s v="Rimini"/>
    <n v="158032"/>
    <s v="24-12-2021"/>
    <n v="0"/>
    <d v="2022-02-02T00:00:00"/>
  </r>
  <r>
    <s v="European Space Agency"/>
    <x v="0"/>
    <s v="No growth Potential"/>
    <x v="8"/>
    <x v="2"/>
    <s v="Roma"/>
    <n v="76775"/>
    <s v="22-06-2022"/>
    <n v="0"/>
    <d v="2022-02-07T00:00:00"/>
  </r>
  <r>
    <s v="EVCO S.p.A."/>
    <x v="0"/>
    <s v="No growth Potential"/>
    <x v="8"/>
    <x v="2"/>
    <s v="Sedico"/>
    <n v="96751"/>
    <d v="2022-03-09T00:00:00"/>
    <n v="0"/>
    <d v="2022-02-11T00:00:00"/>
  </r>
  <r>
    <s v="UBL USED BOTTLING LINES SA"/>
    <x v="0"/>
    <s v="No growth Potential"/>
    <x v="8"/>
    <x v="2"/>
    <s v="Cassarate"/>
    <n v="97720"/>
    <s v="24-08-2022"/>
    <n v="0"/>
    <d v="2022-02-11T00:00:00"/>
  </r>
  <r>
    <s v="Nomination Srl"/>
    <x v="0"/>
    <s v="No growth Potential"/>
    <x v="8"/>
    <x v="2"/>
    <s v="SESTO FIORENTINO"/>
    <n v="66827"/>
    <s v="24-03-2022"/>
    <n v="0"/>
    <d v="2022-02-06T00:00:00"/>
  </r>
  <r>
    <s v="Progetto Ulisse srl"/>
    <x v="0"/>
    <s v="No growth Potential"/>
    <x v="8"/>
    <x v="2"/>
    <s v="TBD"/>
    <n v="91200"/>
    <s v="24-08-2022"/>
    <n v="0"/>
    <d v="2022-02-11T00:00:00"/>
  </r>
  <r>
    <s v="Frette srl"/>
    <x v="0"/>
    <s v="No growth Potential"/>
    <x v="8"/>
    <x v="2"/>
    <s v="Monza"/>
    <n v="50294"/>
    <s v="13-09-2022"/>
    <n v="0"/>
    <d v="2022-02-11T00:00:00"/>
  </r>
  <r>
    <s v="Montenegro"/>
    <x v="0"/>
    <s v="No growth Potential"/>
    <x v="8"/>
    <x v="2"/>
    <s v="Zola Predosa"/>
    <n v="92898"/>
    <s v="24-08-2022"/>
    <n v="0"/>
    <d v="2022-02-11T00:00:00"/>
  </r>
  <r>
    <s v="Valentini SpA"/>
    <x v="0"/>
    <s v="No growth Potential"/>
    <x v="8"/>
    <x v="2"/>
    <s v="Rimini"/>
    <n v="171389"/>
    <s v="14-12-2021"/>
    <n v="0"/>
    <d v="2022-02-02T00:00:00"/>
  </r>
  <r>
    <s v="Garofalo Health Care"/>
    <x v="0"/>
    <s v="No growth Potential"/>
    <x v="8"/>
    <x v="2"/>
    <s v="Roma"/>
    <n v="33516"/>
    <d v="2022-03-01T00:00:00"/>
    <n v="0"/>
    <d v="2022-02-02T00:00:00"/>
  </r>
  <r>
    <s v="Merlin Wizard"/>
    <x v="0"/>
    <s v="No growth Potential"/>
    <x v="8"/>
    <x v="2"/>
    <s v="Cinisello Balsamo"/>
    <n v="135009"/>
    <s v="13-10-2022"/>
    <n v="0"/>
    <d v="2022-02-11T00:00:00"/>
  </r>
  <r>
    <s v="Altea"/>
    <x v="0"/>
    <s v="No growth Potential"/>
    <x v="8"/>
    <x v="2"/>
    <s v="TBD"/>
    <n v="45780"/>
    <s v="23-03-2022"/>
    <n v="0"/>
    <d v="2022-02-05T00:00:00"/>
  </r>
  <r>
    <s v="KME Group S.p.A."/>
    <x v="0"/>
    <s v="No growth Potential"/>
    <x v="8"/>
    <x v="2"/>
    <s v="Firenze"/>
    <n v="110074"/>
    <s v="13-10-2022"/>
    <n v="0"/>
    <d v="2022-02-11T00:00:00"/>
  </r>
  <r>
    <s v="Streamit Srl"/>
    <x v="0"/>
    <s v="No growth Potential"/>
    <x v="8"/>
    <x v="2"/>
    <s v="Milano"/>
    <n v="74927"/>
    <d v="2022-03-03T00:00:00"/>
    <n v="0"/>
    <d v="2022-02-05T00:00:00"/>
  </r>
  <r>
    <s v="Metalcastello SpA"/>
    <x v="0"/>
    <s v="No growth Potential"/>
    <x v="8"/>
    <x v="2"/>
    <s v="Castel di Casio"/>
    <n v="218412"/>
    <s v="21-02-2022"/>
    <n v="0"/>
    <d v="2022-02-04T00:00:00"/>
  </r>
  <r>
    <s v="Esseco Group Srl"/>
    <x v="0"/>
    <s v="No growth Potential"/>
    <x v="8"/>
    <x v="2"/>
    <s v="San Martino Trecate"/>
    <n v="105996"/>
    <s v="24-08-2022"/>
    <n v="0"/>
    <d v="2022-02-11T00:00:00"/>
  </r>
  <r>
    <s v="Istituto Nazionale di Geofisica e Vulcanologia"/>
    <x v="0"/>
    <s v="No growth Potential"/>
    <x v="8"/>
    <x v="2"/>
    <s v="Roma"/>
    <n v="149194"/>
    <s v="23-10-2022"/>
    <n v="0"/>
    <d v="2022-02-11T00:00:00"/>
  </r>
  <r>
    <s v="FARMACIA SANTA RITA DEI DOTTORI TERESA E GUSTAVO VASSALLI S.N.C"/>
    <x v="0"/>
    <s v="No growth Potential"/>
    <x v="8"/>
    <x v="2"/>
    <s v="FOGGIA FG"/>
    <n v="62403"/>
    <s v="23-09-2022"/>
    <n v="0"/>
    <d v="2022-02-11T00:00:00"/>
  </r>
  <r>
    <s v="Libera Università di Bolzano"/>
    <x v="0"/>
    <s v="No growth Potential"/>
    <x v="8"/>
    <x v="2"/>
    <s v="Bozen-Bolzano"/>
    <n v="40836"/>
    <s v="24-03-2022"/>
    <n v="0"/>
    <d v="2022-02-06T00:00:00"/>
  </r>
  <r>
    <s v="Aquafil SpA"/>
    <x v="0"/>
    <s v="No growth Potential"/>
    <x v="8"/>
    <x v="2"/>
    <s v="Arco di Trento"/>
    <n v="101487"/>
    <d v="2022-03-03T00:00:00"/>
    <n v="0"/>
    <d v="2022-02-04T00:00:00"/>
  </r>
  <r>
    <s v="Riva Spa"/>
    <x v="1"/>
    <s v="High Growth potential"/>
    <x v="8"/>
    <x v="2"/>
    <s v="La Spezia"/>
    <n v="89778"/>
    <s v="23-02-2022"/>
    <n v="44889"/>
    <s v="14-04-2022"/>
  </r>
  <r>
    <s v="EURIZON CAPITAL SGR"/>
    <x v="1"/>
    <s v="Medium Growth"/>
    <x v="8"/>
    <x v="2"/>
    <s v="Milano"/>
    <n v="124559"/>
    <d v="2022-07-11T00:00:00"/>
    <n v="31140"/>
    <s v="17-11-2022"/>
  </r>
  <r>
    <s v="De Longhi"/>
    <x v="1"/>
    <s v="Medium Growth"/>
    <x v="8"/>
    <x v="2"/>
    <s v="Treviso"/>
    <n v="137170"/>
    <s v="16-09-2022"/>
    <n v="15241"/>
    <d v="2022-05-11T00:00:00"/>
  </r>
  <r>
    <s v="Tirreno Power"/>
    <x v="0"/>
    <s v="No growth Potential"/>
    <x v="8"/>
    <x v="2"/>
    <s v="QUILIANO"/>
    <n v="120069"/>
    <s v="13-10-2022"/>
    <n v="0"/>
    <d v="2022-02-11T00:00:00"/>
  </r>
  <r>
    <s v="CNH Global NV"/>
    <x v="0"/>
    <s v="No growth Potential"/>
    <x v="8"/>
    <x v="11"/>
    <s v="Racine"/>
    <n v="127432"/>
    <s v="13-08-2022"/>
    <n v="0"/>
    <d v="2022-02-09T00:00:00"/>
  </r>
  <r>
    <s v="Equita Sim SpA"/>
    <x v="0"/>
    <s v="No growth Potential"/>
    <x v="8"/>
    <x v="2"/>
    <s v="Milano"/>
    <n v="121682"/>
    <d v="2022-03-05T00:00:00"/>
    <n v="0"/>
    <d v="2022-02-06T00:00:00"/>
  </r>
  <r>
    <s v="Webgriffe"/>
    <x v="0"/>
    <s v="No growth Potential"/>
    <x v="8"/>
    <x v="2"/>
    <s v="Casalgrande"/>
    <n v="122786"/>
    <s v="13-09-2022"/>
    <n v="0"/>
    <d v="2022-02-11T00:00:00"/>
  </r>
  <r>
    <s v="Sibeg Srl"/>
    <x v="0"/>
    <s v="No growth Potential"/>
    <x v="8"/>
    <x v="2"/>
    <s v="Catania"/>
    <n v="100596"/>
    <s v="23-09-2022"/>
    <n v="0"/>
    <d v="2022-02-11T00:00:00"/>
  </r>
  <r>
    <s v="Alcantara Spa"/>
    <x v="0"/>
    <s v="No growth Potential"/>
    <x v="8"/>
    <x v="2"/>
    <s v="Milano"/>
    <n v="132274"/>
    <d v="2022-11-02T00:00:00"/>
    <n v="0"/>
    <d v="2022-02-04T00:00:00"/>
  </r>
  <r>
    <s v="Guess by Marciano"/>
    <x v="0"/>
    <s v="No growth Potential"/>
    <x v="8"/>
    <x v="2"/>
    <s v="Crevalcore"/>
    <n v="118908"/>
    <s v="23-09-2022"/>
    <n v="0"/>
    <d v="2022-02-11T00:00:00"/>
  </r>
  <r>
    <s v="Vegan solutions srl"/>
    <x v="0"/>
    <s v="No growth Potential"/>
    <x v="8"/>
    <x v="2"/>
    <n v="36100"/>
    <n v="99211"/>
    <d v="2022-03-03T00:00:00"/>
    <n v="0"/>
    <d v="2022-02-04T00:00:00"/>
  </r>
  <r>
    <s v="Inglass S.p.A."/>
    <x v="1"/>
    <s v="High Growth potential"/>
    <x v="8"/>
    <x v="2"/>
    <s v="San Polo Piave"/>
    <n v="29757"/>
    <s v="29-03-2022"/>
    <n v="29757"/>
    <d v="2022-08-05T00:00:00"/>
  </r>
  <r>
    <s v="Gewiss"/>
    <x v="0"/>
    <s v="No growth Potential"/>
    <x v="8"/>
    <x v="2"/>
    <s v="(BERGAMO) CENATE SOTTO"/>
    <n v="30902"/>
    <s v="23-09-2022"/>
    <n v="0"/>
    <d v="2022-02-11T00:00:00"/>
  </r>
  <r>
    <s v="Italcementi"/>
    <x v="0"/>
    <s v="No growth Potential"/>
    <x v="8"/>
    <x v="2"/>
    <s v="Bergamo"/>
    <n v="120914"/>
    <d v="2022-01-01T00:00:00"/>
    <n v="0"/>
    <d v="2022-02-03T00:00:00"/>
  </r>
  <r>
    <s v="Askoll Group SpA"/>
    <x v="0"/>
    <s v="No growth Potential"/>
    <x v="8"/>
    <x v="2"/>
    <s v="Povolaro di Dueville"/>
    <n v="150636"/>
    <d v="2022-03-09T00:00:00"/>
    <n v="0"/>
    <d v="2022-02-11T00:00:00"/>
  </r>
  <r>
    <s v="Smeg"/>
    <x v="0"/>
    <s v="No growth Potential"/>
    <x v="8"/>
    <x v="2"/>
    <s v="Guastalla"/>
    <n v="110866"/>
    <d v="2022-03-09T00:00:00"/>
    <n v="0"/>
    <d v="2022-02-11T00:00:00"/>
  </r>
  <r>
    <s v="Chateau d'Ax SpA"/>
    <x v="0"/>
    <s v="No growth Potential"/>
    <x v="8"/>
    <x v="2"/>
    <s v="Lentate Sul Seveso"/>
    <m/>
    <d v="2022-01-01T00:00:00"/>
    <n v="0"/>
    <d v="2022-02-03T00:00:00"/>
  </r>
  <r>
    <s v="STAR SHOP DISTRIBUZIONE Srl"/>
    <x v="0"/>
    <s v="No growth Potential"/>
    <x v="8"/>
    <x v="2"/>
    <s v="Perugia"/>
    <n v="203794"/>
    <s v="23-09-2022"/>
    <n v="0"/>
    <d v="2022-02-11T00:00:00"/>
  </r>
  <r>
    <s v="Brunello Cucinelli Spa"/>
    <x v="1"/>
    <s v="Medium Growth"/>
    <x v="8"/>
    <x v="2"/>
    <s v="CORCIANO"/>
    <n v="121681"/>
    <d v="2021-10-09T00:00:00"/>
    <n v="9360"/>
    <s v="19-11-2021"/>
  </r>
  <r>
    <s v="Zignago"/>
    <x v="0"/>
    <s v="No growth Potential"/>
    <x v="8"/>
    <x v="2"/>
    <s v="Fossalta di portogruaro"/>
    <n v="228908"/>
    <s v="23-03-2022"/>
    <n v="0"/>
    <d v="2022-02-05T00:00:00"/>
  </r>
  <r>
    <s v="Carel Industries Spa"/>
    <x v="0"/>
    <s v="No growth Potential"/>
    <x v="8"/>
    <x v="2"/>
    <s v="BRUGINE"/>
    <n v="100385"/>
    <s v="23-01-2022"/>
    <n v="0"/>
    <d v="2022-02-02T00:00:00"/>
  </r>
  <r>
    <s v="Moncler S.p.A"/>
    <x v="1"/>
    <s v="Medium Growth"/>
    <x v="8"/>
    <x v="2"/>
    <s v="Milano"/>
    <n v="217607"/>
    <s v="18-09-2022"/>
    <n v="108804"/>
    <s v="17-11-2022"/>
  </r>
  <r>
    <s v="ENERGRID"/>
    <x v="0"/>
    <s v="No growth Potential"/>
    <x v="8"/>
    <x v="2"/>
    <s v="TORINO"/>
    <n v="89487"/>
    <d v="2022-03-10T00:00:00"/>
    <n v="0"/>
    <d v="2022-02-11T00:00:00"/>
  </r>
  <r>
    <s v="Anyweb SRL"/>
    <x v="0"/>
    <s v="No growth Potential"/>
    <x v="8"/>
    <x v="2"/>
    <s v="Milano"/>
    <n v="334933"/>
    <s v="13-09-2022"/>
    <n v="0"/>
    <d v="2022-02-11T00:00:00"/>
  </r>
  <r>
    <s v="Raccorderie Metalliche SpA"/>
    <x v="0"/>
    <s v="No growth Potential"/>
    <x v="8"/>
    <x v="2"/>
    <s v="Pilastro"/>
    <n v="143643"/>
    <s v="24-12-2021"/>
    <n v="0"/>
    <d v="2022-02-02T00:00:00"/>
  </r>
  <r>
    <s v="Angelo Marani Marex Spa"/>
    <x v="0"/>
    <s v="No growth Potential"/>
    <x v="8"/>
    <x v="2"/>
    <s v="CORREGGIO (RE)"/>
    <n v="171823"/>
    <s v="13-08-2022"/>
    <n v="0"/>
    <d v="2022-02-09T00:00:00"/>
  </r>
  <r>
    <s v="Oboxo"/>
    <x v="0"/>
    <s v="No growth Potential"/>
    <x v="8"/>
    <x v="2"/>
    <s v="Varese"/>
    <n v="107213"/>
    <d v="2022-03-10T00:00:00"/>
    <n v="0"/>
    <d v="2022-02-11T00:00:00"/>
  </r>
  <r>
    <s v="Marcegaglia S.p.A."/>
    <x v="0"/>
    <s v="No growth Potential"/>
    <x v="8"/>
    <x v="2"/>
    <s v="Gazoldo Ippoliti"/>
    <m/>
    <s v="13-01-2022"/>
    <n v="0"/>
    <d v="2022-02-02T00:00:00"/>
  </r>
  <r>
    <s v="Dierre SpA"/>
    <x v="0"/>
    <s v="No growth Potential"/>
    <x v="8"/>
    <x v="2"/>
    <s v="Villanova d'Asti"/>
    <n v="197474"/>
    <s v="13-10-2022"/>
    <n v="0"/>
    <d v="2022-02-11T00:00:00"/>
  </r>
  <r>
    <s v="CANALI"/>
    <x v="0"/>
    <s v="No growth Potential"/>
    <x v="8"/>
    <x v="2"/>
    <s v="CESSALTO"/>
    <n v="76838"/>
    <d v="2022-03-10T00:00:00"/>
    <n v="0"/>
    <d v="2022-02-11T00:00:00"/>
  </r>
  <r>
    <s v="Sambonet"/>
    <x v="0"/>
    <s v="No growth Potential"/>
    <x v="8"/>
    <x v="2"/>
    <s v="Orfengo"/>
    <n v="130506"/>
    <s v="24-11-2021"/>
    <n v="0"/>
    <d v="2022-02-02T00:00:00"/>
  </r>
  <r>
    <s v="Food and Agriculture Organization"/>
    <x v="1"/>
    <s v="Medium Growth"/>
    <x v="8"/>
    <x v="2"/>
    <s v="Rome"/>
    <n v="118892"/>
    <s v="15-05-2022"/>
    <n v="9146"/>
    <s v="14-06-2022"/>
  </r>
  <r>
    <s v="Colussi Group"/>
    <x v="0"/>
    <s v="No growth Potential"/>
    <x v="8"/>
    <x v="2"/>
    <s v="Perugia"/>
    <n v="81629"/>
    <s v="23-10-2022"/>
    <n v="0"/>
    <d v="2022-02-11T00:00:00"/>
  </r>
  <r>
    <s v="FRIUL INTAGLI INDUSTRIES S.P.A."/>
    <x v="0"/>
    <s v="No growth Potential"/>
    <x v="8"/>
    <x v="2"/>
    <s v="Villanova di Prata"/>
    <n v="423004"/>
    <d v="2022-03-09T00:00:00"/>
    <n v="0"/>
    <d v="2022-02-11T00:00:00"/>
  </r>
  <r>
    <s v="GREEN NETWORK SPA"/>
    <x v="0"/>
    <s v="No growth Potential"/>
    <x v="8"/>
    <x v="2"/>
    <s v="ROMA"/>
    <n v="115022"/>
    <s v="23-10-2022"/>
    <n v="0"/>
    <d v="2022-02-11T00:00:00"/>
  </r>
  <r>
    <s v="OPEN Dot Com Spa"/>
    <x v="0"/>
    <s v="No growth Potential"/>
    <x v="8"/>
    <x v="2"/>
    <s v="CUNEO"/>
    <n v="28800"/>
    <d v="2023-03-03T00:00:00"/>
    <n v="0"/>
    <d v="2023-02-04T00:00:00"/>
  </r>
  <r>
    <s v="Unigrà srl"/>
    <x v="0"/>
    <s v="No growth Potential"/>
    <x v="8"/>
    <x v="2"/>
    <s v="Conselice"/>
    <n v="119114"/>
    <s v="13-10-2022"/>
    <n v="0"/>
    <d v="2022-02-11T00:00:00"/>
  </r>
  <r>
    <s v="ePrice SPA"/>
    <x v="1"/>
    <s v="High Growth potential"/>
    <x v="8"/>
    <x v="2"/>
    <s v="Milano"/>
    <n v="123313"/>
    <d v="2022-05-09T00:00:00"/>
    <n v="30828"/>
    <s v="14-11-2022"/>
  </r>
  <r>
    <s v="Impulse srl"/>
    <x v="0"/>
    <s v="No growth Potential"/>
    <x v="8"/>
    <x v="2"/>
    <s v="RONCADELLE"/>
    <n v="107242"/>
    <s v="13-09-2022"/>
    <n v="0"/>
    <d v="2022-02-11T00:00:00"/>
  </r>
  <r>
    <s v="SMRE"/>
    <x v="0"/>
    <s v="No growth Potential"/>
    <x v="8"/>
    <x v="2"/>
    <s v="Umbertide"/>
    <n v="101487"/>
    <s v="13-10-2022"/>
    <n v="0"/>
    <d v="2022-02-11T00:00:00"/>
  </r>
  <r>
    <s v="Unifarm SpA"/>
    <x v="0"/>
    <s v="No growth Potential"/>
    <x v="8"/>
    <x v="2"/>
    <s v="Trento"/>
    <n v="69907"/>
    <d v="2022-12-04T00:00:00"/>
    <n v="0"/>
    <d v="2022-02-05T00:00:00"/>
  </r>
  <r>
    <s v="Caleffi Hydronic Solutions SpA"/>
    <x v="0"/>
    <s v="No growth Potential"/>
    <x v="8"/>
    <x v="2"/>
    <s v="Fontaneto D'Agogna"/>
    <m/>
    <d v="2021-04-12T00:00:00"/>
    <n v="0"/>
    <d v="2022-02-02T00:00:00"/>
  </r>
  <r>
    <s v="Industrie Testi SpA"/>
    <x v="0"/>
    <s v="No growth Potential"/>
    <x v="8"/>
    <x v="2"/>
    <s v="Empoli"/>
    <n v="73022"/>
    <s v="23-10-2022"/>
    <n v="0"/>
    <d v="2022-02-11T00:00:00"/>
  </r>
  <r>
    <s v="THE EUROPEAN HOUSE - AMBROSETTI"/>
    <x v="1"/>
    <s v="High Growth potential"/>
    <x v="8"/>
    <x v="2"/>
    <s v="MILANO"/>
    <n v="109147"/>
    <d v="2022-04-10T00:00:00"/>
    <n v="3521"/>
    <s v="23-11-2022"/>
  </r>
  <r>
    <s v="Emarc S.p.A."/>
    <x v="0"/>
    <s v="No growth Potential"/>
    <x v="8"/>
    <x v="2"/>
    <s v="Vinovo"/>
    <n v="74420"/>
    <s v="31-01-2022"/>
    <n v="0"/>
    <d v="2022-02-03T00:00:00"/>
  </r>
  <r>
    <s v="SCHURTER"/>
    <x v="1"/>
    <s v="High Growth potential"/>
    <x v="8"/>
    <x v="2"/>
    <s v="Arese"/>
    <n v="65114"/>
    <d v="2022-11-09T00:00:00"/>
    <n v="32557"/>
    <s v="20-11-2022"/>
  </r>
  <r>
    <s v="Illa"/>
    <x v="0"/>
    <s v="No growth Potential"/>
    <x v="8"/>
    <x v="2"/>
    <s v="TBD"/>
    <n v="107226"/>
    <d v="2022-01-02T00:00:00"/>
    <n v="0"/>
    <d v="2022-02-04T00:00:00"/>
  </r>
  <r>
    <s v="General Logistics Systems Italy S.p.A."/>
    <x v="0"/>
    <s v="No growth Potential"/>
    <x v="8"/>
    <x v="2"/>
    <s v="Bertinoro"/>
    <n v="404266"/>
    <s v="13-05-2022"/>
    <n v="0"/>
    <d v="2022-02-06T00:00:00"/>
  </r>
  <r>
    <s v="ISTITUTO UNIVERSITARIO EUROPEO"/>
    <x v="0"/>
    <s v="No growth Potential"/>
    <x v="8"/>
    <x v="2"/>
    <s v="S.Domenico di Fiesole (FI)"/>
    <n v="178945"/>
    <s v="23-09-2022"/>
    <n v="0"/>
    <d v="2022-02-11T00:00:00"/>
  </r>
  <r>
    <s v="European University Institute"/>
    <x v="0"/>
    <s v="No growth Potential"/>
    <x v="8"/>
    <x v="2"/>
    <s v="San Domenico di Fiesole"/>
    <n v="132245"/>
    <s v="22-06-2022"/>
    <n v="0"/>
    <d v="2022-02-07T00:00:00"/>
  </r>
  <r>
    <s v="Cinzia Rocca"/>
    <x v="0"/>
    <s v="No growth Potential"/>
    <x v="8"/>
    <x v="2"/>
    <s v="Dello (Brescia)"/>
    <n v="126158"/>
    <s v="13-04-2022"/>
    <n v="0"/>
    <d v="2022-02-06T00:00:00"/>
  </r>
  <r>
    <s v="Corepla"/>
    <x v="0"/>
    <s v="No growth Potential"/>
    <x v="8"/>
    <x v="2"/>
    <s v="Milano"/>
    <n v="72929"/>
    <d v="2022-02-06T00:00:00"/>
    <n v="0"/>
    <d v="2022-02-07T00:00:00"/>
  </r>
  <r>
    <s v="ITIJ - Instituto das Tecnologias de Informacao na Justica"/>
    <x v="0"/>
    <s v="No growth Potential"/>
    <x v="8"/>
    <x v="1"/>
    <s v="Lisboa"/>
    <m/>
    <d v="2021-12-06T00:00:00"/>
    <n v="0"/>
    <d v="2021-01-08T00:00:00"/>
  </r>
  <r>
    <s v="Carpigiani Group"/>
    <x v="0"/>
    <s v="No growth Potential"/>
    <x v="8"/>
    <x v="2"/>
    <s v="ANZOLA DELL'EMILIA"/>
    <n v="77515"/>
    <s v="24-12-2021"/>
    <n v="0"/>
    <d v="2022-02-02T00:00:00"/>
  </r>
  <r>
    <s v="Azimut Benetti"/>
    <x v="0"/>
    <s v="No growth Potential"/>
    <x v="8"/>
    <x v="2"/>
    <s v="Viareggio"/>
    <n v="52300"/>
    <s v="13-10-2022"/>
    <n v="0"/>
    <d v="2022-02-11T00:00:00"/>
  </r>
  <r>
    <s v="Diasorin SpA"/>
    <x v="0"/>
    <s v="No growth Potential"/>
    <x v="8"/>
    <x v="2"/>
    <s v="Saluggia"/>
    <n v="98751"/>
    <d v="2022-11-01T00:00:00"/>
    <n v="0"/>
    <d v="2022-02-03T00:00:00"/>
  </r>
  <r>
    <s v="Bonelli Erede Pappalardo"/>
    <x v="0"/>
    <s v="No growth Potential"/>
    <x v="8"/>
    <x v="2"/>
    <s v="Milano"/>
    <n v="115743"/>
    <s v="13-03-2023"/>
    <n v="0"/>
    <d v="2023-02-04T00:00:00"/>
  </r>
  <r>
    <s v="Culligan Italiana S.p.A."/>
    <x v="0"/>
    <s v="No growth Potential"/>
    <x v="8"/>
    <x v="2"/>
    <s v="Cadriano Di Granarolo dell?Emilia"/>
    <n v="197488"/>
    <d v="2022-03-05T00:00:00"/>
    <n v="0"/>
    <d v="2022-02-07T00:00:00"/>
  </r>
  <r>
    <s v="Renergetica SpA"/>
    <x v="0"/>
    <s v="No growth Potential"/>
    <x v="8"/>
    <x v="2"/>
    <s v="Genova"/>
    <n v="112720"/>
    <d v="2022-03-10T00:00:00"/>
    <n v="0"/>
    <d v="2022-02-11T00:00:00"/>
  </r>
  <r>
    <s v="eLearnSecurity srl"/>
    <x v="0"/>
    <s v="No growth Potential"/>
    <x v="8"/>
    <x v="2"/>
    <s v="Pisa"/>
    <n v="127620"/>
    <s v="21-02-2022"/>
    <n v="0"/>
    <d v="2022-02-04T00:00:00"/>
  </r>
  <r>
    <s v="Signor Prestito SPA"/>
    <x v="0"/>
    <s v="No growth Potential"/>
    <x v="8"/>
    <x v="2"/>
    <s v="Verona"/>
    <n v="72246"/>
    <d v="2022-03-09T00:00:00"/>
    <n v="0"/>
    <d v="2022-02-11T00:00:00"/>
  </r>
  <r>
    <s v="Ideal Standard srl"/>
    <x v="0"/>
    <s v="No growth Potential"/>
    <x v="8"/>
    <x v="2"/>
    <s v="Milano"/>
    <n v="101451"/>
    <s v="23-03-2022"/>
    <n v="0"/>
    <d v="2022-02-04T00:00:00"/>
  </r>
  <r>
    <s v="Electronics Shopping Center"/>
    <x v="0"/>
    <s v="No growth Potential"/>
    <x v="8"/>
    <x v="22"/>
    <s v="SAN MARINO DI RSM"/>
    <n v="55015"/>
    <s v="23-10-2022"/>
    <n v="0"/>
    <d v="2022-02-11T00:00:00"/>
  </r>
  <r>
    <s v="Università del Salento"/>
    <x v="0"/>
    <s v="No growth Potential"/>
    <x v="8"/>
    <x v="2"/>
    <s v="Lecce"/>
    <n v="136958"/>
    <s v="21-02-2023"/>
    <n v="0"/>
    <d v="2023-02-05T00:00:00"/>
  </r>
  <r>
    <s v="Commit Siderurgica SpA"/>
    <x v="0"/>
    <s v="No growth Potential"/>
    <x v="8"/>
    <x v="2"/>
    <s v="Veggiano"/>
    <n v="107493"/>
    <s v="13-04-2023"/>
    <n v="0"/>
    <d v="2023-02-06T00:00:00"/>
  </r>
  <r>
    <s v="Martini SpA"/>
    <x v="0"/>
    <s v="No growth Potential"/>
    <x v="8"/>
    <x v="2"/>
    <s v="Coenzo di Sorbolo"/>
    <n v="80106"/>
    <s v="13-01-2022"/>
    <n v="0"/>
    <d v="2022-02-02T00:00:00"/>
  </r>
  <r>
    <s v="Abaco SpA"/>
    <x v="0"/>
    <s v="No growth Potential"/>
    <x v="8"/>
    <x v="2"/>
    <s v="Padova"/>
    <n v="92947"/>
    <s v="22-12-2021"/>
    <n v="0"/>
    <d v="2022-02-03T00:00:00"/>
  </r>
  <r>
    <s v="Davines Italy"/>
    <x v="0"/>
    <s v="No growth Potential"/>
    <x v="8"/>
    <x v="2"/>
    <s v="Parma"/>
    <n v="70097"/>
    <s v="23-01-2022"/>
    <n v="0"/>
    <d v="2022-02-02T00:00:00"/>
  </r>
  <r>
    <s v="ARISTON THERMO"/>
    <x v="0"/>
    <s v="No growth Potential"/>
    <x v="8"/>
    <x v="2"/>
    <s v="FABRIANO"/>
    <n v="281760"/>
    <d v="2022-03-09T00:00:00"/>
    <n v="0"/>
    <d v="2022-02-11T00:00:00"/>
  </r>
  <r>
    <s v="Bedeschi SpA"/>
    <x v="0"/>
    <s v="No growth Potential"/>
    <x v="8"/>
    <x v="2"/>
    <s v="Limena"/>
    <n v="139026"/>
    <d v="2022-03-09T00:00:00"/>
    <n v="0"/>
    <d v="2022-02-11T00:00:00"/>
  </r>
  <r>
    <s v="Stefanel SpA"/>
    <x v="0"/>
    <s v="No growth Potential"/>
    <x v="8"/>
    <x v="2"/>
    <s v="Ponte di Pave"/>
    <n v="190705"/>
    <s v="23-03-2022"/>
    <n v="0"/>
    <d v="2022-02-05T00:00:00"/>
  </r>
  <r>
    <s v="Unes Maxi"/>
    <x v="0"/>
    <s v="No growth Potential"/>
    <x v="8"/>
    <x v="2"/>
    <s v="Milano"/>
    <n v="114554"/>
    <d v="2022-02-06T00:00:00"/>
    <n v="0"/>
    <d v="2022-02-07T00:00:00"/>
  </r>
  <r>
    <s v="ATENEO PONTIFICIO REGINA APOSTOLORUM"/>
    <x v="0"/>
    <s v="No growth Potential"/>
    <x v="8"/>
    <x v="2"/>
    <s v="Roma"/>
    <n v="173041"/>
    <d v="2022-03-09T00:00:00"/>
    <n v="0"/>
    <d v="2022-02-11T00:00:00"/>
  </r>
  <r>
    <s v="Roberto Demeglio SpA"/>
    <x v="0"/>
    <s v="No growth Potential"/>
    <x v="8"/>
    <x v="2"/>
    <s v="Torino"/>
    <m/>
    <s v="13-10-2022"/>
    <n v="0"/>
    <d v="2022-02-11T00:00:00"/>
  </r>
  <r>
    <s v="Veneta Cucine SpA"/>
    <x v="0"/>
    <s v="No growth Potential"/>
    <x v="8"/>
    <x v="2"/>
    <s v="Biancade"/>
    <n v="76841"/>
    <d v="2022-03-05T00:00:00"/>
    <n v="0"/>
    <d v="2022-02-06T00:00:00"/>
  </r>
  <r>
    <s v="Colmar"/>
    <x v="0"/>
    <s v="No growth Potential"/>
    <x v="8"/>
    <x v="2"/>
    <s v="Monza ? MB"/>
    <n v="37800"/>
    <s v="13-03-2022"/>
    <n v="0"/>
    <d v="2022-02-05T00:00:00"/>
  </r>
  <r>
    <s v="Eleonora Bonucci"/>
    <x v="0"/>
    <s v="No growth Potential"/>
    <x v="8"/>
    <x v="2"/>
    <s v="TBD"/>
    <n v="80523"/>
    <d v="2022-03-06T00:00:00"/>
    <n v="0"/>
    <d v="2022-02-08T00:00:00"/>
  </r>
  <r>
    <s v="Forma Italiana SpA"/>
    <x v="0"/>
    <s v="No growth Potential"/>
    <x v="8"/>
    <x v="2"/>
    <n v="20145"/>
    <n v="157233"/>
    <s v="21-02-2022"/>
    <n v="0"/>
    <d v="2022-02-05T00:00:00"/>
  </r>
  <r>
    <s v="Azimut Yachts"/>
    <x v="0"/>
    <s v="No growth Potential"/>
    <x v="8"/>
    <x v="2"/>
    <s v="AVIGLIANA"/>
    <n v="128110"/>
    <d v="2022-03-08T00:00:00"/>
    <n v="0"/>
    <d v="2022-02-09T00:00:00"/>
  </r>
  <r>
    <s v="Marazzi Group"/>
    <x v="0"/>
    <s v="No growth Potential"/>
    <x v="8"/>
    <x v="2"/>
    <s v="MODENA"/>
    <n v="60693"/>
    <s v="23-01-2022"/>
    <n v="0"/>
    <d v="2022-02-02T00:00:00"/>
  </r>
  <r>
    <s v="SAIT Abrasivi SpA"/>
    <x v="0"/>
    <s v="No growth Potential"/>
    <x v="8"/>
    <x v="2"/>
    <s v="Collegno"/>
    <n v="100555"/>
    <d v="2022-04-07T00:00:00"/>
    <n v="0"/>
    <d v="2022-02-09T00:00:00"/>
  </r>
  <r>
    <s v="Unico SpA"/>
    <x v="0"/>
    <s v="No growth Potential"/>
    <x v="8"/>
    <x v="2"/>
    <s v="Lainate"/>
    <n v="74869"/>
    <s v="24-08-2022"/>
    <n v="0"/>
    <d v="2022-02-11T00:00:00"/>
  </r>
  <r>
    <s v="Marchesini Group S.p.A"/>
    <x v="0"/>
    <s v="No growth Potential"/>
    <x v="8"/>
    <x v="2"/>
    <s v="Pianoro"/>
    <n v="101451"/>
    <s v="24-11-2021"/>
    <n v="0"/>
    <d v="2022-02-02T00:00:00"/>
  </r>
  <r>
    <s v="Longino &amp; Cardenal SPA"/>
    <x v="0"/>
    <s v="No growth Potential"/>
    <x v="8"/>
    <x v="2"/>
    <s v="POGLIANO MILANESE"/>
    <n v="260004"/>
    <s v="23-10-2022"/>
    <n v="0"/>
    <d v="2022-02-12T00:00:00"/>
  </r>
  <r>
    <s v="GIORGIO FEDON &amp; FIGLI SPA"/>
    <x v="0"/>
    <s v="No growth Potential"/>
    <x v="8"/>
    <x v="2"/>
    <s v="Pieve d'Alpago"/>
    <n v="118996"/>
    <d v="2022-03-10T00:00:00"/>
    <n v="0"/>
    <d v="2022-02-11T00:00:00"/>
  </r>
  <r>
    <s v="SCM GROUP Spa"/>
    <x v="1"/>
    <s v="High Growth potential"/>
    <x v="8"/>
    <x v="2"/>
    <s v="Rimini"/>
    <n v="93812"/>
    <d v="2022-11-11T00:00:00"/>
    <n v="46906"/>
    <s v="20-01-2023"/>
  </r>
  <r>
    <s v="Esaote SpA"/>
    <x v="0"/>
    <s v="No growth Potential"/>
    <x v="8"/>
    <x v="2"/>
    <s v="GENOVA"/>
    <n v="56404"/>
    <s v="20-02-2022"/>
    <n v="0"/>
    <d v="2022-02-03T00:00:00"/>
  </r>
  <r>
    <s v="GSI Ceramiche"/>
    <x v="0"/>
    <s v="No growth Potential"/>
    <x v="8"/>
    <x v="2"/>
    <s v="GALLESE"/>
    <n v="143639"/>
    <s v="23-06-2022"/>
    <n v="0"/>
    <d v="2022-02-08T00:00:00"/>
  </r>
  <r>
    <s v="Rocco Forte &amp; Friends SpA"/>
    <x v="0"/>
    <s v="No growth Potential"/>
    <x v="8"/>
    <x v="2"/>
    <s v="Roma"/>
    <m/>
    <d v="2022-12-10T00:00:00"/>
    <n v="0"/>
    <d v="2022-11-11T00:00:00"/>
  </r>
  <r>
    <s v="Arriva Italia"/>
    <x v="0"/>
    <s v="No growth Potential"/>
    <x v="8"/>
    <x v="2"/>
    <s v="Milano"/>
    <n v="171642"/>
    <s v="24-03-2022"/>
    <n v="0"/>
    <d v="2022-02-06T00:00:00"/>
  </r>
  <r>
    <s v="Praxi"/>
    <x v="0"/>
    <s v="No growth Potential"/>
    <x v="8"/>
    <x v="2"/>
    <s v="Bologna"/>
    <n v="171663"/>
    <s v="31-01-2022"/>
    <n v="0"/>
    <d v="2022-02-03T00:00:00"/>
  </r>
  <r>
    <s v="Phase Motion control SpA"/>
    <x v="0"/>
    <s v="No growth Potential"/>
    <x v="8"/>
    <x v="2"/>
    <s v="Genova"/>
    <n v="184681"/>
    <d v="2022-11-01T00:00:00"/>
    <n v="0"/>
    <d v="2022-02-03T00:00:00"/>
  </r>
  <r>
    <s v="Venchi SpA"/>
    <x v="0"/>
    <s v="No growth Potential"/>
    <x v="8"/>
    <x v="2"/>
    <s v="Catelletto Stura"/>
    <n v="160901"/>
    <s v="23-09-2022"/>
    <n v="0"/>
    <d v="2022-02-11T00:00:00"/>
  </r>
  <r>
    <s v="BAXI"/>
    <x v="0"/>
    <s v="No growth Potential"/>
    <x v="8"/>
    <x v="2"/>
    <s v="BASSANO DEL GRAPPA"/>
    <n v="104490"/>
    <s v="23-10-2022"/>
    <n v="0"/>
    <d v="2022-02-11T00:00:00"/>
  </r>
  <r>
    <s v="Saes Getters SpA"/>
    <x v="0"/>
    <s v="No growth Potential"/>
    <x v="8"/>
    <x v="2"/>
    <s v="Lainate"/>
    <n v="78161"/>
    <s v="14-12-2021"/>
    <n v="0"/>
    <d v="2022-02-02T00:00:00"/>
  </r>
  <r>
    <s v="Mermec SpA"/>
    <x v="0"/>
    <s v="No growth Potential"/>
    <x v="8"/>
    <x v="2"/>
    <s v="Monopoli (BA)"/>
    <n v="181198"/>
    <s v="13-10-2022"/>
    <n v="0"/>
    <d v="2022-02-11T00:00:00"/>
  </r>
  <r>
    <s v="UFI FILTERS spa"/>
    <x v="0"/>
    <s v="No growth Potential"/>
    <x v="8"/>
    <x v="2"/>
    <s v="Porto Mantovano"/>
    <n v="239168"/>
    <d v="2023-10-02T00:00:00"/>
    <n v="0"/>
    <d v="2023-02-03T00:00:00"/>
  </r>
  <r>
    <s v="CLUB HOUSE ITALIA SPA"/>
    <x v="0"/>
    <s v="No growth Potential"/>
    <x v="8"/>
    <x v="2"/>
    <s v="Forlì"/>
    <n v="77441"/>
    <s v="24-08-2022"/>
    <n v="0"/>
    <d v="2022-02-11T00:00:00"/>
  </r>
  <r>
    <s v="Micro Servizi S.A.S."/>
    <x v="0"/>
    <s v="No growth Potential"/>
    <x v="8"/>
    <x v="2"/>
    <s v="Francofonte"/>
    <n v="86474"/>
    <d v="2022-03-09T00:00:00"/>
    <n v="0"/>
    <d v="2022-02-11T00:00:00"/>
  </r>
  <r>
    <s v="Lindt &amp; Sprüngli Italy"/>
    <x v="0"/>
    <s v="No growth Potential"/>
    <x v="8"/>
    <x v="2"/>
    <s v="INDUNO OLONA"/>
    <n v="109690"/>
    <s v="22-08-2021"/>
    <n v="0"/>
    <d v="2021-01-09T00:00:00"/>
  </r>
  <r>
    <s v="La Riviera dei Sogni Travels"/>
    <x v="0"/>
    <s v="No growth Potential"/>
    <x v="8"/>
    <x v="2"/>
    <s v="LAVAGNA"/>
    <n v="166384"/>
    <s v="24-12-2021"/>
    <n v="0"/>
    <d v="2022-02-02T00:00:00"/>
  </r>
  <r>
    <s v="Halcom ICT"/>
    <x v="0"/>
    <s v="No growth Potential"/>
    <x v="8"/>
    <x v="2"/>
    <s v="Rome"/>
    <n v="25440"/>
    <s v="23-01-2022"/>
    <n v="0"/>
    <d v="2022-02-02T00:00:00"/>
  </r>
  <r>
    <s v="Abiogen Pharma SpA"/>
    <x v="0"/>
    <s v="No growth Potential"/>
    <x v="8"/>
    <x v="2"/>
    <s v="Pisa - Loc. Ospedaletto"/>
    <n v="189565"/>
    <s v="24-08-2022"/>
    <n v="0"/>
    <d v="2022-02-11T00:00:00"/>
  </r>
  <r>
    <s v="Netstorming SRL"/>
    <x v="0"/>
    <s v="No growth Potential"/>
    <x v="8"/>
    <x v="2"/>
    <s v="Roma"/>
    <m/>
    <s v="24-10-2022"/>
    <n v="0"/>
    <s v="23-11-2022"/>
  </r>
  <r>
    <s v="GELSIA RETI SRL"/>
    <x v="0"/>
    <s v="No growth Potential"/>
    <x v="8"/>
    <x v="2"/>
    <s v="Seregno"/>
    <n v="94709"/>
    <s v="13-09-2022"/>
    <n v="0"/>
    <d v="2022-02-11T00:00:00"/>
  </r>
  <r>
    <s v="Industrie Saleri Italo SpA"/>
    <x v="0"/>
    <s v="No growth Potential"/>
    <x v="8"/>
    <x v="2"/>
    <s v="Lumezzane"/>
    <n v="180130"/>
    <d v="2022-02-11T00:00:00"/>
    <n v="0"/>
    <d v="2022-02-12T00:00:00"/>
  </r>
  <r>
    <s v="Cofra Srl"/>
    <x v="0"/>
    <s v="No growth Potential"/>
    <x v="8"/>
    <x v="2"/>
    <s v="Barletta"/>
    <n v="122985"/>
    <s v="21-02-2022"/>
    <n v="0"/>
    <d v="2022-02-05T00:00:00"/>
  </r>
  <r>
    <s v="Laminazione Sottile S.p.A."/>
    <x v="1"/>
    <s v="High Growth potential"/>
    <x v="8"/>
    <x v="2"/>
    <s v="SAN MARCO EVANGELISTA"/>
    <n v="57260"/>
    <s v="21-01-2022"/>
    <n v="14315"/>
    <s v="20-02-2022"/>
  </r>
  <r>
    <s v="Monnalisa SpA"/>
    <x v="0"/>
    <s v="No growth Potential"/>
    <x v="8"/>
    <x v="2"/>
    <s v="Arezzo"/>
    <n v="74058"/>
    <s v="13-03-2022"/>
    <n v="0"/>
    <d v="2022-02-05T00:00:00"/>
  </r>
  <r>
    <s v="STEFANO RICCI S.p.A."/>
    <x v="0"/>
    <s v="No growth Potential"/>
    <x v="8"/>
    <x v="2"/>
    <s v="Firenze"/>
    <n v="118487"/>
    <s v="13-10-2022"/>
    <n v="0"/>
    <d v="2022-02-11T00:00:00"/>
  </r>
  <r>
    <s v="ThinkLUX S.r.l."/>
    <x v="0"/>
    <s v="No growth Potential"/>
    <x v="8"/>
    <x v="2"/>
    <s v="Torino"/>
    <n v="123084"/>
    <s v="13-09-2022"/>
    <n v="0"/>
    <d v="2022-02-11T00:00:00"/>
  </r>
  <r>
    <s v="CONNECTIS CMC ITALIA SRL"/>
    <x v="0"/>
    <s v="No growth Potential"/>
    <x v="8"/>
    <x v="2"/>
    <s v="MILANO"/>
    <n v="77568"/>
    <d v="2022-03-09T00:00:00"/>
    <n v="0"/>
    <d v="2022-02-11T00:00:00"/>
  </r>
  <r>
    <s v="Recordati SpA"/>
    <x v="0"/>
    <s v="No growth Potential"/>
    <x v="8"/>
    <x v="2"/>
    <s v="Milano"/>
    <n v="87926"/>
    <d v="2022-12-06T00:00:00"/>
    <n v="0"/>
    <d v="2022-02-07T00:00:00"/>
  </r>
  <r>
    <s v="Consorzio Venezia Nuova"/>
    <x v="1"/>
    <s v="High Growth potential"/>
    <x v="8"/>
    <x v="2"/>
    <s v="Venezia"/>
    <n v="112708"/>
    <s v="29-03-2023"/>
    <n v="14089"/>
    <d v="2023-08-05T00:00:00"/>
  </r>
  <r>
    <s v="Gruppo Borghi SpA"/>
    <x v="0"/>
    <s v="No growth Potential"/>
    <x v="8"/>
    <x v="2"/>
    <s v="Calderara di Reno"/>
    <n v="100592"/>
    <s v="23-09-2022"/>
    <n v="0"/>
    <d v="2022-02-11T00:00:00"/>
  </r>
  <r>
    <s v="Vincenzo Zucchi SpA"/>
    <x v="0"/>
    <s v="No growth Potential"/>
    <x v="8"/>
    <x v="2"/>
    <s v="Rescaldina"/>
    <n v="75937"/>
    <s v="13-09-2022"/>
    <n v="0"/>
    <d v="2022-02-11T00:00:00"/>
  </r>
  <r>
    <s v="Pianoforte Holding Spa"/>
    <x v="0"/>
    <s v="No growth Potential"/>
    <x v="8"/>
    <x v="2"/>
    <s v="Milano"/>
    <n v="107388"/>
    <s v="31-01-2022"/>
    <n v="0"/>
    <d v="2022-02-03T00:00:00"/>
  </r>
  <r>
    <s v="La Feltrinelli"/>
    <x v="1"/>
    <s v="High Growth potential"/>
    <x v="8"/>
    <x v="2"/>
    <s v="Milano"/>
    <n v="76095"/>
    <d v="2022-09-01T00:00:00"/>
    <n v="8455"/>
    <d v="2022-08-02T00:00:00"/>
  </r>
  <r>
    <s v="CONSORZIO LATTERIE VIRGILIO"/>
    <x v="0"/>
    <s v="No growth Potential"/>
    <x v="8"/>
    <x v="2"/>
    <s v="MANTOVA"/>
    <n v="49615"/>
    <s v="23-09-2022"/>
    <n v="0"/>
    <d v="2022-02-11T00:00:00"/>
  </r>
  <r>
    <s v="Full Spot SpA"/>
    <x v="0"/>
    <s v="No growth Potential"/>
    <x v="8"/>
    <x v="2"/>
    <s v="Campodarsego"/>
    <n v="98813"/>
    <s v="23-10-2022"/>
    <n v="0"/>
    <d v="2022-02-11T00:00:00"/>
  </r>
  <r>
    <s v="Marposs S.p.A."/>
    <x v="0"/>
    <s v="No growth Potential"/>
    <x v="8"/>
    <x v="2"/>
    <s v="Bentivoglio"/>
    <n v="85668"/>
    <d v="2022-03-01T00:00:00"/>
    <n v="0"/>
    <d v="2022-02-02T00:00:00"/>
  </r>
  <r>
    <s v="GooCity Srl"/>
    <x v="0"/>
    <s v="No growth Potential"/>
    <x v="8"/>
    <x v="2"/>
    <s v="Milano"/>
    <n v="122808"/>
    <d v="2022-03-10T00:00:00"/>
    <n v="0"/>
    <d v="2022-02-11T00:00:00"/>
  </r>
  <r>
    <s v="Yeppon"/>
    <x v="0"/>
    <s v="No growth Potential"/>
    <x v="8"/>
    <x v="2"/>
    <s v="Nova Milanese"/>
    <n v="152450"/>
    <s v="13-10-2022"/>
    <n v="0"/>
    <d v="2022-02-11T00:00:00"/>
  </r>
  <r>
    <s v="N&amp;W Global vending Spa"/>
    <x v="0"/>
    <s v="No growth Potential"/>
    <x v="8"/>
    <x v="2"/>
    <s v="VALBREMBO"/>
    <m/>
    <s v="14-07-2022"/>
    <n v="0"/>
    <d v="2022-02-09T00:00:00"/>
  </r>
  <r>
    <s v="Travel Age"/>
    <x v="0"/>
    <s v="No growth Potential"/>
    <x v="8"/>
    <x v="2"/>
    <s v="TBD"/>
    <n v="34798"/>
    <s v="31-01-2022"/>
    <n v="0"/>
    <d v="2022-02-03T00:00:00"/>
  </r>
  <r>
    <s v="Beghelli SpA"/>
    <x v="0"/>
    <s v="No growth Potential"/>
    <x v="8"/>
    <x v="2"/>
    <s v="VALSAMOGGIA"/>
    <n v="81201"/>
    <d v="2022-03-09T00:00:00"/>
    <n v="0"/>
    <d v="2022-02-11T00:00:00"/>
  </r>
  <r>
    <s v="Servizio Auto Online S.P.A."/>
    <x v="0"/>
    <s v="No growth Potential"/>
    <x v="8"/>
    <x v="2"/>
    <s v="Lido di Ostia"/>
    <n v="98847"/>
    <s v="13-09-2022"/>
    <n v="0"/>
    <d v="2022-02-11T00:00:00"/>
  </r>
  <r>
    <s v="Alfaparf Group SpA"/>
    <x v="0"/>
    <s v="No growth Potential"/>
    <x v="8"/>
    <x v="2"/>
    <s v="Osio Sotto"/>
    <n v="89781"/>
    <s v="21-02-2022"/>
    <n v="0"/>
    <d v="2022-02-04T00:00:00"/>
  </r>
  <r>
    <s v="Feedback Italia s.r.l."/>
    <x v="1"/>
    <s v="High Growth potential"/>
    <x v="8"/>
    <x v="2"/>
    <s v="Moncalieri"/>
    <n v="124385"/>
    <s v="30-03-2022"/>
    <n v="12439"/>
    <d v="2022-08-06T00:00:00"/>
  </r>
  <r>
    <s v="DPV SPA"/>
    <x v="0"/>
    <s v="No growth Potential"/>
    <x v="8"/>
    <x v="2"/>
    <s v="TOrino"/>
    <n v="98544"/>
    <s v="24-08-2022"/>
    <n v="0"/>
    <d v="2022-02-11T00:00:00"/>
  </r>
  <r>
    <s v="Banfi Società Agricola S.R.L."/>
    <x v="0"/>
    <s v="No growth Potential"/>
    <x v="8"/>
    <x v="2"/>
    <s v="Montalcino"/>
    <n v="138504"/>
    <d v="2022-03-01T00:00:00"/>
    <n v="0"/>
    <d v="2022-02-02T00:00:00"/>
  </r>
  <r>
    <s v="Galbusera SpA"/>
    <x v="0"/>
    <s v="No growth Potential"/>
    <x v="8"/>
    <x v="2"/>
    <n v="20864"/>
    <n v="91793"/>
    <s v="23-01-2022"/>
    <n v="0"/>
    <d v="2022-02-02T00:00:00"/>
  </r>
  <r>
    <s v="FEDRIGONI Spa"/>
    <x v="0"/>
    <s v="No growth Potential"/>
    <x v="8"/>
    <x v="2"/>
    <s v="Verona"/>
    <n v="159683"/>
    <d v="2022-03-11T00:00:00"/>
    <n v="0"/>
    <d v="2023-02-01T00:00:00"/>
  </r>
  <r>
    <s v="AcomeA SGR SpA"/>
    <x v="0"/>
    <s v="No growth Potential"/>
    <x v="8"/>
    <x v="2"/>
    <s v="Milano"/>
    <n v="100011"/>
    <d v="2022-03-10T00:00:00"/>
    <n v="0"/>
    <d v="2022-02-11T00:00:00"/>
  </r>
  <r>
    <s v="API ANONIMA PETROLI ITALIANA SPA"/>
    <x v="0"/>
    <s v="No growth Potential"/>
    <x v="8"/>
    <x v="2"/>
    <s v="ROMA"/>
    <n v="58322"/>
    <s v="23-10-2022"/>
    <n v="0"/>
    <d v="2022-02-11T00:00:00"/>
  </r>
  <r>
    <s v="Pastificio Rana S.p.a."/>
    <x v="0"/>
    <s v="No growth Potential"/>
    <x v="8"/>
    <x v="2"/>
    <s v="San Giovanni Lupatoto"/>
    <n v="132359"/>
    <s v="24-12-2021"/>
    <n v="0"/>
    <d v="2022-02-02T00:00:00"/>
  </r>
  <r>
    <s v="Atahotels"/>
    <x v="0"/>
    <s v="No growth Potential"/>
    <x v="8"/>
    <x v="2"/>
    <s v="Milan"/>
    <n v="80107"/>
    <s v="31-01-2022"/>
    <n v="0"/>
    <d v="2022-02-03T00:00:00"/>
  </r>
  <r>
    <s v="Inticom SpA"/>
    <x v="0"/>
    <s v="No growth Potential"/>
    <x v="8"/>
    <x v="2"/>
    <s v="Gallarate"/>
    <n v="161635"/>
    <s v="13-10-2022"/>
    <n v="0"/>
    <d v="2022-02-11T00:00:00"/>
  </r>
  <r>
    <s v="Twin-Set srl"/>
    <x v="1"/>
    <s v="Medium Growth"/>
    <x v="8"/>
    <x v="2"/>
    <s v="Carpi"/>
    <n v="86700"/>
    <s v="16-10-2022"/>
    <n v="28900"/>
    <d v="2022-05-11T00:00:00"/>
  </r>
  <r>
    <s v="Bonfiglioli Riduttori SpA"/>
    <x v="0"/>
    <s v="No growth Potential"/>
    <x v="8"/>
    <x v="2"/>
    <s v="CARPIANO"/>
    <n v="98623"/>
    <s v="13-09-2022"/>
    <n v="0"/>
    <d v="2022-02-11T00:00:00"/>
  </r>
  <r>
    <s v="Merlo SpA"/>
    <x v="0"/>
    <s v="No growth Potential"/>
    <x v="8"/>
    <x v="2"/>
    <s v="S. Defendente di Cervasca"/>
    <n v="252843"/>
    <d v="2022-03-10T00:00:00"/>
    <n v="0"/>
    <d v="2022-02-11T00:00:00"/>
  </r>
  <r>
    <s v="Eden Viaggi"/>
    <x v="0"/>
    <s v="No growth Potential"/>
    <x v="8"/>
    <x v="2"/>
    <s v="Pesaro"/>
    <n v="100582"/>
    <s v="24-05-2022"/>
    <n v="0"/>
    <d v="2022-02-08T00:00:00"/>
  </r>
  <r>
    <s v="Came SpA"/>
    <x v="0"/>
    <s v="No growth Potential"/>
    <x v="8"/>
    <x v="2"/>
    <s v="Dosson di Casier"/>
    <n v="55049"/>
    <s v="24-11-2021"/>
    <n v="0"/>
    <d v="2022-02-02T00:00:00"/>
  </r>
  <r>
    <s v="EGIDIO GALBANI"/>
    <x v="0"/>
    <s v="No growth Potential"/>
    <x v="8"/>
    <x v="2"/>
    <s v="MILANO"/>
    <n v="105575"/>
    <s v="13-10-2022"/>
    <n v="0"/>
    <d v="2022-02-11T00:00:00"/>
  </r>
  <r>
    <s v="Pizzoli SpA"/>
    <x v="0"/>
    <s v="No growth Potential"/>
    <x v="8"/>
    <x v="2"/>
    <s v="Budrio"/>
    <n v="112578"/>
    <s v="13-09-2022"/>
    <n v="0"/>
    <d v="2022-02-11T00:00:00"/>
  </r>
  <r>
    <s v="Fabbrica Italiana Sintetici S.p.A."/>
    <x v="0"/>
    <s v="No growth Potential"/>
    <x v="8"/>
    <x v="2"/>
    <s v="Montecchio Maggiore"/>
    <n v="111856"/>
    <s v="24-11-2021"/>
    <n v="0"/>
    <d v="2022-02-02T00:00:00"/>
  </r>
  <r>
    <s v="FLOS SpA"/>
    <x v="0"/>
    <s v="No growth Potential"/>
    <x v="8"/>
    <x v="2"/>
    <s v="Bovezzo"/>
    <n v="74238"/>
    <s v="23-09-2022"/>
    <n v="0"/>
    <d v="2022-02-11T00:00:00"/>
  </r>
  <r>
    <s v="Spidi"/>
    <x v="0"/>
    <s v="No growth Potential"/>
    <x v="8"/>
    <x v="2"/>
    <s v="Sarego"/>
    <n v="355025"/>
    <s v="23-10-2022"/>
    <n v="0"/>
    <d v="2022-02-11T00:00:00"/>
  </r>
  <r>
    <s v="Breton Spa"/>
    <x v="1"/>
    <s v="High Growth potential"/>
    <x v="8"/>
    <x v="2"/>
    <s v="Castello di Godego"/>
    <n v="105493"/>
    <s v="24-09-2022"/>
    <n v="52747"/>
    <s v="14-10-2022"/>
  </r>
  <r>
    <s v="ICIM International SpA"/>
    <x v="0"/>
    <s v="No growth Potential"/>
    <x v="8"/>
    <x v="2"/>
    <s v="Garbagnate Mil.se"/>
    <n v="83117"/>
    <d v="2022-12-11T00:00:00"/>
    <n v="0"/>
    <d v="2022-02-12T00:00:00"/>
  </r>
  <r>
    <s v="Isagro SpA"/>
    <x v="0"/>
    <s v="No growth Potential"/>
    <x v="8"/>
    <x v="2"/>
    <s v="Milano"/>
    <n v="74204"/>
    <d v="2022-01-01T00:00:00"/>
    <n v="0"/>
    <d v="2022-02-03T00:00:00"/>
  </r>
  <r>
    <s v="Digitalmonkeys snc"/>
    <x v="0"/>
    <s v="No growth Potential"/>
    <x v="8"/>
    <x v="2"/>
    <s v="Milano"/>
    <n v="97267"/>
    <s v="13-04-2022"/>
    <n v="0"/>
    <d v="2022-02-06T00:00:00"/>
  </r>
  <r>
    <s v="Zeta Farmaceutici SpA"/>
    <x v="0"/>
    <s v="No growth Potential"/>
    <x v="8"/>
    <x v="2"/>
    <s v="Sandrigo"/>
    <n v="100029"/>
    <d v="2022-01-02T00:00:00"/>
    <n v="0"/>
    <d v="2022-02-04T00:00:00"/>
  </r>
  <r>
    <s v="Roncato SpA"/>
    <x v="0"/>
    <s v="No growth Potential"/>
    <x v="8"/>
    <x v="2"/>
    <s v="Campodarsego"/>
    <n v="83989"/>
    <s v="23-03-2022"/>
    <n v="0"/>
    <d v="2022-02-05T00:00:00"/>
  </r>
  <r>
    <s v="Italkali Società Italiana Sali Alcalini S.p.a."/>
    <x v="0"/>
    <s v="No growth Potential"/>
    <x v="8"/>
    <x v="2"/>
    <s v="Palermo"/>
    <n v="171617"/>
    <s v="22-12-2021"/>
    <n v="0"/>
    <d v="2022-02-03T00:00:00"/>
  </r>
  <r>
    <s v="Moleskine SpA"/>
    <x v="1"/>
    <s v="High Growth potential"/>
    <x v="8"/>
    <x v="2"/>
    <s v="MILANO"/>
    <n v="143735"/>
    <s v="18-10-2022"/>
    <n v="20534"/>
    <s v="17-11-2022"/>
  </r>
  <r>
    <s v="MUTUIONLINE S.p.A."/>
    <x v="0"/>
    <s v="No growth Potential"/>
    <x v="8"/>
    <x v="2"/>
    <s v="MILANO"/>
    <n v="70098"/>
    <s v="13-09-2022"/>
    <n v="0"/>
    <d v="2022-02-11T00:00:00"/>
  </r>
  <r>
    <s v="Savio Spa"/>
    <x v="0"/>
    <s v="No growth Potential"/>
    <x v="8"/>
    <x v="2"/>
    <s v="Pordenone"/>
    <n v="79503"/>
    <s v="13-01-2022"/>
    <n v="0"/>
    <d v="2022-02-02T00:00:00"/>
  </r>
  <r>
    <s v="Belron Italia SpA"/>
    <x v="0"/>
    <s v="No growth Potential"/>
    <x v="8"/>
    <x v="2"/>
    <s v="Milano"/>
    <n v="100792"/>
    <s v="23-08-2022"/>
    <n v="0"/>
    <d v="2022-02-10T00:00:00"/>
  </r>
  <r>
    <s v="Gruppo Angelini SpA"/>
    <x v="0"/>
    <s v="No growth Potential"/>
    <x v="8"/>
    <x v="2"/>
    <s v="Ancona"/>
    <n v="80575"/>
    <d v="2022-03-10T00:00:00"/>
    <n v="0"/>
    <d v="2022-02-11T00:00:00"/>
  </r>
  <r>
    <s v="GDG Srl"/>
    <x v="0"/>
    <s v="No growth Potential"/>
    <x v="8"/>
    <x v="2"/>
    <s v="Fire"/>
    <n v="69191"/>
    <s v="13-09-2022"/>
    <n v="0"/>
    <d v="2022-02-11T00:00:00"/>
  </r>
  <r>
    <s v="Repower SpA"/>
    <x v="0"/>
    <s v="No growth Potential"/>
    <x v="8"/>
    <x v="2"/>
    <s v="Milano"/>
    <n v="91609"/>
    <s v="13-10-2022"/>
    <n v="0"/>
    <d v="2022-02-11T00:00:00"/>
  </r>
  <r>
    <s v="SGM DISTRIBUZIONE"/>
    <x v="0"/>
    <s v="No growth Potential"/>
    <x v="8"/>
    <x v="2"/>
    <s v="FORLI"/>
    <n v="146655"/>
    <s v="24-08-2022"/>
    <n v="0"/>
    <d v="2022-02-11T00:00:00"/>
  </r>
  <r>
    <s v="BDO Spa"/>
    <x v="0"/>
    <s v="No growth Potential"/>
    <x v="8"/>
    <x v="2"/>
    <s v="MILANO"/>
    <n v="81137"/>
    <d v="2022-03-05T00:00:00"/>
    <n v="0"/>
    <d v="2022-02-07T00:00:00"/>
  </r>
  <r>
    <s v="Gruppo la Serenissima"/>
    <x v="0"/>
    <s v="No growth Potential"/>
    <x v="8"/>
    <x v="2"/>
    <s v="Vicenza"/>
    <n v="91695"/>
    <s v="14-07-2022"/>
    <n v="0"/>
    <d v="2022-02-09T00:00:00"/>
  </r>
  <r>
    <s v="Menarini Group"/>
    <x v="0"/>
    <s v="No growth Potential"/>
    <x v="8"/>
    <x v="2"/>
    <s v="Firenze"/>
    <n v="132232"/>
    <s v="23-03-2022"/>
    <n v="0"/>
    <d v="2022-02-04T00:00:00"/>
  </r>
  <r>
    <s v="OSO STORE Srl"/>
    <x v="0"/>
    <s v="No growth Potential"/>
    <x v="8"/>
    <x v="2"/>
    <s v="San Cesareo"/>
    <n v="101472"/>
    <s v="24-08-2022"/>
    <n v="0"/>
    <d v="2022-02-11T00:00:00"/>
  </r>
  <r>
    <s v="Cogne Acciai Speciali s.p.a"/>
    <x v="0"/>
    <s v="No growth Potential"/>
    <x v="8"/>
    <x v="2"/>
    <s v="Aosta"/>
    <n v="141076"/>
    <s v="13-09-2022"/>
    <n v="0"/>
    <d v="2022-02-11T00:00:00"/>
  </r>
  <r>
    <s v="Floornature.com Spa"/>
    <x v="1"/>
    <s v="Medium Growth"/>
    <x v="8"/>
    <x v="2"/>
    <s v="Castellarano"/>
    <n v="157549"/>
    <d v="2022-10-07T00:00:00"/>
    <n v="78774"/>
    <s v="20-07-2022"/>
  </r>
  <r>
    <s v="Costruzioni Linee Ferroviarie SpA"/>
    <x v="0"/>
    <s v="No growth Potential"/>
    <x v="8"/>
    <x v="2"/>
    <s v="Bologna"/>
    <n v="44091"/>
    <s v="22-02-2022"/>
    <n v="0"/>
    <d v="2022-04-03T00:00:00"/>
  </r>
  <r>
    <s v="Riello Group SpA"/>
    <x v="0"/>
    <s v="No growth Potential"/>
    <x v="8"/>
    <x v="2"/>
    <s v="Legnago"/>
    <n v="61001"/>
    <s v="13-10-2022"/>
    <n v="0"/>
    <d v="2022-02-11T00:00:00"/>
  </r>
  <r>
    <s v="Enervit SpA"/>
    <x v="0"/>
    <s v="No growth Potential"/>
    <x v="8"/>
    <x v="2"/>
    <s v="Milano"/>
    <n v="86459"/>
    <s v="13-10-2022"/>
    <n v="0"/>
    <d v="2022-02-11T00:00:00"/>
  </r>
  <r>
    <s v="Fly Flot"/>
    <x v="0"/>
    <s v="No growth Potential"/>
    <x v="8"/>
    <x v="2"/>
    <s v="Calvisano"/>
    <n v="42361"/>
    <s v="13-09-2022"/>
    <n v="0"/>
    <d v="2022-02-11T00:00:00"/>
  </r>
  <r>
    <s v="COMELIT GROUP SPA"/>
    <x v="0"/>
    <s v="No growth Potential"/>
    <x v="8"/>
    <x v="2"/>
    <s v="Rovetta"/>
    <n v="136965"/>
    <s v="13-09-2022"/>
    <n v="0"/>
    <d v="2022-02-11T00:00:00"/>
  </r>
  <r>
    <s v="Melchioni Spa"/>
    <x v="0"/>
    <s v="No growth Potential"/>
    <x v="8"/>
    <x v="2"/>
    <s v="Milano"/>
    <n v="114527"/>
    <d v="2022-03-12T00:00:00"/>
    <n v="0"/>
    <d v="2023-02-01T00:00:00"/>
  </r>
  <r>
    <s v="Politecnico di TOrino"/>
    <x v="0"/>
    <s v="No growth Potential"/>
    <x v="8"/>
    <x v="2"/>
    <s v="Torino"/>
    <n v="85137"/>
    <s v="23-10-2022"/>
    <n v="0"/>
    <d v="2022-02-11T00:00:00"/>
  </r>
  <r>
    <s v="Grotto S.p.A."/>
    <x v="0"/>
    <s v="No growth Potential"/>
    <x v="8"/>
    <x v="2"/>
    <s v="Chiuppano"/>
    <n v="100584"/>
    <s v="23-10-2022"/>
    <n v="0"/>
    <d v="2022-02-11T00:00:00"/>
  </r>
  <r>
    <s v="Immergas SpA"/>
    <x v="0"/>
    <s v="No growth Potential"/>
    <x v="8"/>
    <x v="2"/>
    <s v="Brescello"/>
    <n v="78363"/>
    <s v="23-05-2022"/>
    <n v="0"/>
    <d v="2022-02-07T00:00:00"/>
  </r>
  <r>
    <s v="4tourism srl"/>
    <x v="0"/>
    <s v="No growth Potential"/>
    <x v="8"/>
    <x v="2"/>
    <s v="Navacchio"/>
    <n v="85130"/>
    <d v="2022-03-10T00:00:00"/>
    <n v="0"/>
    <d v="2022-02-11T00:00:00"/>
  </r>
  <r>
    <s v="Birsik"/>
    <x v="0"/>
    <s v="No growth Potential"/>
    <x v="8"/>
    <x v="2"/>
    <s v="Bosaro"/>
    <n v="127431"/>
    <s v="24-08-2022"/>
    <n v="0"/>
    <d v="2022-02-11T00:00:00"/>
  </r>
  <r>
    <s v="MARCOLIN"/>
    <x v="0"/>
    <s v="No growth Potential"/>
    <x v="8"/>
    <x v="2"/>
    <s v="LONGARONE"/>
    <n v="149252"/>
    <s v="13-09-2022"/>
    <n v="0"/>
    <d v="2022-02-11T00:00:00"/>
  </r>
  <r>
    <s v="Meccanica Nova SpA"/>
    <x v="0"/>
    <s v="No growth Potential"/>
    <x v="8"/>
    <x v="2"/>
    <s v="Zola Predosa"/>
    <n v="141302"/>
    <s v="21-02-2022"/>
    <n v="0"/>
    <d v="2022-02-05T00:00:00"/>
  </r>
  <r>
    <s v="Cereal Docks SpA"/>
    <x v="0"/>
    <s v="No growth Potential"/>
    <x v="8"/>
    <x v="2"/>
    <s v="Camisano Vicentino"/>
    <n v="75938"/>
    <d v="2022-03-03T00:00:00"/>
    <n v="0"/>
    <d v="2022-02-05T00:00:00"/>
  </r>
  <r>
    <s v="Salumificio Fratelli Beretta"/>
    <x v="0"/>
    <s v="No growth Potential"/>
    <x v="8"/>
    <x v="2"/>
    <s v="Trezzo Sull'Adda"/>
    <n v="107458"/>
    <s v="14-12-2021"/>
    <n v="0"/>
    <d v="2022-02-02T00:00:00"/>
  </r>
  <r>
    <s v="Texa S.p.A"/>
    <x v="1"/>
    <s v="High Growth potential"/>
    <x v="8"/>
    <x v="2"/>
    <s v="MONASTIER DI TREVISO"/>
    <n v="101613"/>
    <d v="2022-08-03T00:00:00"/>
    <n v="50807"/>
    <s v="17-04-2022"/>
  </r>
  <r>
    <s v="Kiara Bijoux Srl"/>
    <x v="0"/>
    <s v="No growth Potential"/>
    <x v="8"/>
    <x v="2"/>
    <s v="Bassano del Grappa"/>
    <m/>
    <d v="2022-01-01T00:00:00"/>
    <n v="0"/>
    <d v="2022-02-03T00:00:00"/>
  </r>
  <r>
    <s v="Negozio del vino Srl"/>
    <x v="0"/>
    <s v="No growth Potential"/>
    <x v="8"/>
    <x v="2"/>
    <s v="Mozzate"/>
    <n v="100181"/>
    <s v="13-10-2022"/>
    <n v="0"/>
    <d v="2022-02-11T00:00:00"/>
  </r>
  <r>
    <s v="Clinica Veterinaria San Marco"/>
    <x v="1"/>
    <s v="High Growth potential"/>
    <x v="8"/>
    <x v="2"/>
    <s v="Veggiano"/>
    <n v="120600"/>
    <s v="27-06-2022"/>
    <n v="40200"/>
    <s v="17-07-2022"/>
  </r>
  <r>
    <s v="FAIVELEY TRANSPORT SPA"/>
    <x v="0"/>
    <s v="No growth Potential"/>
    <x v="8"/>
    <x v="2"/>
    <s v="Piossasco"/>
    <n v="96201"/>
    <s v="24-08-2022"/>
    <n v="0"/>
    <d v="2022-02-11T00:00:00"/>
  </r>
  <r>
    <s v="ACR Solutions srl"/>
    <x v="0"/>
    <s v="No growth Potential"/>
    <x v="8"/>
    <x v="2"/>
    <s v="Aci Castello"/>
    <n v="109545"/>
    <d v="2022-03-10T00:00:00"/>
    <n v="0"/>
    <d v="2022-02-11T00:00:00"/>
  </r>
  <r>
    <s v="Blutec Srl"/>
    <x v="0"/>
    <s v="No growth Potential"/>
    <x v="8"/>
    <x v="2"/>
    <s v="Rivoli Cascine Vica"/>
    <n v="126633"/>
    <s v="23-10-2022"/>
    <n v="0"/>
    <d v="2022-02-11T00:00:00"/>
  </r>
  <r>
    <s v="NATUZZI"/>
    <x v="0"/>
    <s v="No growth Potential"/>
    <x v="8"/>
    <x v="2"/>
    <s v="Santeramo in Colle"/>
    <n v="106737"/>
    <s v="23-09-2022"/>
    <n v="0"/>
    <d v="2022-02-11T00:00:00"/>
  </r>
  <r>
    <s v="Bcube"/>
    <x v="0"/>
    <s v="No growth Potential"/>
    <x v="8"/>
    <x v="2"/>
    <s v="Casale Monferrato"/>
    <n v="123073"/>
    <s v="13-09-2022"/>
    <n v="0"/>
    <d v="2022-02-11T00:00:00"/>
  </r>
  <r>
    <s v="Antress Industry SpA"/>
    <x v="0"/>
    <s v="No growth Potential"/>
    <x v="8"/>
    <x v="2"/>
    <s v="Carpi"/>
    <n v="70284"/>
    <s v="13-10-2022"/>
    <n v="0"/>
    <d v="2022-02-11T00:00:00"/>
  </r>
  <r>
    <s v="Costa Group Srl"/>
    <x v="0"/>
    <s v="No growth Potential"/>
    <x v="8"/>
    <x v="2"/>
    <s v="RICCO' DEL GOLFO DI SPEZIA"/>
    <n v="154442"/>
    <s v="13-03-2022"/>
    <n v="0"/>
    <d v="2022-02-05T00:00:00"/>
  </r>
  <r>
    <s v="BasicNet S.p.A."/>
    <x v="0"/>
    <s v="No growth Potential"/>
    <x v="8"/>
    <x v="2"/>
    <s v="Torino"/>
    <n v="139026"/>
    <s v="23-01-2022"/>
    <n v="0"/>
    <d v="2022-02-02T00:00:00"/>
  </r>
  <r>
    <s v="Provincia di Ravenna"/>
    <x v="0"/>
    <s v="No growth Potential"/>
    <x v="8"/>
    <x v="2"/>
    <s v="RAVENNA"/>
    <n v="118618"/>
    <s v="24-06-2022"/>
    <n v="0"/>
    <d v="2022-02-09T00:00:00"/>
  </r>
  <r>
    <s v="GIGLIO"/>
    <x v="0"/>
    <s v="No growth Potential"/>
    <x v="8"/>
    <x v="2"/>
    <s v="Palermo"/>
    <n v="39469"/>
    <s v="24-08-2022"/>
    <n v="0"/>
    <d v="2022-02-11T00:00:00"/>
  </r>
  <r>
    <s v="Gruppo Pittini"/>
    <x v="0"/>
    <s v="No growth Potential"/>
    <x v="8"/>
    <x v="2"/>
    <s v="Osoppo"/>
    <n v="82571"/>
    <s v="23-09-2022"/>
    <n v="0"/>
    <d v="2022-02-11T00:00:00"/>
  </r>
  <r>
    <s v="Arturai Small Business WAP"/>
    <x v="1"/>
    <s v="High Growth potential"/>
    <x v="8"/>
    <x v="2"/>
    <s v="Milano"/>
    <n v="77576"/>
    <d v="2022-01-06T00:00:00"/>
    <n v="11082"/>
    <d v="2022-11-06T00:00:00"/>
  </r>
  <r>
    <s v="John Cabot University"/>
    <x v="0"/>
    <s v="No growth Potential"/>
    <x v="8"/>
    <x v="2"/>
    <s v="TBD"/>
    <n v="80519"/>
    <d v="2022-02-06T00:00:00"/>
    <n v="0"/>
    <d v="2022-02-07T00:00:00"/>
  </r>
  <r>
    <s v="Vimi Fasteners S.p.A."/>
    <x v="0"/>
    <s v="No growth Potential"/>
    <x v="8"/>
    <x v="2"/>
    <s v="Novellara"/>
    <n v="157835"/>
    <s v="22-06-2022"/>
    <n v="0"/>
    <d v="2022-02-07T00:00:00"/>
  </r>
  <r>
    <s v="TESMEC S.p.A."/>
    <x v="0"/>
    <s v="No growth Potential"/>
    <x v="8"/>
    <x v="2"/>
    <s v="Grassobbio"/>
    <n v="58486"/>
    <s v="24-08-2022"/>
    <n v="0"/>
    <d v="2022-02-11T00:00:00"/>
  </r>
  <r>
    <s v="Duetorrihotels S.p.A."/>
    <x v="0"/>
    <s v="No growth Potential"/>
    <x v="8"/>
    <x v="2"/>
    <s v="san donato milanese"/>
    <n v="353255"/>
    <s v="23-10-2022"/>
    <n v="0"/>
    <d v="2022-02-11T00:00:00"/>
  </r>
  <r>
    <s v="Spea"/>
    <x v="0"/>
    <s v="No growth Potential"/>
    <x v="8"/>
    <x v="2"/>
    <s v="Volpiano"/>
    <n v="157349"/>
    <d v="2022-11-02T00:00:00"/>
    <n v="0"/>
    <d v="2022-02-04T00:00:00"/>
  </r>
  <r>
    <s v="F.lli De Cecco Di Filippo Fara San Martino S.p.A."/>
    <x v="0"/>
    <s v="No growth Potential"/>
    <x v="8"/>
    <x v="2"/>
    <s v="Pescara"/>
    <n v="202460"/>
    <s v="14-03-2022"/>
    <n v="0"/>
    <d v="2022-03-05T00:00:00"/>
  </r>
  <r>
    <s v="Fashion Box Spa"/>
    <x v="0"/>
    <s v="No growth Potential"/>
    <x v="8"/>
    <x v="2"/>
    <s v="Asolo"/>
    <m/>
    <s v="14-12-2021"/>
    <n v="0"/>
    <d v="2022-02-02T00:00:00"/>
  </r>
  <r>
    <s v="Axolight srl"/>
    <x v="0"/>
    <s v="No growth Potential"/>
    <x v="8"/>
    <x v="2"/>
    <s v="Scorzè"/>
    <n v="152450"/>
    <s v="23-10-2022"/>
    <n v="0"/>
    <d v="2022-02-11T00:00:00"/>
  </r>
  <r>
    <s v="TEDDY S.p.A."/>
    <x v="0"/>
    <s v="No growth Potential"/>
    <x v="8"/>
    <x v="2"/>
    <s v="Rimini"/>
    <n v="157857"/>
    <s v="24-08-2022"/>
    <n v="0"/>
    <d v="2022-02-11T00:00:00"/>
  </r>
  <r>
    <s v="PENNY MARKET ITALIA SRL"/>
    <x v="0"/>
    <s v="No growth Potential"/>
    <x v="8"/>
    <x v="2"/>
    <s v="CERNUSCO SUL NAVIGLIO"/>
    <n v="76357"/>
    <d v="2022-03-09T00:00:00"/>
    <n v="0"/>
    <d v="2022-02-11T00:00:00"/>
  </r>
  <r>
    <s v="Medica Srl"/>
    <x v="0"/>
    <s v="No growth Potential"/>
    <x v="8"/>
    <x v="2"/>
    <s v="PORDENONE"/>
    <m/>
    <d v="2022-03-05T00:00:00"/>
    <n v="0"/>
    <d v="2022-02-06T00:00:00"/>
  </r>
  <r>
    <s v="Difarco Srl"/>
    <x v="0"/>
    <s v="No growth Potential"/>
    <x v="8"/>
    <x v="2"/>
    <s v="Vimercate"/>
    <n v="202429"/>
    <s v="13-03-2022"/>
    <n v="0"/>
    <d v="2022-02-04T00:00:00"/>
  </r>
  <r>
    <s v="Domotecnica S.p.A."/>
    <x v="0"/>
    <s v="No growth Potential"/>
    <x v="8"/>
    <x v="2"/>
    <s v="San Vendemiano (TV)"/>
    <n v="352859"/>
    <s v="23-10-2022"/>
    <n v="0"/>
    <d v="2022-02-11T00:00:00"/>
  </r>
  <r>
    <s v="Acerbis Italia SpA"/>
    <x v="0"/>
    <s v="No growth Potential"/>
    <x v="8"/>
    <x v="2"/>
    <s v="Albino"/>
    <n v="77466"/>
    <s v="23-09-2022"/>
    <n v="0"/>
    <d v="2022-02-11T00:00:00"/>
  </r>
  <r>
    <s v="WeSchool"/>
    <x v="0"/>
    <s v="No growth Potential"/>
    <x v="8"/>
    <x v="2"/>
    <s v="Milan"/>
    <n v="101567"/>
    <s v="23-10-2022"/>
    <n v="0"/>
    <d v="2022-02-11T00:00:00"/>
  </r>
  <r>
    <s v="Effer SpA"/>
    <x v="0"/>
    <s v="No growth Potential"/>
    <x v="8"/>
    <x v="2"/>
    <s v="Minerbio"/>
    <n v="113679"/>
    <s v="13-09-2022"/>
    <n v="0"/>
    <d v="2022-02-11T00:00:00"/>
  </r>
  <r>
    <s v="Finproject S.p.A."/>
    <x v="1"/>
    <s v="High Growth potential"/>
    <x v="8"/>
    <x v="2"/>
    <s v="Morrovalle"/>
    <n v="62175"/>
    <s v="18-10-2022"/>
    <n v="31087"/>
    <s v="17-11-2022"/>
  </r>
  <r>
    <s v="Mosaico Labs"/>
    <x v="0"/>
    <s v="No growth Potential"/>
    <x v="8"/>
    <x v="2"/>
    <s v="Rome"/>
    <n v="160792"/>
    <s v="23-03-2022"/>
    <n v="0"/>
    <d v="2022-02-04T00:00:00"/>
  </r>
  <r>
    <s v="Boggi Milano"/>
    <x v="0"/>
    <s v="No growth Potential"/>
    <x v="8"/>
    <x v="2"/>
    <s v="Monza"/>
    <n v="100538"/>
    <s v="23-08-2022"/>
    <n v="0"/>
    <d v="2022-02-10T00:00:00"/>
  </r>
  <r>
    <s v="Renco SpA"/>
    <x v="0"/>
    <s v="No growth Potential"/>
    <x v="8"/>
    <x v="2"/>
    <s v="Pesaro"/>
    <n v="77108"/>
    <s v="23-09-2022"/>
    <n v="0"/>
    <d v="2022-02-11T00:00:00"/>
  </r>
  <r>
    <s v="BAULI"/>
    <x v="0"/>
    <s v="No growth Potential"/>
    <x v="8"/>
    <x v="2"/>
    <s v="CASTEL D'AZZANO"/>
    <n v="119329"/>
    <s v="23-10-2022"/>
    <n v="0"/>
    <d v="2022-02-11T00:00:00"/>
  </r>
  <r>
    <s v="Permasteelisa"/>
    <x v="0"/>
    <s v="No growth Potential"/>
    <x v="8"/>
    <x v="2"/>
    <s v="Vittorio Veneto"/>
    <n v="151291"/>
    <s v="13-03-2022"/>
    <n v="0"/>
    <d v="2022-02-05T00:00:00"/>
  </r>
  <r>
    <s v="Piazza Hosting Services"/>
    <x v="1"/>
    <s v="High Growth potential"/>
    <x v="8"/>
    <x v="2"/>
    <s v="ROMA"/>
    <n v="139026"/>
    <d v="2022-01-02T00:00:00"/>
    <n v="69513"/>
    <s v="23-03-2022"/>
  </r>
  <r>
    <s v="Abet Laminati SpA"/>
    <x v="0"/>
    <s v="No growth Potential"/>
    <x v="8"/>
    <x v="2"/>
    <s v="Bra"/>
    <n v="76408"/>
    <s v="23-04-2022"/>
    <n v="0"/>
    <d v="2022-02-07T00:00:00"/>
  </r>
  <r>
    <s v="MB S.p.A."/>
    <x v="0"/>
    <s v="No growth Potential"/>
    <x v="8"/>
    <x v="2"/>
    <s v="CASTIGLION FIORENTINO"/>
    <n v="118935"/>
    <d v="2022-03-09T00:00:00"/>
    <n v="0"/>
    <d v="2022-02-11T00:00:00"/>
  </r>
  <r>
    <s v="Sorin Group Italia srl"/>
    <x v="0"/>
    <s v="No growth Potential"/>
    <x v="8"/>
    <x v="2"/>
    <s v="Milano"/>
    <n v="100534"/>
    <d v="2023-10-02T00:00:00"/>
    <n v="0"/>
    <d v="2023-02-03T00:00:00"/>
  </r>
  <r>
    <s v="Industrie De Nora SpA"/>
    <x v="0"/>
    <s v="No growth Potential"/>
    <x v="8"/>
    <x v="2"/>
    <s v="Milano"/>
    <n v="121681"/>
    <s v="13-03-2023"/>
    <n v="0"/>
    <d v="2023-02-05T00:00:00"/>
  </r>
  <r>
    <s v="STE energy"/>
    <x v="0"/>
    <s v="No growth Potential"/>
    <x v="8"/>
    <x v="2"/>
    <s v="Padova"/>
    <n v="152450"/>
    <s v="23-10-2022"/>
    <n v="0"/>
    <d v="2022-02-11T00:00:00"/>
  </r>
  <r>
    <s v="FILOBLU SRL"/>
    <x v="0"/>
    <s v="No growth Potential"/>
    <x v="8"/>
    <x v="2"/>
    <s v="SANTA MARIA DI SALA"/>
    <n v="97501"/>
    <d v="2022-03-09T00:00:00"/>
    <n v="0"/>
    <d v="2022-02-11T00:00:00"/>
  </r>
  <r>
    <s v="Fornari SpA"/>
    <x v="0"/>
    <s v="No growth Potential"/>
    <x v="8"/>
    <x v="2"/>
    <s v="Civitanova Marche"/>
    <n v="69532"/>
    <s v="13-03-2022"/>
    <n v="0"/>
    <d v="2022-02-05T00:00:00"/>
  </r>
  <r>
    <s v="Kerakoll SpA"/>
    <x v="0"/>
    <s v="No growth Potential"/>
    <x v="8"/>
    <x v="2"/>
    <s v="Sassuolo"/>
    <n v="165164"/>
    <s v="23-03-2022"/>
    <n v="0"/>
    <d v="2022-02-04T00:00:00"/>
  </r>
  <r>
    <s v="Direzione Generale Opera Don Bosco"/>
    <x v="0"/>
    <s v="No growth Potential"/>
    <x v="8"/>
    <x v="2"/>
    <s v="Roma"/>
    <m/>
    <s v="21-02-2023"/>
    <n v="0"/>
    <d v="2023-02-04T00:00:00"/>
  </r>
  <r>
    <s v="CHIESI FARMACEUTICI"/>
    <x v="0"/>
    <s v="No growth Potential"/>
    <x v="8"/>
    <x v="2"/>
    <s v="PARMA"/>
    <n v="174102"/>
    <s v="23-09-2022"/>
    <n v="0"/>
    <d v="2022-02-11T00:00:00"/>
  </r>
  <r>
    <s v="Rebecca srl"/>
    <x v="0"/>
    <s v="No growth Potential"/>
    <x v="8"/>
    <x v="2"/>
    <s v="Porto Recanati"/>
    <n v="76168"/>
    <d v="2022-12-06T00:00:00"/>
    <n v="0"/>
    <d v="2022-02-07T00:00:00"/>
  </r>
  <r>
    <s v="Leggiuno s.p.a."/>
    <x v="0"/>
    <s v="No growth Potential"/>
    <x v="8"/>
    <x v="2"/>
    <s v="Leggiuno"/>
    <n v="136970"/>
    <s v="13-01-2023"/>
    <n v="0"/>
    <d v="2023-02-02T00:00:00"/>
  </r>
  <r>
    <s v="Percassi"/>
    <x v="1"/>
    <s v="High Growth potential"/>
    <x v="8"/>
    <x v="2"/>
    <s v="Bergamo"/>
    <n v="62421"/>
    <d v="2022-10-05T00:00:00"/>
    <n v="7803"/>
    <s v="20-05-2022"/>
  </r>
  <r>
    <s v="Thun S.p.A."/>
    <x v="0"/>
    <s v="No growth Potential"/>
    <x v="8"/>
    <x v="2"/>
    <s v="BOLZANO"/>
    <n v="217224"/>
    <s v="23-10-2022"/>
    <n v="0"/>
    <d v="2022-02-11T00:00:00"/>
  </r>
  <r>
    <s v="Guala Closures Group SpA"/>
    <x v="0"/>
    <s v="No growth Potential"/>
    <x v="8"/>
    <x v="2"/>
    <s v="Spinetta M.go"/>
    <n v="160901"/>
    <d v="2022-10-02T00:00:00"/>
    <n v="0"/>
    <d v="2022-02-03T00:00:00"/>
  </r>
  <r>
    <s v="Si.TEK Informatica Srl"/>
    <x v="0"/>
    <s v="No growth Potential"/>
    <x v="8"/>
    <x v="2"/>
    <s v="TBD"/>
    <n v="139352"/>
    <s v="13-01-2023"/>
    <n v="0"/>
    <d v="2023-02-02T00:00:00"/>
  </r>
  <r>
    <s v="Innovatec SpA"/>
    <x v="0"/>
    <s v="No growth Potential"/>
    <x v="8"/>
    <x v="2"/>
    <s v="Milano"/>
    <n v="123099"/>
    <s v="23-05-2022"/>
    <n v="0"/>
    <d v="2022-02-06T00:00:00"/>
  </r>
  <r>
    <s v="Gruppo Pam"/>
    <x v="0"/>
    <s v="No growth Potential"/>
    <x v="8"/>
    <x v="2"/>
    <s v="Spinea"/>
    <n v="80565"/>
    <d v="2022-04-07T00:00:00"/>
    <n v="0"/>
    <d v="2022-02-09T00:00:00"/>
  </r>
  <r>
    <s v="Sabaf SpA"/>
    <x v="0"/>
    <s v="No growth Potential"/>
    <x v="8"/>
    <x v="2"/>
    <s v="Ospitaletto"/>
    <n v="121681"/>
    <s v="13-01-2022"/>
    <n v="0"/>
    <d v="2022-02-02T00:00:00"/>
  </r>
  <r>
    <s v="Tecla.it Srl"/>
    <x v="1"/>
    <s v="High Growth potential"/>
    <x v="8"/>
    <x v="2"/>
    <s v="Faenza (RA)"/>
    <n v="142296"/>
    <s v="25-04-2022"/>
    <n v="20328"/>
    <d v="2022-05-05T00:00:00"/>
  </r>
  <r>
    <s v="Gruppo Sutter SpA"/>
    <x v="0"/>
    <s v="No growth Potential"/>
    <x v="8"/>
    <x v="2"/>
    <s v="Borghetto Borbera"/>
    <n v="98792"/>
    <s v="13-10-2022"/>
    <n v="0"/>
    <d v="2022-02-11T00:00:00"/>
  </r>
  <r>
    <s v="CONBIPEL"/>
    <x v="0"/>
    <s v="No growth Potential"/>
    <x v="8"/>
    <x v="2"/>
    <s v="COCCONATO"/>
    <n v="180078"/>
    <s v="23-09-2022"/>
    <n v="0"/>
    <d v="2022-02-11T00:00:00"/>
  </r>
  <r>
    <s v="CLN spa Coils Lamiere Nastri"/>
    <x v="0"/>
    <s v="No growth Potential"/>
    <x v="8"/>
    <x v="2"/>
    <s v="Caselette"/>
    <n v="74190"/>
    <s v="23-04-2022"/>
    <n v="0"/>
    <d v="2022-02-07T00:00:00"/>
  </r>
  <r>
    <s v="Rosetti Marino SpA"/>
    <x v="0"/>
    <s v="No growth Potential"/>
    <x v="8"/>
    <x v="2"/>
    <s v="Ravenna"/>
    <n v="100790"/>
    <d v="2022-02-09T00:00:00"/>
    <n v="0"/>
    <d v="2022-02-10T00:00:00"/>
  </r>
  <r>
    <s v="SPAL Automotive"/>
    <x v="0"/>
    <s v="No growth Potential"/>
    <x v="8"/>
    <x v="2"/>
    <s v="TBD"/>
    <n v="53141"/>
    <s v="23-10-2022"/>
    <n v="0"/>
    <d v="2022-02-11T00:00:00"/>
  </r>
  <r>
    <s v="systems srl"/>
    <x v="0"/>
    <s v="No growth Potential"/>
    <x v="8"/>
    <x v="2"/>
    <s v="Brunico"/>
    <m/>
    <s v="29-10-2022"/>
    <n v="0"/>
    <d v="2022-08-11T00:00:00"/>
  </r>
  <r>
    <s v="Vetrocar &amp; Bus SpA"/>
    <x v="0"/>
    <s v="No growth Potential"/>
    <x v="8"/>
    <x v="2"/>
    <s v="Verona"/>
    <n v="138624"/>
    <s v="23-04-2022"/>
    <n v="0"/>
    <d v="2022-02-07T00:00:00"/>
  </r>
  <r>
    <s v="FIDIA - FARMACEUTICI"/>
    <x v="0"/>
    <s v="No growth Potential"/>
    <x v="8"/>
    <x v="2"/>
    <s v="ABANO TERME"/>
    <n v="50316"/>
    <d v="2022-03-10T00:00:00"/>
    <n v="0"/>
    <d v="2022-02-11T00:00:00"/>
  </r>
  <r>
    <s v="Grissin Bon Spa"/>
    <x v="0"/>
    <s v="No growth Potential"/>
    <x v="8"/>
    <x v="2"/>
    <s v="Sant'Ilario d'Enza"/>
    <n v="294485"/>
    <d v="2023-11-01T00:00:00"/>
    <n v="0"/>
    <d v="2023-02-03T00:00:00"/>
  </r>
  <r>
    <s v="Cifa"/>
    <x v="0"/>
    <s v="No growth Potential"/>
    <x v="8"/>
    <x v="2"/>
    <s v="TBD"/>
    <n v="118484"/>
    <s v="21-02-2022"/>
    <n v="0"/>
    <d v="2022-02-04T00:00:00"/>
  </r>
  <r>
    <s v="Imolalegno"/>
    <x v="0"/>
    <s v="No growth Potential"/>
    <x v="8"/>
    <x v="2"/>
    <s v="Imola"/>
    <n v="96614"/>
    <s v="21-02-2022"/>
    <n v="0"/>
    <d v="2022-02-05T00:00:00"/>
  </r>
  <r>
    <s v="Biancamano SpA"/>
    <x v="0"/>
    <s v="No growth Potential"/>
    <x v="8"/>
    <x v="2"/>
    <s v="Rozzano"/>
    <n v="57258"/>
    <s v="31-01-2022"/>
    <n v="0"/>
    <d v="2022-02-03T00:00:00"/>
  </r>
  <r>
    <s v="Alfasigma SpA"/>
    <x v="0"/>
    <s v="No growth Potential"/>
    <x v="8"/>
    <x v="2"/>
    <s v="Bologno"/>
    <n v="55037"/>
    <s v="13-03-2022"/>
    <n v="0"/>
    <d v="2022-02-04T00:00:00"/>
  </r>
  <r>
    <s v="POLIFORM"/>
    <x v="1"/>
    <s v="High Growth potential"/>
    <x v="8"/>
    <x v="2"/>
    <s v="INVERIGO"/>
    <n v="56363"/>
    <d v="2022-04-10T00:00:00"/>
    <n v="14091"/>
    <s v="23-11-2022"/>
  </r>
  <r>
    <s v="Buzzi Unicem SpA"/>
    <x v="0"/>
    <s v="No growth Potential"/>
    <x v="8"/>
    <x v="2"/>
    <s v="Casale Monferrato"/>
    <n v="157540"/>
    <s v="23-10-2022"/>
    <n v="0"/>
    <d v="2022-02-11T00:00:00"/>
  </r>
  <r>
    <s v="Communication Strategies Lab"/>
    <x v="0"/>
    <s v="No growth Potential"/>
    <x v="8"/>
    <x v="2"/>
    <s v="Firenze"/>
    <n v="42421"/>
    <s v="14-07-2022"/>
    <n v="0"/>
    <d v="2022-02-09T00:00:00"/>
  </r>
  <r>
    <s v="Sogegross SpA"/>
    <x v="0"/>
    <s v="No growth Potential"/>
    <x v="8"/>
    <x v="2"/>
    <s v="Genova"/>
    <n v="120923"/>
    <d v="2022-03-09T00:00:00"/>
    <n v="0"/>
    <d v="2022-02-11T00:00:00"/>
  </r>
  <r>
    <s v="E.on Italia SpA"/>
    <x v="0"/>
    <s v="No growth Potential"/>
    <x v="8"/>
    <x v="2"/>
    <s v="Milano"/>
    <m/>
    <d v="2022-03-07T00:00:00"/>
    <n v="0"/>
    <d v="2022-02-08T00:00:00"/>
  </r>
  <r>
    <s v="A. Loacker S.p.A."/>
    <x v="0"/>
    <s v="No growth Potential"/>
    <x v="8"/>
    <x v="2"/>
    <s v="Auna di Sotto/Renon"/>
    <n v="132000"/>
    <s v="13-05-2022"/>
    <n v="0"/>
    <d v="2022-02-06T00:00:00"/>
  </r>
  <r>
    <s v="SNAIDERO RINO"/>
    <x v="0"/>
    <s v="No growth Potential"/>
    <x v="8"/>
    <x v="2"/>
    <s v="MAJANO"/>
    <n v="69400"/>
    <s v="24-08-2022"/>
    <n v="0"/>
    <d v="2022-02-11T00:00:00"/>
  </r>
  <r>
    <s v="Felver Casa Srl"/>
    <x v="0"/>
    <s v="No growth Potential"/>
    <x v="8"/>
    <x v="2"/>
    <s v="Lucrezia di Cartoceto"/>
    <n v="72913"/>
    <s v="24-07-2022"/>
    <n v="0"/>
    <d v="2022-02-09T00:00:00"/>
  </r>
  <r>
    <s v="Forte Village Resort"/>
    <x v="0"/>
    <s v="No growth Potential"/>
    <x v="8"/>
    <x v="2"/>
    <s v="PULA"/>
    <n v="128388"/>
    <d v="2022-03-09T00:00:00"/>
    <n v="0"/>
    <d v="2022-02-11T00:00:00"/>
  </r>
  <r>
    <s v="C.E.I. S.p.A Costruzione Emiliana Ingranaggi"/>
    <x v="0"/>
    <s v="No growth Potential"/>
    <x v="8"/>
    <x v="2"/>
    <s v="Anzola Emilia"/>
    <n v="116939"/>
    <s v="13-07-2022"/>
    <n v="0"/>
    <d v="2022-02-08T00:00:00"/>
  </r>
  <r>
    <s v="Ikonic Srl"/>
    <x v="1"/>
    <s v="High Growth potential"/>
    <x v="8"/>
    <x v="2"/>
    <s v="Jesi"/>
    <n v="89781"/>
    <s v="13-11-2022"/>
    <n v="89781"/>
    <s v="23-11-2022"/>
  </r>
  <r>
    <s v="Baglietto SpA"/>
    <x v="0"/>
    <s v="No growth Potential"/>
    <x v="8"/>
    <x v="2"/>
    <s v="La Spezia"/>
    <n v="364169"/>
    <s v="14-12-2021"/>
    <n v="0"/>
    <d v="2022-02-02T00:00:00"/>
  </r>
  <r>
    <s v="Italtrans SPA"/>
    <x v="0"/>
    <s v="No growth Potential"/>
    <x v="8"/>
    <x v="2"/>
    <s v="Calcinate"/>
    <n v="88735"/>
    <s v="21-01-2022"/>
    <n v="0"/>
    <d v="2022-02-03T00:00:00"/>
  </r>
  <r>
    <s v="P&amp;T Furs"/>
    <x v="0"/>
    <s v="No growth Potential"/>
    <x v="8"/>
    <x v="2"/>
    <s v="Viadana"/>
    <n v="72195"/>
    <s v="23-10-2022"/>
    <n v="0"/>
    <d v="2022-02-11T00:00:00"/>
  </r>
  <r>
    <s v="Una Hotels"/>
    <x v="0"/>
    <s v="No growth Potential"/>
    <x v="8"/>
    <x v="2"/>
    <s v="Calenzano"/>
    <n v="86456"/>
    <s v="20-02-2022"/>
    <n v="0"/>
    <d v="2022-02-03T00:00:00"/>
  </r>
  <r>
    <s v="STM SpA"/>
    <x v="0"/>
    <s v="No growth Potential"/>
    <x v="8"/>
    <x v="2"/>
    <s v="Lippo di Calderara di Reno"/>
    <n v="107388"/>
    <s v="23-10-2022"/>
    <n v="0"/>
    <d v="2022-02-11T00:00:00"/>
  </r>
  <r>
    <s v="Emak SpA"/>
    <x v="0"/>
    <s v="No growth Potential"/>
    <x v="8"/>
    <x v="2"/>
    <s v="Bagnolo in piano"/>
    <n v="121680"/>
    <d v="2022-11-01T00:00:00"/>
    <n v="0"/>
    <d v="2022-02-03T00:00:00"/>
  </r>
  <r>
    <s v="Zenit SGR SpA"/>
    <x v="0"/>
    <s v="No growth Potential"/>
    <x v="8"/>
    <x v="2"/>
    <s v="Milano"/>
    <n v="100170"/>
    <d v="2022-03-10T00:00:00"/>
    <n v="0"/>
    <d v="2022-02-11T00:00:00"/>
  </r>
  <r>
    <s v="Siram SPA"/>
    <x v="0"/>
    <s v="No growth Potential"/>
    <x v="8"/>
    <x v="2"/>
    <s v="Milano"/>
    <n v="118487"/>
    <s v="23-03-2022"/>
    <n v="0"/>
    <d v="2022-02-04T00:00:00"/>
  </r>
  <r>
    <s v="Gruppo Editoriale Spaggiari"/>
    <x v="0"/>
    <s v="No growth Potential"/>
    <x v="8"/>
    <x v="2"/>
    <s v="Parma"/>
    <n v="123311"/>
    <d v="2023-10-02T00:00:00"/>
    <n v="0"/>
    <d v="2023-02-03T00:00:00"/>
  </r>
  <r>
    <s v="Coccinelle S.p.A."/>
    <x v="0"/>
    <s v="No growth Potential"/>
    <x v="8"/>
    <x v="2"/>
    <s v="SALA BAGANZA"/>
    <n v="53883"/>
    <s v="24-08-2022"/>
    <n v="0"/>
    <d v="2022-02-11T00:00:00"/>
  </r>
  <r>
    <s v="Alce Nero SpA"/>
    <x v="0"/>
    <s v="No growth Potential"/>
    <x v="8"/>
    <x v="2"/>
    <s v="San Lazzaro di Savena"/>
    <n v="205186"/>
    <s v="13-09-2022"/>
    <n v="0"/>
    <d v="2022-02-11T00:00:00"/>
  </r>
  <r>
    <s v="Cembre SpA"/>
    <x v="0"/>
    <s v="No growth Potential"/>
    <x v="8"/>
    <x v="2"/>
    <s v="Brescia"/>
    <n v="184349"/>
    <s v="13-10-2022"/>
    <n v="0"/>
    <d v="2022-02-11T00:00:00"/>
  </r>
  <r>
    <s v="Project Automation"/>
    <x v="0"/>
    <s v="No growth Potential"/>
    <x v="8"/>
    <x v="2"/>
    <s v="Monza"/>
    <n v="67047"/>
    <s v="23-01-2023"/>
    <n v="0"/>
    <d v="2023-02-02T00:00:00"/>
  </r>
  <r>
    <s v="Vimar Group"/>
    <x v="0"/>
    <s v="No growth Potential"/>
    <x v="8"/>
    <x v="2"/>
    <s v="Marostica"/>
    <n v="77518"/>
    <d v="2022-11-02T00:00:00"/>
    <n v="0"/>
    <d v="2022-02-04T00:00:00"/>
  </r>
  <r>
    <s v="Astalegale.net SpA"/>
    <x v="0"/>
    <s v="No growth Potential"/>
    <x v="8"/>
    <x v="2"/>
    <s v="Perugia PG"/>
    <n v="107242"/>
    <d v="2022-01-02T00:00:00"/>
    <n v="0"/>
    <d v="2022-02-04T00:00:00"/>
  </r>
  <r>
    <s v="Azienda Servizi Ambientali Spa"/>
    <x v="0"/>
    <s v="No growth Potential"/>
    <x v="8"/>
    <x v="2"/>
    <s v="Livorno"/>
    <n v="76989"/>
    <s v="23-05-2022"/>
    <n v="0"/>
    <d v="2022-02-07T00:00:00"/>
  </r>
  <r>
    <s v="Gefran SpA"/>
    <x v="0"/>
    <s v="No growth Potential"/>
    <x v="8"/>
    <x v="2"/>
    <s v="Provaglio d'Iseo"/>
    <m/>
    <d v="2022-12-04T00:00:00"/>
    <n v="0"/>
    <d v="2022-02-05T00:00:00"/>
  </r>
  <r>
    <s v="Interpump group SpA"/>
    <x v="0"/>
    <s v="No growth Potential"/>
    <x v="8"/>
    <x v="2"/>
    <s v="SANT'ILARIO D'ENZA"/>
    <n v="155755"/>
    <s v="13-10-2022"/>
    <n v="0"/>
    <d v="2022-02-11T00:00:00"/>
  </r>
  <r>
    <s v="Imit Control System SRL"/>
    <x v="0"/>
    <s v="No growth Potential"/>
    <x v="8"/>
    <x v="2"/>
    <s v="CASTELLETTO SOPRA TICINO"/>
    <n v="104884"/>
    <s v="24-08-2022"/>
    <n v="0"/>
    <d v="2022-02-11T00:00:00"/>
  </r>
  <r>
    <s v="Lago SPA"/>
    <x v="0"/>
    <s v="No growth Potential"/>
    <x v="8"/>
    <x v="2"/>
    <s v="Villa del Conte"/>
    <m/>
    <s v="24-12-2021"/>
    <n v="0"/>
    <d v="2022-02-02T00:00:00"/>
  </r>
  <r>
    <s v="Metelli Group SpA"/>
    <x v="0"/>
    <s v="No growth Potential"/>
    <x v="8"/>
    <x v="2"/>
    <s v="Cologne"/>
    <n v="116494"/>
    <s v="13-10-2022"/>
    <n v="0"/>
    <d v="2022-02-11T00:00:00"/>
  </r>
  <r>
    <s v="Indacolab Srl"/>
    <x v="1"/>
    <s v="High Growth potential"/>
    <x v="8"/>
    <x v="2"/>
    <s v="REGGIO EMILIA"/>
    <n v="101098"/>
    <d v="2022-03-04T00:00:00"/>
    <n v="101098"/>
    <s v="23-04-2022"/>
  </r>
  <r>
    <s v="CareDent Italia srl"/>
    <x v="0"/>
    <s v="No growth Potential"/>
    <x v="8"/>
    <x v="2"/>
    <s v="Grassobbio"/>
    <m/>
    <s v="13-01-2022"/>
    <n v="0"/>
    <d v="2022-02-02T00:00:00"/>
  </r>
  <r>
    <s v="RIVA FORNI ELETTRICI S.p.A."/>
    <x v="0"/>
    <s v="No growth Potential"/>
    <x v="8"/>
    <x v="2"/>
    <s v="Milano"/>
    <n v="115611"/>
    <s v="23-09-2022"/>
    <n v="0"/>
    <d v="2022-02-11T00:00:00"/>
  </r>
  <r>
    <s v="Cremonini SpA"/>
    <x v="0"/>
    <s v="No growth Potential"/>
    <x v="8"/>
    <x v="2"/>
    <s v="Castelvetro di Modena"/>
    <n v="54080"/>
    <s v="23-09-2022"/>
    <n v="0"/>
    <d v="2022-02-11T00:00:00"/>
  </r>
  <r>
    <s v="Udor SpA"/>
    <x v="0"/>
    <s v="No growth Potential"/>
    <x v="8"/>
    <x v="2"/>
    <s v="Rubiera"/>
    <n v="107934"/>
    <s v="23-10-2022"/>
    <n v="0"/>
    <d v="2022-02-11T00:00:00"/>
  </r>
  <r>
    <s v="Camozzi Group SpA"/>
    <x v="0"/>
    <s v="No growth Potential"/>
    <x v="8"/>
    <x v="2"/>
    <s v="Brescia"/>
    <n v="89775"/>
    <s v="24-12-2021"/>
    <n v="0"/>
    <d v="2022-02-02T00:00:00"/>
  </r>
  <r>
    <s v="Franklin and Marshall"/>
    <x v="0"/>
    <s v="No growth Potential"/>
    <x v="8"/>
    <x v="2"/>
    <s v="Verona"/>
    <n v="113586"/>
    <d v="2022-11-01T00:00:00"/>
    <n v="0"/>
    <d v="2022-02-03T00:00:00"/>
  </r>
  <r>
    <s v="Felsineo SpA"/>
    <x v="0"/>
    <s v="No growth Potential"/>
    <x v="8"/>
    <x v="2"/>
    <s v="Zola Predosa"/>
    <n v="107234"/>
    <d v="2022-03-10T00:00:00"/>
    <n v="0"/>
    <d v="2022-02-11T00:00:00"/>
  </r>
  <r>
    <s v="F.LLI Gancia &amp; C. SpA"/>
    <x v="0"/>
    <s v="No growth Potential"/>
    <x v="8"/>
    <x v="2"/>
    <s v="CANELLI"/>
    <n v="70907"/>
    <s v="13-07-2022"/>
    <n v="0"/>
    <d v="2022-02-08T00:00:00"/>
  </r>
  <r>
    <s v="Dimar SpA"/>
    <x v="0"/>
    <s v="No growth Potential"/>
    <x v="8"/>
    <x v="2"/>
    <s v="CHERASCO"/>
    <n v="110008"/>
    <s v="21-02-2022"/>
    <n v="0"/>
    <d v="2022-02-04T00:00:00"/>
  </r>
  <r>
    <s v="Vittoria Assicurazioni SPA"/>
    <x v="0"/>
    <s v="No growth Potential"/>
    <x v="8"/>
    <x v="2"/>
    <s v="Milano"/>
    <n v="141752"/>
    <d v="2022-03-07T00:00:00"/>
    <n v="0"/>
    <d v="2022-02-08T00:00:00"/>
  </r>
  <r>
    <s v="Autovie Venete SpA"/>
    <x v="0"/>
    <s v="No growth Potential"/>
    <x v="8"/>
    <x v="2"/>
    <s v="Trieste"/>
    <n v="100580"/>
    <s v="13-10-2022"/>
    <n v="0"/>
    <d v="2022-02-11T00:00:00"/>
  </r>
  <r>
    <s v="Casillo Group"/>
    <x v="0"/>
    <s v="No growth Potential"/>
    <x v="8"/>
    <x v="2"/>
    <s v="Corato"/>
    <n v="72195"/>
    <s v="14-12-2021"/>
    <n v="0"/>
    <d v="2022-02-02T00:00:00"/>
  </r>
  <r>
    <s v="Fiac SpA"/>
    <x v="0"/>
    <s v="No growth Potential"/>
    <x v="8"/>
    <x v="2"/>
    <s v="Pontecchio Marconi"/>
    <n v="123092"/>
    <s v="22-12-2021"/>
    <n v="0"/>
    <d v="2022-02-03T00:00:00"/>
  </r>
  <r>
    <s v="Bastogi SpA"/>
    <x v="0"/>
    <s v="No growth Potential"/>
    <x v="8"/>
    <x v="2"/>
    <s v="Milano"/>
    <n v="63496"/>
    <s v="23-01-2022"/>
    <n v="0"/>
    <d v="2022-02-02T00:00:00"/>
  </r>
  <r>
    <s v="Olivetti SpA"/>
    <x v="0"/>
    <s v="No growth Potential"/>
    <x v="8"/>
    <x v="2"/>
    <s v="Ivrea"/>
    <n v="76766"/>
    <s v="23-09-2022"/>
    <n v="0"/>
    <d v="2022-02-11T00:00:00"/>
  </r>
  <r>
    <s v="FERRETTI YACHTS"/>
    <x v="0"/>
    <s v="No growth Potential"/>
    <x v="8"/>
    <x v="2"/>
    <s v="FORLI'"/>
    <n v="157511"/>
    <s v="23-10-2022"/>
    <n v="0"/>
    <d v="2022-02-11T00:00:00"/>
  </r>
  <r>
    <s v="S.A. EREDI GNUTTI METALLI S.p.A."/>
    <x v="0"/>
    <s v="No growth Potential"/>
    <x v="8"/>
    <x v="2"/>
    <s v="Brescia"/>
    <n v="104943"/>
    <s v="13-09-2022"/>
    <n v="0"/>
    <d v="2022-02-11T00:00:00"/>
  </r>
  <r>
    <s v="Gruppo La Doria"/>
    <x v="0"/>
    <s v="No growth Potential"/>
    <x v="8"/>
    <x v="2"/>
    <s v="Angri"/>
    <n v="77640"/>
    <d v="2022-04-07T00:00:00"/>
    <n v="0"/>
    <d v="2022-02-09T00:00:00"/>
  </r>
  <r>
    <s v="3F Filippi SpA"/>
    <x v="0"/>
    <s v="No growth Potential"/>
    <x v="8"/>
    <x v="2"/>
    <s v="Pian di Macina"/>
    <n v="46963"/>
    <s v="24-08-2022"/>
    <n v="0"/>
    <d v="2022-02-11T00:00:00"/>
  </r>
  <r>
    <s v="Gruppo Trevi Spa"/>
    <x v="0"/>
    <s v="No growth Potential"/>
    <x v="8"/>
    <x v="2"/>
    <s v="Cesena"/>
    <n v="96602"/>
    <s v="13-03-2023"/>
    <n v="0"/>
    <d v="2023-02-04T00:00:00"/>
  </r>
  <r>
    <s v="ITT Italia srl"/>
    <x v="0"/>
    <s v="No growth Potential"/>
    <x v="8"/>
    <x v="2"/>
    <s v="San Martino"/>
    <n v="101400"/>
    <d v="2022-02-06T00:00:00"/>
    <n v="0"/>
    <d v="2022-02-07T00:00:00"/>
  </r>
  <r>
    <s v="Provincia di Monza e Brianza"/>
    <x v="0"/>
    <s v="No growth Potential"/>
    <x v="8"/>
    <x v="2"/>
    <s v="Monza"/>
    <n v="77523"/>
    <s v="13-08-2022"/>
    <n v="0"/>
    <d v="2022-02-09T00:00:00"/>
  </r>
  <r>
    <s v="BUCCI AUTOMATIONS S.P.A"/>
    <x v="1"/>
    <s v="High Growth potential"/>
    <x v="8"/>
    <x v="2"/>
    <s v="?Ravenna"/>
    <n v="120138"/>
    <s v="18-09-2022"/>
    <n v="24028"/>
    <s v="17-11-2022"/>
  </r>
  <r>
    <s v="Gruppo Mauro Saviola"/>
    <x v="0"/>
    <s v="No growth Potential"/>
    <x v="8"/>
    <x v="2"/>
    <s v="Viadana"/>
    <n v="100556"/>
    <d v="2022-04-07T00:00:00"/>
    <n v="0"/>
    <d v="2022-02-09T00:00:00"/>
  </r>
  <r>
    <s v="Sol SpA"/>
    <x v="0"/>
    <s v="No growth Potential"/>
    <x v="8"/>
    <x v="2"/>
    <s v="Monza"/>
    <n v="117492"/>
    <s v="23-09-2022"/>
    <n v="0"/>
    <d v="2022-02-11T00:00:00"/>
  </r>
  <r>
    <s v="Fattoria Creativa"/>
    <x v="0"/>
    <s v="No growth Potential"/>
    <x v="8"/>
    <x v="2"/>
    <s v="Perugia"/>
    <n v="96626"/>
    <s v="24-11-2021"/>
    <n v="0"/>
    <d v="2022-02-02T00:00:00"/>
  </r>
  <r>
    <s v="Eurotranciatura SpA"/>
    <x v="0"/>
    <s v="No growth Potential"/>
    <x v="8"/>
    <x v="2"/>
    <s v="Baranzate"/>
    <n v="100528"/>
    <d v="2022-03-05T00:00:00"/>
    <n v="0"/>
    <d v="2022-02-07T00:00:00"/>
  </r>
  <r>
    <s v="LibreriaUniversitaria.it (Webster SRL)"/>
    <x v="0"/>
    <s v="No growth Potential"/>
    <x v="8"/>
    <x v="2"/>
    <s v="TBD"/>
    <n v="157078"/>
    <s v="24-05-2022"/>
    <n v="0"/>
    <d v="2022-02-08T00:00:00"/>
  </r>
  <r>
    <s v="Pierrel SpA"/>
    <x v="0"/>
    <s v="No growth Potential"/>
    <x v="8"/>
    <x v="2"/>
    <s v="Capua"/>
    <n v="74856"/>
    <s v="24-08-2022"/>
    <n v="0"/>
    <d v="2022-02-11T00:00:00"/>
  </r>
  <r>
    <s v="Segafredo SpA"/>
    <x v="0"/>
    <s v="No growth Potential"/>
    <x v="8"/>
    <x v="2"/>
    <s v="Sesto di Rastignano Pianoro"/>
    <n v="100523"/>
    <s v="21-02-2022"/>
    <n v="0"/>
    <d v="2022-02-04T00:00:00"/>
  </r>
  <r>
    <s v="DE ANGELI PRODOTTI"/>
    <x v="0"/>
    <s v="No growth Potential"/>
    <x v="8"/>
    <x v="2"/>
    <s v="TBD"/>
    <n v="135000"/>
    <d v="2022-03-09T00:00:00"/>
    <n v="0"/>
    <d v="2022-02-11T00:00:00"/>
  </r>
  <r>
    <s v="Ipermercati IPER"/>
    <x v="0"/>
    <s v="No growth Potential"/>
    <x v="8"/>
    <x v="2"/>
    <s v="TBD"/>
    <n v="100829"/>
    <s v="23-08-2022"/>
    <n v="0"/>
    <d v="2022-02-09T00:00:00"/>
  </r>
  <r>
    <s v="Forship SpA"/>
    <x v="0"/>
    <s v="No growth Potential"/>
    <x v="8"/>
    <x v="2"/>
    <s v="Vado Ligure"/>
    <n v="72195"/>
    <s v="23-09-2022"/>
    <n v="0"/>
    <d v="2022-02-11T00:00:00"/>
  </r>
  <r>
    <s v="Webster.it (Webster SRL)"/>
    <x v="0"/>
    <s v="No growth Potential"/>
    <x v="8"/>
    <x v="2"/>
    <s v="LIMENA"/>
    <n v="100546"/>
    <s v="24-08-2022"/>
    <n v="0"/>
    <d v="2022-02-11T00:00:00"/>
  </r>
  <r>
    <s v="BV Tech SpA"/>
    <x v="0"/>
    <s v="No growth Potential"/>
    <x v="8"/>
    <x v="2"/>
    <s v="Milano"/>
    <n v="95472"/>
    <s v="23-09-2022"/>
    <n v="0"/>
    <d v="2022-02-11T00:00:00"/>
  </r>
  <r>
    <s v="Kolinpharma SpA"/>
    <x v="0"/>
    <s v="No growth Potential"/>
    <x v="8"/>
    <x v="2"/>
    <s v="Lainate"/>
    <n v="296027"/>
    <d v="2022-03-07T00:00:00"/>
    <n v="0"/>
    <d v="2022-02-08T00:00:00"/>
  </r>
  <r>
    <s v="Pandolfo Alluminio SpA"/>
    <x v="0"/>
    <s v="No growth Potential"/>
    <x v="8"/>
    <x v="2"/>
    <s v="Sarmeola"/>
    <n v="95734"/>
    <d v="2021-04-12T00:00:00"/>
    <n v="0"/>
    <d v="2022-02-02T00:00:00"/>
  </r>
  <r>
    <s v="Baldinini"/>
    <x v="0"/>
    <s v="No growth Potential"/>
    <x v="8"/>
    <x v="2"/>
    <s v="San Mauro Pascoli"/>
    <n v="152453"/>
    <s v="23-01-2022"/>
    <n v="0"/>
    <d v="2022-02-02T00:00:00"/>
  </r>
  <r>
    <s v="Cose Belle D'Italia SpA"/>
    <x v="0"/>
    <s v="No growth Potential"/>
    <x v="8"/>
    <x v="2"/>
    <s v="Milano"/>
    <n v="62373"/>
    <s v="21-02-2023"/>
    <n v="0"/>
    <d v="2023-02-04T00:00:00"/>
  </r>
  <r>
    <s v="YouBuy.it"/>
    <x v="0"/>
    <s v="No growth Potential"/>
    <x v="8"/>
    <x v="2"/>
    <s v="Serravalle"/>
    <n v="154020"/>
    <s v="24-08-2022"/>
    <n v="0"/>
    <d v="2022-02-11T00:00:00"/>
  </r>
  <r>
    <s v="Palmieri Group SpA"/>
    <x v="0"/>
    <s v="No growth Potential"/>
    <x v="8"/>
    <x v="2"/>
    <s v="Gaggio Montano"/>
    <n v="100785"/>
    <d v="2021-04-12T00:00:00"/>
    <n v="0"/>
    <d v="2022-02-02T00:00:00"/>
  </r>
  <r>
    <s v="Sciuker Frames S.p.A."/>
    <x v="0"/>
    <s v="No growth Potential"/>
    <x v="8"/>
    <x v="2"/>
    <s v="Avellino"/>
    <n v="101449"/>
    <s v="24-08-2022"/>
    <n v="0"/>
    <d v="2022-02-11T00:00:00"/>
  </r>
  <r>
    <s v="Develon Srl"/>
    <x v="0"/>
    <s v="No growth Potential"/>
    <x v="8"/>
    <x v="2"/>
    <s v="Altavilla Vicentina"/>
    <n v="61423"/>
    <s v="13-10-2022"/>
    <n v="0"/>
    <d v="2022-02-11T00:00:00"/>
  </r>
  <r>
    <s v="AVIO SpA"/>
    <x v="0"/>
    <s v="No growth Potential"/>
    <x v="8"/>
    <x v="2"/>
    <s v="Colleferro"/>
    <n v="87997"/>
    <d v="2022-03-09T00:00:00"/>
    <n v="0"/>
    <d v="2022-02-11T00:00:00"/>
  </r>
  <r>
    <s v="Arvedi"/>
    <x v="0"/>
    <s v="No growth Potential"/>
    <x v="8"/>
    <x v="2"/>
    <s v="Cremona"/>
    <n v="143565"/>
    <s v="24-08-2022"/>
    <n v="0"/>
    <d v="2022-02-11T00:00:00"/>
  </r>
  <r>
    <s v="Burgo Group"/>
    <x v="0"/>
    <s v="No growth Potential"/>
    <x v="8"/>
    <x v="2"/>
    <s v="Altavilla Vicentina"/>
    <n v="106651"/>
    <s v="23-10-2022"/>
    <n v="0"/>
    <d v="2022-02-11T00:00:00"/>
  </r>
  <r>
    <s v="Magazzini Gabrielli"/>
    <x v="0"/>
    <s v="No growth Potential"/>
    <x v="8"/>
    <x v="2"/>
    <s v="Ascoli Piceno"/>
    <n v="99320"/>
    <d v="2021-04-12T00:00:00"/>
    <n v="0"/>
    <d v="2022-02-02T00:00:00"/>
  </r>
  <r>
    <s v="Gruppo Piazzetta SpA"/>
    <x v="0"/>
    <s v="No growth Potential"/>
    <x v="8"/>
    <x v="2"/>
    <s v="Casella d'Asolo"/>
    <n v="111003"/>
    <d v="2022-12-09T00:00:00"/>
    <n v="0"/>
    <d v="2022-02-10T00:00:00"/>
  </r>
  <r>
    <s v="Illumia SpA"/>
    <x v="0"/>
    <s v="No growth Potential"/>
    <x v="8"/>
    <x v="2"/>
    <s v="Bologna"/>
    <n v="76356"/>
    <s v="23-04-2022"/>
    <n v="0"/>
    <d v="2022-02-07T00:00:00"/>
  </r>
  <r>
    <s v="Guarniflon"/>
    <x v="0"/>
    <s v="No growth Potential"/>
    <x v="8"/>
    <x v="2"/>
    <s v="Tagliuno di Castelli Calepio"/>
    <n v="143452"/>
    <s v="31-01-2022"/>
    <n v="0"/>
    <d v="2022-02-03T00:00:00"/>
  </r>
  <r>
    <s v="CEFLA FINISHING GROUP"/>
    <x v="0"/>
    <s v="No growth Potential"/>
    <x v="8"/>
    <x v="2"/>
    <s v="Imola"/>
    <n v="202422"/>
    <s v="23-09-2022"/>
    <n v="0"/>
    <d v="2022-02-11T00:00:00"/>
  </r>
  <r>
    <s v="Biolchim SpA"/>
    <x v="0"/>
    <s v="No growth Potential"/>
    <x v="8"/>
    <x v="2"/>
    <s v="Bologna"/>
    <n v="86471"/>
    <d v="2022-03-10T00:00:00"/>
    <n v="0"/>
    <d v="2022-02-11T00:00:00"/>
  </r>
  <r>
    <s v="Coprob"/>
    <x v="0"/>
    <s v="No growth Potential"/>
    <x v="8"/>
    <x v="2"/>
    <s v="Minerbio"/>
    <n v="101651"/>
    <s v="23-09-2022"/>
    <n v="0"/>
    <d v="2022-02-11T00:00:00"/>
  </r>
  <r>
    <s v="Coswell SpA"/>
    <x v="0"/>
    <s v="No growth Potential"/>
    <x v="8"/>
    <x v="2"/>
    <s v="FunoArgelato"/>
    <n v="56365"/>
    <d v="2022-03-09T00:00:00"/>
    <n v="0"/>
    <d v="2022-02-11T00:00:00"/>
  </r>
  <r>
    <s v="Viabizzuno srl"/>
    <x v="0"/>
    <s v="No growth Potential"/>
    <x v="8"/>
    <x v="2"/>
    <s v="Bentivoglio"/>
    <n v="185358"/>
    <d v="2022-01-01T00:00:00"/>
    <n v="0"/>
    <d v="2022-02-03T00:00:00"/>
  </r>
  <r>
    <s v="Conserve Italia Soc Coop Agricola"/>
    <x v="0"/>
    <s v="No growth Potential"/>
    <x v="8"/>
    <x v="2"/>
    <s v="San Lazzaro di Savena"/>
    <n v="109437"/>
    <s v="22-11-2022"/>
    <n v="0"/>
    <d v="2022-02-12T00:00:00"/>
  </r>
  <r>
    <s v="AFV Acciaierie Beltrame SpA"/>
    <x v="0"/>
    <s v="No growth Potential"/>
    <x v="8"/>
    <x v="2"/>
    <s v="Altavilla Vicentina"/>
    <n v="109491"/>
    <d v="2022-04-07T00:00:00"/>
    <n v="0"/>
    <d v="2022-02-09T00:00:00"/>
  </r>
  <r>
    <s v="DMO SpA"/>
    <x v="0"/>
    <s v="No growth Potential"/>
    <x v="8"/>
    <x v="2"/>
    <s v="Permumia"/>
    <n v="75937"/>
    <s v="13-09-2022"/>
    <n v="0"/>
    <d v="2022-02-11T00:00:00"/>
  </r>
  <r>
    <s v="Valsoia SpA"/>
    <x v="0"/>
    <s v="No growth Potential"/>
    <x v="8"/>
    <x v="2"/>
    <s v="Bologna"/>
    <n v="98844"/>
    <s v="13-01-2022"/>
    <n v="0"/>
    <d v="2022-02-02T00:00:00"/>
  </r>
  <r>
    <s v="Faac SpA"/>
    <x v="0"/>
    <s v="No growth Potential"/>
    <x v="8"/>
    <x v="2"/>
    <s v="Zola Predosa"/>
    <n v="77590"/>
    <s v="13-01-2022"/>
    <n v="0"/>
    <d v="2022-02-02T00:00:00"/>
  </r>
  <r>
    <s v="Rekeep S.p.A."/>
    <x v="0"/>
    <s v="No growth Potential"/>
    <x v="8"/>
    <x v="2"/>
    <s v="Zola Predosa"/>
    <n v="202419"/>
    <s v="24-08-2022"/>
    <n v="0"/>
    <d v="2022-02-11T00:00:00"/>
  </r>
  <r>
    <s v="Health Italia SpA"/>
    <x v="0"/>
    <s v="No growth Potential"/>
    <x v="8"/>
    <x v="2"/>
    <s v="Roma"/>
    <n v="81223"/>
    <d v="2022-01-01T00:00:00"/>
    <n v="0"/>
    <d v="2022-02-03T00:00:00"/>
  </r>
  <r>
    <s v="Bluvacanze S.p.A"/>
    <x v="0"/>
    <s v="No growth Potential"/>
    <x v="8"/>
    <x v="2"/>
    <s v="Rozzano"/>
    <n v="91652"/>
    <d v="2022-12-04T00:00:00"/>
    <n v="0"/>
    <d v="2022-02-05T00:00:00"/>
  </r>
  <r>
    <s v="FATRO S.p.A."/>
    <x v="0"/>
    <s v="No growth Potential"/>
    <x v="8"/>
    <x v="2"/>
    <s v="Ozzano dell'Emilia"/>
    <n v="84327"/>
    <s v="24-08-2022"/>
    <n v="0"/>
    <d v="2022-02-11T00:00:00"/>
  </r>
  <r>
    <s v="G.D SpA"/>
    <x v="0"/>
    <s v="No growth Potential"/>
    <x v="8"/>
    <x v="2"/>
    <s v="Bologna"/>
    <n v="100533"/>
    <d v="2022-03-10T00:00:00"/>
    <n v="0"/>
    <d v="2022-02-11T00:00:00"/>
  </r>
  <r>
    <s v="European Space Agency"/>
    <x v="0"/>
    <s v="No growth Potential"/>
    <x v="8"/>
    <x v="11"/>
    <s v="TBD"/>
    <n v="93814"/>
    <s v="22-06-2022"/>
    <n v="0"/>
    <d v="2022-02-07T00:00:00"/>
  </r>
  <r>
    <s v="Intercantieri Vittadello S.p.A."/>
    <x v="0"/>
    <s v="No growth Potential"/>
    <x v="8"/>
    <x v="2"/>
    <s v="Limena"/>
    <n v="80514"/>
    <s v="23-05-2022"/>
    <n v="0"/>
    <d v="2022-02-07T00:00:00"/>
  </r>
  <r>
    <s v="Berardi Bullonerie"/>
    <x v="0"/>
    <s v="No growth Potential"/>
    <x v="8"/>
    <x v="2"/>
    <s v="Castel Guelfo"/>
    <n v="110101"/>
    <d v="2022-01-02T00:00:00"/>
    <n v="0"/>
    <d v="2022-02-04T00:00:00"/>
  </r>
  <r>
    <s v="PALLETWAYS ITALIA S.P.A."/>
    <x v="0"/>
    <s v="No growth Potential"/>
    <x v="8"/>
    <x v="2"/>
    <s v="Calderara di Reno"/>
    <n v="55016"/>
    <d v="2022-03-09T00:00:00"/>
    <n v="0"/>
    <d v="2022-02-11T00:00:00"/>
  </r>
  <r>
    <s v="Bondioli &amp; Pavesi SpA"/>
    <x v="0"/>
    <s v="No growth Potential"/>
    <x v="8"/>
    <x v="2"/>
    <s v="Suzzara"/>
    <n v="94110"/>
    <s v="23-11-2022"/>
    <n v="0"/>
    <d v="2023-02-01T00:00:00"/>
  </r>
  <r>
    <s v="Infinity Boost S.r.l.s"/>
    <x v="0"/>
    <s v="No growth Potential"/>
    <x v="8"/>
    <x v="2"/>
    <s v="Palermo"/>
    <n v="103308"/>
    <d v="2022-03-10T00:00:00"/>
    <n v="0"/>
    <d v="2022-02-11T00:00:00"/>
  </r>
  <r>
    <s v="Dado Spa"/>
    <x v="0"/>
    <s v="No growth Potential"/>
    <x v="8"/>
    <x v="2"/>
    <s v="San Martino di Lupari"/>
    <n v="128469"/>
    <s v="23-01-2022"/>
    <n v="0"/>
    <d v="2022-02-02T00:00:00"/>
  </r>
  <r>
    <s v="Sirmax SpA"/>
    <x v="0"/>
    <s v="No growth Potential"/>
    <x v="8"/>
    <x v="2"/>
    <s v="Cittadella"/>
    <n v="92123"/>
    <s v="23-03-2022"/>
    <n v="0"/>
    <d v="2022-02-05T00:00:00"/>
  </r>
  <r>
    <s v="Pharmanutra SpA"/>
    <x v="0"/>
    <s v="No growth Potential"/>
    <x v="8"/>
    <x v="2"/>
    <s v="Pisa"/>
    <n v="95391"/>
    <d v="2022-11-01T00:00:00"/>
    <n v="0"/>
    <d v="2022-02-03T00:00:00"/>
  </r>
  <r>
    <s v="OFFICINE FACCO &amp; C. Spa"/>
    <x v="0"/>
    <s v="No growth Potential"/>
    <x v="8"/>
    <x v="2"/>
    <s v="Marsango di Campo San Martino"/>
    <n v="61835"/>
    <s v="22-11-2021"/>
    <n v="0"/>
    <d v="2021-02-12T00:00:00"/>
  </r>
  <r>
    <s v="San Marco Petroli SpA"/>
    <x v="0"/>
    <s v="No growth Potential"/>
    <x v="8"/>
    <x v="2"/>
    <s v="Venezia-Marghera"/>
    <n v="100176"/>
    <s v="14-12-2021"/>
    <n v="0"/>
    <d v="2022-02-02T00:00:00"/>
  </r>
  <r>
    <s v="Costantin srl"/>
    <x v="0"/>
    <s v="No growth Potential"/>
    <x v="8"/>
    <x v="2"/>
    <s v="Santa Margherita d'Adige"/>
    <n v="75938"/>
    <d v="2022-03-03T00:00:00"/>
    <n v="0"/>
    <d v="2022-02-05T00:00:00"/>
  </r>
  <r>
    <s v="Gruppo Carraro"/>
    <x v="0"/>
    <s v="No growth Potential"/>
    <x v="8"/>
    <x v="2"/>
    <s v="Campodarsego"/>
    <n v="218958"/>
    <s v="14-07-2022"/>
    <n v="0"/>
    <d v="2022-02-09T00:00:00"/>
  </r>
  <r>
    <s v="Unox SpA"/>
    <x v="0"/>
    <s v="No growth Potential"/>
    <x v="8"/>
    <x v="2"/>
    <n v="35010"/>
    <n v="184680"/>
    <d v="2022-03-09T00:00:00"/>
    <n v="0"/>
    <d v="2022-02-11T00:00:00"/>
  </r>
  <r>
    <s v="Somec SpA"/>
    <x v="0"/>
    <s v="No growth Potential"/>
    <x v="8"/>
    <x v="2"/>
    <s v="San Vendemiano"/>
    <n v="107228"/>
    <s v="24-08-2022"/>
    <n v="0"/>
    <d v="2022-02-11T00:00:00"/>
  </r>
  <r>
    <s v="Nar Spa"/>
    <x v="0"/>
    <s v="No growth Potential"/>
    <x v="8"/>
    <x v="2"/>
    <s v="Legnaro"/>
    <n v="100791"/>
    <s v="13-01-2022"/>
    <n v="0"/>
    <d v="2022-02-02T00:00:00"/>
  </r>
  <r>
    <s v="Parmalat Group"/>
    <x v="0"/>
    <s v="No growth Potential"/>
    <x v="8"/>
    <x v="2"/>
    <s v="Collecchio"/>
    <n v="101707"/>
    <d v="2022-03-01T00:00:00"/>
    <n v="0"/>
    <d v="2022-02-02T00:00:00"/>
  </r>
  <r>
    <s v="Chierese Pak Srl"/>
    <x v="0"/>
    <s v="No growth Potential"/>
    <x v="8"/>
    <x v="2"/>
    <s v="Chieri"/>
    <n v="121682"/>
    <s v="23-09-2022"/>
    <n v="0"/>
    <d v="2022-02-11T00:00:00"/>
  </r>
  <r>
    <s v="Newron Pharmaceuticals SpA"/>
    <x v="0"/>
    <s v="No growth Potential"/>
    <x v="8"/>
    <x v="2"/>
    <s v="Bresso"/>
    <n v="141917"/>
    <d v="2022-02-09T00:00:00"/>
    <n v="0"/>
    <d v="2022-02-10T00:00:00"/>
  </r>
  <r>
    <s v="Ingenico Italia SpA"/>
    <x v="0"/>
    <s v="No growth Potential"/>
    <x v="8"/>
    <x v="2"/>
    <s v="Cernusco Sul Naviglio"/>
    <n v="139026"/>
    <d v="2022-03-10T00:00:00"/>
    <n v="0"/>
    <d v="2022-02-12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6">
  <r>
    <s v="Antai Venture Builder"/>
    <s v="Not a Customer"/>
    <s v="No growth Potential"/>
    <s v="Roman Nacha"/>
    <x v="0"/>
    <x v="0"/>
    <n v="116997"/>
    <s v="13-03-2022"/>
    <n v="0"/>
    <d v="2022-02-04T00:00:00"/>
    <x v="0"/>
    <m/>
    <m/>
    <m/>
  </r>
  <r>
    <s v="Grupo LoMonaco"/>
    <s v="Not a Customer"/>
    <s v="No growth Potential"/>
    <s v="Roman Nacha"/>
    <x v="0"/>
    <x v="1"/>
    <n v="143588"/>
    <d v="2022-03-10T00:00:00"/>
    <n v="0"/>
    <d v="2022-02-12T00:00:00"/>
    <x v="0"/>
    <m/>
    <m/>
    <m/>
  </r>
  <r>
    <s v="WEB IDEIAS - SERVICOS DE INTERNET SOCIEDADE UNIPESSOAL LDA"/>
    <s v="Active Customer"/>
    <s v="High Growth potential"/>
    <s v="Roman Nacha"/>
    <x v="1"/>
    <x v="2"/>
    <n v="61002"/>
    <d v="2022-01-11T00:00:00"/>
    <n v="12200"/>
    <d v="2022-11-11T00:00:00"/>
    <x v="1"/>
    <m/>
    <m/>
    <m/>
  </r>
  <r>
    <s v="Simon S.A."/>
    <s v="Not a Customer"/>
    <s v="No growth Potential"/>
    <s v="Roman Nacha"/>
    <x v="0"/>
    <x v="0"/>
    <n v="109980"/>
    <s v="23-10-2022"/>
    <n v="0"/>
    <d v="2022-02-11T00:00:00"/>
    <x v="0"/>
    <m/>
    <s v="Total Potential"/>
    <n v="263143746"/>
  </r>
  <r>
    <s v="Civitatis"/>
    <s v="Active Customer"/>
    <s v="High Growth potential"/>
    <s v="Roman Nacha"/>
    <x v="0"/>
    <x v="3"/>
    <n v="106526"/>
    <d v="2022-02-09T00:00:00"/>
    <n v="53263"/>
    <d v="2022-02-10T00:00:00"/>
    <x v="0"/>
    <m/>
    <s v="Total Revenue"/>
    <n v="8676899"/>
  </r>
  <r>
    <s v="AJUNTAMENT DE TARRAGONA"/>
    <s v="Not a Customer"/>
    <s v="No growth Potential"/>
    <s v="Roman Nacha"/>
    <x v="0"/>
    <x v="4"/>
    <n v="70969"/>
    <s v="13-09-2022"/>
    <n v="0"/>
    <d v="2022-02-11T00:00:00"/>
    <x v="0"/>
    <s v="Entire -&gt;"/>
    <s v="Conversion rate"/>
    <n v="11.32360342224459"/>
  </r>
  <r>
    <s v="KAVE HOME"/>
    <s v="Not a Customer"/>
    <s v="No growth Potential"/>
    <s v="Roman Nacha"/>
    <x v="0"/>
    <x v="5"/>
    <n v="100034"/>
    <d v="2022-03-12T00:00:00"/>
    <n v="0"/>
    <d v="2023-02-01T00:00:00"/>
    <x v="2"/>
    <m/>
    <s v="Active Customers"/>
    <n v="225"/>
  </r>
  <r>
    <s v="Camara Municipal de Cascais"/>
    <s v="Not a Customer"/>
    <s v="No growth Potential"/>
    <s v="Roman Nacha"/>
    <x v="1"/>
    <x v="6"/>
    <n v="107069"/>
    <s v="21-10-2022"/>
    <n v="0"/>
    <s v="20-11-2022"/>
    <x v="1"/>
    <m/>
    <m/>
    <m/>
  </r>
  <r>
    <s v="MERCEDES BENZ ESPANA S.A"/>
    <s v="Not a Customer"/>
    <s v="No growth Potential"/>
    <s v="Roman Nacha"/>
    <x v="0"/>
    <x v="7"/>
    <n v="143517"/>
    <s v="13-10-2022"/>
    <n v="0"/>
    <d v="2022-02-11T00:00:00"/>
    <x v="0"/>
    <m/>
    <m/>
    <m/>
  </r>
  <r>
    <s v="Vilau Media"/>
    <s v="Not a Customer"/>
    <s v="No growth Potential"/>
    <s v="Roman Nacha"/>
    <x v="0"/>
    <x v="8"/>
    <n v="58504"/>
    <s v="24-08-2022"/>
    <n v="0"/>
    <d v="2022-02-11T00:00:00"/>
    <x v="0"/>
    <m/>
    <m/>
    <m/>
  </r>
  <r>
    <s v="Genetsis &amp; Partners S.A."/>
    <s v="Not a Customer"/>
    <s v="No growth Potential"/>
    <s v="Roman Nacha"/>
    <x v="0"/>
    <x v="7"/>
    <n v="95966"/>
    <s v="23-10-2022"/>
    <n v="0"/>
    <d v="2022-02-11T00:00:00"/>
    <x v="0"/>
    <m/>
    <m/>
    <m/>
  </r>
  <r>
    <s v="Gobierno de Portugal"/>
    <s v="Not a Customer"/>
    <s v="No growth Potential"/>
    <s v="Roman Nacha"/>
    <x v="1"/>
    <x v="9"/>
    <n v="54725"/>
    <s v="23-10-2022"/>
    <n v="0"/>
    <d v="2022-02-11T00:00:00"/>
    <x v="0"/>
    <m/>
    <m/>
    <m/>
  </r>
  <r>
    <s v="PUERTOS DEL ESTADO"/>
    <s v="Not a Customer"/>
    <s v="High Growth potential"/>
    <s v="Roman Nacha"/>
    <x v="0"/>
    <x v="3"/>
    <n v="147868"/>
    <s v="19-09-2022"/>
    <n v="0"/>
    <d v="2022-08-11T00:00:00"/>
    <x v="3"/>
    <m/>
    <m/>
    <m/>
  </r>
  <r>
    <s v="PRA Iberia"/>
    <s v="Not a Customer"/>
    <s v="No growth Potential"/>
    <s v="Roman Nacha"/>
    <x v="0"/>
    <x v="3"/>
    <n v="112714"/>
    <s v="22-12-2022"/>
    <n v="0"/>
    <d v="2023-02-03T00:00:00"/>
    <x v="2"/>
    <m/>
    <m/>
    <m/>
  </r>
  <r>
    <s v="INSTITUTO DE MURCIA"/>
    <s v="Not a Customer"/>
    <s v="No growth Potential"/>
    <s v="Roman Nacha"/>
    <x v="0"/>
    <x v="10"/>
    <n v="74208"/>
    <s v="19-02-2022"/>
    <n v="0"/>
    <s v="20-04-2022"/>
    <x v="4"/>
    <m/>
    <m/>
    <m/>
  </r>
  <r>
    <s v="Multiestetica"/>
    <s v="Not a Customer"/>
    <s v="No growth Potential"/>
    <s v="Roman Nacha"/>
    <x v="0"/>
    <x v="9"/>
    <n v="90068"/>
    <d v="2022-03-09T00:00:00"/>
    <n v="0"/>
    <d v="2022-02-11T00:00:00"/>
    <x v="0"/>
    <m/>
    <m/>
    <m/>
  </r>
  <r>
    <s v="Defensor del Pueblo"/>
    <s v="Active Customer"/>
    <s v="Medium Growth"/>
    <s v="Roman Nacha"/>
    <x v="0"/>
    <x v="3"/>
    <n v="80085"/>
    <d v="2022-01-10T00:00:00"/>
    <n v="40042"/>
    <s v="20-11-2022"/>
    <x v="1"/>
    <m/>
    <m/>
    <m/>
  </r>
  <r>
    <s v="INFOJOBS S.A."/>
    <s v="Not a Customer"/>
    <s v="No growth Potential"/>
    <s v="Roman Nacha"/>
    <x v="0"/>
    <x v="0"/>
    <n v="157857"/>
    <s v="24-08-2022"/>
    <n v="0"/>
    <d v="2022-02-11T00:00:00"/>
    <x v="0"/>
    <m/>
    <m/>
    <m/>
  </r>
  <r>
    <s v="COSTAISA"/>
    <s v="Not a Customer"/>
    <s v="No growth Potential"/>
    <s v="Roman Nacha"/>
    <x v="0"/>
    <x v="0"/>
    <n v="88677"/>
    <s v="23-10-2022"/>
    <n v="0"/>
    <d v="2022-02-11T00:00:00"/>
    <x v="0"/>
    <m/>
    <m/>
    <m/>
  </r>
  <r>
    <s v="CTT Correios"/>
    <s v="Not a Customer"/>
    <s v="No growth Potential"/>
    <s v="Roman Nacha"/>
    <x v="1"/>
    <x v="11"/>
    <n v="203793"/>
    <d v="2022-03-09T00:00:00"/>
    <n v="0"/>
    <d v="2022-02-11T00:00:00"/>
    <x v="0"/>
    <m/>
    <m/>
    <m/>
  </r>
  <r>
    <s v="ServoTIC"/>
    <s v="Not a Customer"/>
    <s v="No growth Potential"/>
    <s v="Roman Nacha"/>
    <x v="0"/>
    <x v="3"/>
    <n v="55037"/>
    <s v="23-10-2022"/>
    <n v="0"/>
    <d v="2022-02-11T00:00:00"/>
    <x v="0"/>
    <m/>
    <m/>
    <m/>
  </r>
  <r>
    <s v="ATRAPALO S.L."/>
    <s v="Active Customer"/>
    <s v="High Growth potential"/>
    <s v="Roman Nacha"/>
    <x v="0"/>
    <x v="0"/>
    <n v="106786"/>
    <s v="19-10-2022"/>
    <n v="53393"/>
    <d v="2022-08-11T00:00:00"/>
    <x v="3"/>
    <m/>
    <m/>
    <m/>
  </r>
  <r>
    <s v="Customs &amp; Global Trade at Caro Jaume &amp; Partners"/>
    <s v="Not a Customer"/>
    <s v="No growth Potential"/>
    <s v="Roman Nacha"/>
    <x v="0"/>
    <x v="3"/>
    <n v="83160"/>
    <d v="2023-11-01T00:00:00"/>
    <n v="0"/>
    <d v="2023-02-03T00:00:00"/>
    <x v="2"/>
    <m/>
    <m/>
    <m/>
  </r>
  <r>
    <s v="Roca Corporacion Empresarial S.A."/>
    <s v="Active Customer"/>
    <s v="Medium Growth"/>
    <s v="Roman Nacha"/>
    <x v="0"/>
    <x v="0"/>
    <n v="137608"/>
    <s v="31-03-2022"/>
    <n v="9829"/>
    <s v="20-04-2022"/>
    <x v="4"/>
    <m/>
    <m/>
    <m/>
  </r>
  <r>
    <s v="LACTALIS PULEVA S.L"/>
    <s v="Not a Customer"/>
    <s v="No growth Potential"/>
    <s v="Roman Nacha"/>
    <x v="0"/>
    <x v="12"/>
    <n v="157835"/>
    <s v="23-09-2022"/>
    <n v="0"/>
    <d v="2022-02-11T00:00:00"/>
    <x v="0"/>
    <m/>
    <m/>
    <m/>
  </r>
  <r>
    <s v="GRUPO COREN"/>
    <s v="Not a Customer"/>
    <s v="High Growth potential"/>
    <s v="Roman Nacha"/>
    <x v="0"/>
    <x v="13"/>
    <n v="187470"/>
    <s v="23-10-2022"/>
    <n v="0"/>
    <d v="2022-02-11T00:00:00"/>
    <x v="0"/>
    <m/>
    <m/>
    <m/>
  </r>
  <r>
    <s v="Transportes Boyaca S.L."/>
    <s v="Not a Customer"/>
    <s v="High Growth potential"/>
    <s v="Roman Nacha"/>
    <x v="0"/>
    <x v="9"/>
    <n v="102196"/>
    <s v="20-02-2022"/>
    <n v="0"/>
    <d v="2022-02-03T00:00:00"/>
    <x v="0"/>
    <m/>
    <m/>
    <m/>
  </r>
  <r>
    <s v="AXPE CONSULTING"/>
    <s v="Not a Customer"/>
    <s v="High Growth potential"/>
    <s v="Roman Nacha"/>
    <x v="0"/>
    <x v="9"/>
    <n v="100539"/>
    <s v="13-10-2022"/>
    <n v="0"/>
    <d v="2022-02-11T00:00:00"/>
    <x v="0"/>
    <m/>
    <m/>
    <m/>
  </r>
  <r>
    <s v="BÓBOLI"/>
    <s v="Not a Customer"/>
    <s v="No growth Potential"/>
    <s v="Roman Nacha"/>
    <x v="0"/>
    <x v="14"/>
    <n v="76925"/>
    <s v="24-08-2022"/>
    <n v="0"/>
    <d v="2022-02-11T00:00:00"/>
    <x v="0"/>
    <m/>
    <m/>
    <m/>
  </r>
  <r>
    <s v="Modasystem srl"/>
    <s v="Not a Customer"/>
    <s v="No growth Potential"/>
    <s v="Roman Nacha"/>
    <x v="2"/>
    <x v="15"/>
    <n v="110085"/>
    <s v="23-03-2022"/>
    <n v="0"/>
    <d v="2022-02-04T00:00:00"/>
    <x v="0"/>
    <m/>
    <m/>
    <m/>
  </r>
  <r>
    <s v="Imaste IPS"/>
    <s v="Not a Customer"/>
    <s v="No growth Potential"/>
    <s v="Roman Nacha"/>
    <x v="0"/>
    <x v="9"/>
    <n v="83580"/>
    <d v="2022-10-02T00:00:00"/>
    <n v="0"/>
    <d v="2022-02-03T00:00:00"/>
    <x v="0"/>
    <m/>
    <m/>
    <m/>
  </r>
  <r>
    <s v="PARQUE DE ATRACCIONES MADRID SA"/>
    <s v="Not a Customer"/>
    <s v="No growth Potential"/>
    <s v="Roman Nacha"/>
    <x v="0"/>
    <x v="3"/>
    <m/>
    <s v="23-10-2022"/>
    <n v="0"/>
    <d v="2022-02-11T00:00:00"/>
    <x v="0"/>
    <m/>
    <m/>
    <m/>
  </r>
  <r>
    <s v="Fundacion Tripartita"/>
    <s v="Not a Customer"/>
    <s v="High Growth potential"/>
    <s v="Roman Nacha"/>
    <x v="0"/>
    <x v="3"/>
    <n v="42045"/>
    <s v="13-03-2022"/>
    <n v="0"/>
    <d v="2022-02-05T00:00:00"/>
    <x v="0"/>
    <m/>
    <m/>
    <m/>
  </r>
  <r>
    <s v="Optimus Zero SA (OPTIZE)"/>
    <s v="Not a Customer"/>
    <s v="No growth Potential"/>
    <s v="Roman Nacha"/>
    <x v="0"/>
    <x v="3"/>
    <n v="72988"/>
    <s v="23-09-2022"/>
    <n v="0"/>
    <d v="2022-02-11T00:00:00"/>
    <x v="0"/>
    <m/>
    <m/>
    <m/>
  </r>
  <r>
    <s v="CAP GEMINI ESPA?A S.A."/>
    <s v="Not a Customer"/>
    <s v="No growth Potential"/>
    <s v="Roman Nacha"/>
    <x v="0"/>
    <x v="3"/>
    <n v="203733"/>
    <d v="2022-03-10T00:00:00"/>
    <n v="0"/>
    <d v="2022-02-11T00:00:00"/>
    <x v="0"/>
    <m/>
    <m/>
    <m/>
  </r>
  <r>
    <s v="CONGRESO DE LOS DIPUTADOS"/>
    <s v="Active Customer"/>
    <s v="Medium Growth"/>
    <s v="Roman Nacha"/>
    <x v="0"/>
    <x v="3"/>
    <n v="172921"/>
    <d v="2022-09-09T00:00:00"/>
    <n v="9607"/>
    <d v="2022-08-11T00:00:00"/>
    <x v="3"/>
    <m/>
    <m/>
    <m/>
  </r>
  <r>
    <s v="Amb Molt d' Encert S.L"/>
    <s v="Not a Customer"/>
    <s v="No growth Potential"/>
    <s v="Roman Nacha"/>
    <x v="0"/>
    <x v="9"/>
    <n v="56858"/>
    <s v="23-10-2022"/>
    <n v="0"/>
    <d v="2022-02-11T00:00:00"/>
    <x v="0"/>
    <m/>
    <m/>
    <m/>
  </r>
  <r>
    <s v="GERMAINE DE CAPUCCINI"/>
    <s v="Not a Customer"/>
    <s v="No growth Potential"/>
    <s v="Roman Nacha"/>
    <x v="0"/>
    <x v="16"/>
    <n v="76983"/>
    <s v="22-09-2022"/>
    <n v="0"/>
    <d v="2022-02-10T00:00:00"/>
    <x v="0"/>
    <m/>
    <m/>
    <m/>
  </r>
  <r>
    <s v="Woyre"/>
    <s v="Not a Customer"/>
    <s v="No growth Potential"/>
    <s v="Roman Nacha"/>
    <x v="0"/>
    <x v="9"/>
    <n v="43881"/>
    <d v="2022-03-10T00:00:00"/>
    <n v="0"/>
    <d v="2022-02-11T00:00:00"/>
    <x v="0"/>
    <m/>
    <m/>
    <m/>
  </r>
  <r>
    <s v="Gecesa Cajamadrid"/>
    <s v="Not a Customer"/>
    <s v="Medium Growth"/>
    <s v="Roman Nacha"/>
    <x v="0"/>
    <x v="3"/>
    <n v="88013"/>
    <s v="23-11-2022"/>
    <n v="0"/>
    <d v="2023-02-01T00:00:00"/>
    <x v="2"/>
    <m/>
    <m/>
    <m/>
  </r>
  <r>
    <s v="My Crypto Bot"/>
    <s v="Not a Customer"/>
    <s v="Medium Growth"/>
    <s v="Roman Nacha"/>
    <x v="0"/>
    <x v="9"/>
    <n v="92126"/>
    <d v="2022-11-10T00:00:00"/>
    <n v="0"/>
    <s v="20-11-2022"/>
    <x v="1"/>
    <m/>
    <m/>
    <m/>
  </r>
  <r>
    <s v="Venca (C.I.F.D.S.A)"/>
    <s v="Not a Customer"/>
    <s v="No growth Potential"/>
    <s v="Roman Nacha"/>
    <x v="0"/>
    <x v="17"/>
    <n v="106692"/>
    <s v="24-08-2022"/>
    <n v="0"/>
    <d v="2022-02-11T00:00:00"/>
    <x v="0"/>
    <m/>
    <m/>
    <m/>
  </r>
  <r>
    <s v="AYUNTAMIENTO DE GIJON"/>
    <s v="Not a Customer"/>
    <s v="No growth Potential"/>
    <s v="Roman Nacha"/>
    <x v="0"/>
    <x v="18"/>
    <n v="133858"/>
    <s v="23-09-2022"/>
    <n v="0"/>
    <d v="2022-02-11T00:00:00"/>
    <x v="0"/>
    <m/>
    <m/>
    <m/>
  </r>
  <r>
    <s v="Ayuntamiento de Madrid"/>
    <s v="Active Customer"/>
    <s v="Medium Growth"/>
    <s v="Roman Nacha"/>
    <x v="0"/>
    <x v="3"/>
    <n v="368455"/>
    <s v="13-09-2022"/>
    <n v="46057"/>
    <d v="2022-02-11T00:00:00"/>
    <x v="0"/>
    <m/>
    <m/>
    <m/>
  </r>
  <r>
    <s v="Iberojet"/>
    <s v="Not a Customer"/>
    <s v="No growth Potential"/>
    <s v="Roman Nacha"/>
    <x v="0"/>
    <x v="19"/>
    <n v="107211"/>
    <s v="13-09-2022"/>
    <n v="0"/>
    <d v="2022-02-11T00:00:00"/>
    <x v="0"/>
    <m/>
    <m/>
    <m/>
  </r>
  <r>
    <s v="Azbil Telstar Technologies S.L.U."/>
    <s v="Not a Customer"/>
    <s v="No growth Potential"/>
    <s v="Roman Nacha"/>
    <x v="0"/>
    <x v="20"/>
    <n v="115087"/>
    <d v="2022-09-09T00:00:00"/>
    <n v="0"/>
    <d v="2022-08-11T00:00:00"/>
    <x v="3"/>
    <m/>
    <m/>
    <m/>
  </r>
  <r>
    <s v="AYUNTAMIENTO DE ARANJUEZ"/>
    <s v="Not a Customer"/>
    <s v="No growth Potential"/>
    <s v="Roman Nacha"/>
    <x v="0"/>
    <x v="21"/>
    <n v="104166"/>
    <d v="2023-01-01T00:00:00"/>
    <n v="0"/>
    <d v="2023-02-03T00:00:00"/>
    <x v="2"/>
    <m/>
    <m/>
    <m/>
  </r>
  <r>
    <s v="Lamas Bolaño"/>
    <s v="Not a Customer"/>
    <s v="No growth Potential"/>
    <s v="Roman Nacha"/>
    <x v="0"/>
    <x v="9"/>
    <n v="143497"/>
    <s v="21-03-2022"/>
    <n v="0"/>
    <s v="20-04-2022"/>
    <x v="4"/>
    <m/>
    <m/>
    <m/>
  </r>
  <r>
    <s v="Luis Simoes"/>
    <s v="Not a Customer"/>
    <s v="No growth Potential"/>
    <s v="Roman Nacha"/>
    <x v="1"/>
    <x v="22"/>
    <n v="127427"/>
    <d v="2022-03-10T00:00:00"/>
    <n v="0"/>
    <d v="2022-02-11T00:00:00"/>
    <x v="0"/>
    <m/>
    <m/>
    <m/>
  </r>
  <r>
    <s v="Consum Sociedad Cooperativa Valenciana"/>
    <s v="Not a Customer"/>
    <s v="No growth Potential"/>
    <s v="Roman Nacha"/>
    <x v="0"/>
    <x v="23"/>
    <n v="355370"/>
    <s v="13-01-2023"/>
    <n v="0"/>
    <d v="2023-02-02T00:00:00"/>
    <x v="2"/>
    <m/>
    <m/>
    <m/>
  </r>
  <r>
    <s v="GRUPO IFA"/>
    <s v="Not a Customer"/>
    <s v="No growth Potential"/>
    <s v="Roman Nacha"/>
    <x v="0"/>
    <x v="7"/>
    <n v="191190"/>
    <s v="24-08-2022"/>
    <n v="0"/>
    <d v="2022-02-11T00:00:00"/>
    <x v="0"/>
    <m/>
    <m/>
    <m/>
  </r>
  <r>
    <s v="Silgan Dispensing Systems Barcelona SL"/>
    <s v="Not a Customer"/>
    <s v="No growth Potential"/>
    <s v="Roman Nacha"/>
    <x v="0"/>
    <x v="0"/>
    <n v="209817"/>
    <s v="23-03-2022"/>
    <n v="0"/>
    <d v="2022-02-05T00:00:00"/>
    <x v="0"/>
    <m/>
    <m/>
    <m/>
  </r>
  <r>
    <s v="Colomer Escuela náutica"/>
    <s v="Not a Customer"/>
    <s v="No growth Potential"/>
    <s v="Roman Nacha"/>
    <x v="0"/>
    <x v="24"/>
    <n v="49625"/>
    <s v="21-01-2023"/>
    <n v="0"/>
    <d v="2023-02-03T00:00:00"/>
    <x v="2"/>
    <m/>
    <m/>
    <m/>
  </r>
  <r>
    <s v="Safelayer"/>
    <s v="Not a Customer"/>
    <s v="No growth Potential"/>
    <s v="Roman Nacha"/>
    <x v="0"/>
    <x v="3"/>
    <n v="101488"/>
    <s v="14-12-2021"/>
    <n v="0"/>
    <d v="2022-02-02T00:00:00"/>
    <x v="0"/>
    <m/>
    <m/>
    <m/>
  </r>
  <r>
    <s v="IRIUM NETWORKS S.L."/>
    <s v="Not a Customer"/>
    <s v="No growth Potential"/>
    <s v="Roman Nacha"/>
    <x v="0"/>
    <x v="0"/>
    <n v="101400"/>
    <s v="23-09-2022"/>
    <n v="0"/>
    <d v="2022-02-11T00:00:00"/>
    <x v="0"/>
    <m/>
    <m/>
    <m/>
  </r>
  <r>
    <s v="Liz Online"/>
    <s v="Not a Customer"/>
    <s v="No growth Potential"/>
    <s v="Roman Nacha"/>
    <x v="1"/>
    <x v="9"/>
    <n v="67715"/>
    <s v="23-10-2022"/>
    <n v="0"/>
    <d v="2022-02-11T00:00:00"/>
    <x v="0"/>
    <m/>
    <m/>
    <m/>
  </r>
  <r>
    <s v="UNIVERSIDAD DE LA IGLESIA DE DEUSTO"/>
    <s v="Active Customer"/>
    <s v="High Growth potential"/>
    <s v="Roman Nacha"/>
    <x v="0"/>
    <x v="25"/>
    <n v="80523"/>
    <s v="24-09-2022"/>
    <n v="26841"/>
    <s v="23-11-2022"/>
    <x v="1"/>
    <m/>
    <m/>
    <m/>
  </r>
  <r>
    <s v="Posicionamiento natural"/>
    <s v="Not a Customer"/>
    <s v="No growth Potential"/>
    <s v="Roman Nacha"/>
    <x v="0"/>
    <x v="9"/>
    <n v="67742"/>
    <s v="24-07-2022"/>
    <n v="0"/>
    <d v="2022-02-09T00:00:00"/>
    <x v="0"/>
    <m/>
    <m/>
    <m/>
  </r>
  <r>
    <s v="NTR"/>
    <s v="Not a Customer"/>
    <s v="No growth Potential"/>
    <s v="Roman Nacha"/>
    <x v="0"/>
    <x v="26"/>
    <n v="96217"/>
    <s v="13-10-2022"/>
    <n v="0"/>
    <d v="2022-02-11T00:00:00"/>
    <x v="0"/>
    <m/>
    <m/>
    <m/>
  </r>
  <r>
    <s v="Emagister"/>
    <s v="Not a Customer"/>
    <s v="No growth Potential"/>
    <s v="Roman Nacha"/>
    <x v="0"/>
    <x v="27"/>
    <n v="90293"/>
    <d v="2022-11-01T00:00:00"/>
    <n v="0"/>
    <d v="2022-02-03T00:00:00"/>
    <x v="0"/>
    <m/>
    <m/>
    <m/>
  </r>
  <r>
    <s v="Aena"/>
    <s v="Active Customer"/>
    <s v="Medium Growth"/>
    <s v="Roman Nacha"/>
    <x v="0"/>
    <x v="3"/>
    <n v="270429"/>
    <s v="24-03-2022"/>
    <n v="135215"/>
    <s v="23-04-2022"/>
    <x v="4"/>
    <m/>
    <m/>
    <m/>
  </r>
  <r>
    <s v="Mellerbrand"/>
    <s v="Not a Customer"/>
    <s v="No growth Potential"/>
    <s v="Roman Nacha"/>
    <x v="0"/>
    <x v="0"/>
    <n v="63020"/>
    <s v="24-07-2022"/>
    <n v="0"/>
    <d v="2022-02-09T00:00:00"/>
    <x v="0"/>
    <m/>
    <m/>
    <m/>
  </r>
  <r>
    <s v="GRUPO DANOBAT"/>
    <s v="Not a Customer"/>
    <s v="No growth Potential"/>
    <s v="Roman Nacha"/>
    <x v="0"/>
    <x v="28"/>
    <n v="71125"/>
    <s v="13-10-2022"/>
    <n v="0"/>
    <d v="2022-02-11T00:00:00"/>
    <x v="0"/>
    <m/>
    <m/>
    <m/>
  </r>
  <r>
    <s v="BitBan Technologies S.L."/>
    <s v="Not a Customer"/>
    <s v="No growth Potential"/>
    <s v="Roman Nacha"/>
    <x v="0"/>
    <x v="3"/>
    <n v="48820"/>
    <s v="21-02-2022"/>
    <n v="0"/>
    <d v="2022-02-05T00:00:00"/>
    <x v="0"/>
    <m/>
    <m/>
    <m/>
  </r>
  <r>
    <s v="Gestion de Publicaciones y Publicidad"/>
    <s v="Not a Customer"/>
    <s v="No growth Potential"/>
    <s v="Roman Nacha"/>
    <x v="0"/>
    <x v="3"/>
    <n v="118761"/>
    <s v="23-05-2023"/>
    <n v="0"/>
    <d v="2023-02-06T00:00:00"/>
    <x v="2"/>
    <m/>
    <m/>
    <m/>
  </r>
  <r>
    <s v="Trans-Fast Financial Services S.A."/>
    <s v="Not a Customer"/>
    <s v="No growth Potential"/>
    <s v="Roman Nacha"/>
    <x v="0"/>
    <x v="9"/>
    <n v="74208"/>
    <d v="2022-01-01T00:00:00"/>
    <n v="0"/>
    <d v="2022-02-03T00:00:00"/>
    <x v="0"/>
    <m/>
    <m/>
    <m/>
  </r>
  <r>
    <s v="Lextrend"/>
    <s v="Not a Customer"/>
    <s v="No growth Potential"/>
    <s v="Roman Nacha"/>
    <x v="0"/>
    <x v="3"/>
    <n v="62337"/>
    <s v="13-10-2022"/>
    <n v="0"/>
    <d v="2022-02-11T00:00:00"/>
    <x v="0"/>
    <m/>
    <m/>
    <m/>
  </r>
  <r>
    <s v="Ayuntamiento de Villarana"/>
    <s v="Not a Customer"/>
    <s v="No growth Potential"/>
    <s v="Roman Nacha"/>
    <x v="0"/>
    <x v="29"/>
    <n v="143588"/>
    <s v="23-04-2022"/>
    <n v="0"/>
    <d v="2022-02-06T00:00:00"/>
    <x v="0"/>
    <m/>
    <m/>
    <m/>
  </r>
  <r>
    <s v="Mutua Montanesa"/>
    <s v="Not a Customer"/>
    <s v="No growth Potential"/>
    <s v="Roman Nacha"/>
    <x v="0"/>
    <x v="30"/>
    <n v="61002"/>
    <d v="2022-03-03T00:00:00"/>
    <n v="0"/>
    <d v="2022-02-05T00:00:00"/>
    <x v="0"/>
    <m/>
    <m/>
    <m/>
  </r>
  <r>
    <s v="Red Inmobiliarias Asturianas (AF Grupo Publicidad y Comunicacion Selecta )"/>
    <s v="Not a Customer"/>
    <s v="No growth Potential"/>
    <s v="Roman Nacha"/>
    <x v="0"/>
    <x v="31"/>
    <n v="109980"/>
    <d v="2022-03-11T00:00:00"/>
    <n v="0"/>
    <d v="2023-02-01T00:00:00"/>
    <x v="2"/>
    <m/>
    <m/>
    <m/>
  </r>
  <r>
    <s v="trip4real"/>
    <s v="Not a Customer"/>
    <s v="No growth Potential"/>
    <s v="Roman Nacha"/>
    <x v="0"/>
    <x v="0"/>
    <n v="106526"/>
    <s v="23-07-2022"/>
    <n v="0"/>
    <d v="2022-02-08T00:00:00"/>
    <x v="0"/>
    <m/>
    <m/>
    <m/>
  </r>
  <r>
    <s v="Grup Serhs"/>
    <s v="Not a Customer"/>
    <s v="No growth Potential"/>
    <s v="Roman Nacha"/>
    <x v="0"/>
    <x v="32"/>
    <n v="70969"/>
    <d v="2022-03-09T00:00:00"/>
    <n v="0"/>
    <d v="2022-02-11T00:00:00"/>
    <x v="0"/>
    <m/>
    <m/>
    <m/>
  </r>
  <r>
    <s v="GOLDCAR"/>
    <s v="Not a Customer"/>
    <s v="No growth Potential"/>
    <s v="Roman Nacha"/>
    <x v="0"/>
    <x v="3"/>
    <n v="100034"/>
    <s v="23-09-2022"/>
    <n v="0"/>
    <d v="2022-02-11T00:00:00"/>
    <x v="0"/>
    <m/>
    <m/>
    <m/>
  </r>
  <r>
    <s v="L'Arca del Maresme Empresa Inserción SLL"/>
    <s v="Not a Customer"/>
    <s v="No growth Potential"/>
    <s v="Roman Nacha"/>
    <x v="0"/>
    <x v="33"/>
    <n v="107069"/>
    <d v="2022-03-09T00:00:00"/>
    <n v="0"/>
    <d v="2022-02-11T00:00:00"/>
    <x v="0"/>
    <m/>
    <m/>
    <m/>
  </r>
  <r>
    <s v="Dapargel Sl"/>
    <s v="Not a Customer"/>
    <s v="No growth Potential"/>
    <s v="Roman Nacha"/>
    <x v="0"/>
    <x v="34"/>
    <n v="143517"/>
    <s v="24-08-2022"/>
    <n v="0"/>
    <d v="2022-02-11T00:00:00"/>
    <x v="0"/>
    <m/>
    <m/>
    <m/>
  </r>
  <r>
    <s v="intermas group"/>
    <s v="Not a Customer"/>
    <s v="No growth Potential"/>
    <s v="Roman Nacha"/>
    <x v="0"/>
    <x v="0"/>
    <n v="58504"/>
    <s v="24-08-2022"/>
    <n v="0"/>
    <d v="2022-02-11T00:00:00"/>
    <x v="0"/>
    <m/>
    <m/>
    <m/>
  </r>
  <r>
    <s v="TMT Spain"/>
    <s v="Not a Customer"/>
    <s v="Medium Growth"/>
    <s v="Roman Nacha"/>
    <x v="0"/>
    <x v="9"/>
    <n v="95966"/>
    <d v="2022-03-09T00:00:00"/>
    <n v="0"/>
    <d v="2022-02-11T00:00:00"/>
    <x v="0"/>
    <m/>
    <m/>
    <m/>
  </r>
  <r>
    <s v="STYLE-OUT"/>
    <s v="Not a Customer"/>
    <s v="Medium Growth"/>
    <s v="Roman Nacha"/>
    <x v="1"/>
    <x v="35"/>
    <n v="54725"/>
    <s v="19-10-2022"/>
    <n v="0"/>
    <d v="2022-08-11T00:00:00"/>
    <x v="3"/>
    <m/>
    <m/>
    <m/>
  </r>
  <r>
    <s v="FACETZ"/>
    <s v="Not a Customer"/>
    <s v="Medium Growth"/>
    <s v="Roman Nacha"/>
    <x v="0"/>
    <x v="0"/>
    <n v="147868"/>
    <s v="20-02-2023"/>
    <n v="0"/>
    <d v="2023-02-03T00:00:00"/>
    <x v="2"/>
    <m/>
    <m/>
    <m/>
  </r>
  <r>
    <s v="Apliscience"/>
    <s v="Not a Customer"/>
    <s v="No growth Potential"/>
    <s v="Roman Nacha"/>
    <x v="0"/>
    <x v="0"/>
    <n v="112714"/>
    <d v="2022-11-03T00:00:00"/>
    <n v="0"/>
    <s v="20-04-2022"/>
    <x v="4"/>
    <m/>
    <m/>
    <m/>
  </r>
  <r>
    <s v="CLNICA DENTAL AD"/>
    <s v="Not a Customer"/>
    <s v="No growth Potential"/>
    <s v="Roman Nacha"/>
    <x v="0"/>
    <x v="9"/>
    <n v="74208"/>
    <s v="23-10-2022"/>
    <n v="0"/>
    <d v="2022-02-11T00:00:00"/>
    <x v="0"/>
    <m/>
    <m/>
    <m/>
  </r>
  <r>
    <s v="Volkswagen-Audi Spain"/>
    <s v="Not a Customer"/>
    <s v="No growth Potential"/>
    <s v="Roman Nacha"/>
    <x v="0"/>
    <x v="9"/>
    <n v="90068"/>
    <s v="14-12-2022"/>
    <n v="0"/>
    <d v="2023-02-02T00:00:00"/>
    <x v="2"/>
    <m/>
    <m/>
    <m/>
  </r>
  <r>
    <s v="ANCCE"/>
    <s v="Not a Customer"/>
    <s v="No growth Potential"/>
    <s v="Roman Nacha"/>
    <x v="0"/>
    <x v="9"/>
    <n v="80085"/>
    <s v="23-10-2022"/>
    <n v="0"/>
    <d v="2022-02-11T00:00:00"/>
    <x v="0"/>
    <m/>
    <m/>
    <m/>
  </r>
  <r>
    <s v="TURISMO ANDALUZ"/>
    <s v="Not a Customer"/>
    <s v="No growth Potential"/>
    <s v="Roman Nacha"/>
    <x v="0"/>
    <x v="36"/>
    <n v="157857"/>
    <s v="23-03-2022"/>
    <n v="0"/>
    <d v="2022-02-05T00:00:00"/>
    <x v="0"/>
    <m/>
    <m/>
    <m/>
  </r>
  <r>
    <s v="TransHotel Servicios Corporativos S.L.U"/>
    <s v="Not a Customer"/>
    <s v="No growth Potential"/>
    <s v="Roman Nacha"/>
    <x v="0"/>
    <x v="37"/>
    <n v="88677"/>
    <d v="2023-01-01T00:00:00"/>
    <n v="0"/>
    <d v="2023-02-03T00:00:00"/>
    <x v="2"/>
    <m/>
    <m/>
    <m/>
  </r>
  <r>
    <s v="Castilla Informatica Consulting"/>
    <s v="Not a Customer"/>
    <s v="No growth Potential"/>
    <s v="Roman Nacha"/>
    <x v="0"/>
    <x v="38"/>
    <n v="203793"/>
    <s v="13-01-2022"/>
    <n v="0"/>
    <d v="2022-02-02T00:00:00"/>
    <x v="0"/>
    <m/>
    <m/>
    <m/>
  </r>
  <r>
    <s v="IES Pablo de olavide"/>
    <s v="Not a Customer"/>
    <s v="No growth Potential"/>
    <s v="Roman Nacha"/>
    <x v="0"/>
    <x v="39"/>
    <n v="55037"/>
    <s v="13-10-2022"/>
    <n v="0"/>
    <d v="2022-02-11T00:00:00"/>
    <x v="0"/>
    <m/>
    <m/>
    <m/>
  </r>
  <r>
    <s v="GRUPO REIG JOFRE"/>
    <s v="Not a Customer"/>
    <s v="No growth Potential"/>
    <s v="Roman Nacha"/>
    <x v="0"/>
    <x v="0"/>
    <n v="106786"/>
    <d v="2022-03-09T00:00:00"/>
    <n v="0"/>
    <d v="2022-02-11T00:00:00"/>
    <x v="0"/>
    <m/>
    <m/>
    <m/>
  </r>
  <r>
    <s v="Copreci S. Coop"/>
    <s v="Not a Customer"/>
    <s v="No growth Potential"/>
    <s v="Roman Nacha"/>
    <x v="0"/>
    <x v="40"/>
    <n v="83160"/>
    <s v="13-11-2022"/>
    <n v="0"/>
    <s v="23-11-2022"/>
    <x v="1"/>
    <m/>
    <m/>
    <m/>
  </r>
  <r>
    <s v="MEDIAWAYS SOLUTIONS (MS)"/>
    <s v="Not a Customer"/>
    <s v="Medium Growth"/>
    <s v="Roman Nacha"/>
    <x v="3"/>
    <x v="41"/>
    <n v="137608"/>
    <s v="13-08-2022"/>
    <n v="0"/>
    <d v="2022-02-09T00:00:00"/>
    <x v="0"/>
    <m/>
    <m/>
    <m/>
  </r>
  <r>
    <s v="Tressis SV"/>
    <s v="Not a Customer"/>
    <s v="Medium Growth"/>
    <s v="Roman Nacha"/>
    <x v="0"/>
    <x v="9"/>
    <n v="157835"/>
    <s v="23-10-2022"/>
    <n v="0"/>
    <d v="2022-02-11T00:00:00"/>
    <x v="0"/>
    <m/>
    <m/>
    <m/>
  </r>
  <r>
    <s v="Circulo de lectores S.A."/>
    <s v="Not a Customer"/>
    <s v="Medium Growth"/>
    <s v="Roman Nacha"/>
    <x v="0"/>
    <x v="0"/>
    <n v="187470"/>
    <s v="22-12-2021"/>
    <n v="0"/>
    <d v="2022-02-03T00:00:00"/>
    <x v="0"/>
    <m/>
    <m/>
    <m/>
  </r>
  <r>
    <s v="ALTEN"/>
    <s v="Not a Customer"/>
    <s v="No growth Potential"/>
    <s v="Roman Nacha"/>
    <x v="3"/>
    <x v="42"/>
    <n v="102196"/>
    <s v="14-03-2022"/>
    <n v="0"/>
    <s v="23-04-2022"/>
    <x v="4"/>
    <m/>
    <m/>
    <m/>
  </r>
  <r>
    <s v="Bonacuista BGS S.L. Acuista"/>
    <s v="Not a Customer"/>
    <s v="No growth Potential"/>
    <s v="Roman Nacha"/>
    <x v="0"/>
    <x v="0"/>
    <n v="100539"/>
    <s v="23-08-2022"/>
    <n v="0"/>
    <d v="2022-02-09T00:00:00"/>
    <x v="0"/>
    <m/>
    <m/>
    <m/>
  </r>
  <r>
    <s v="Vip Venta"/>
    <s v="Not a Customer"/>
    <s v="Medium Growth"/>
    <s v="Roman Nacha"/>
    <x v="0"/>
    <x v="43"/>
    <n v="76925"/>
    <s v="13-10-2022"/>
    <n v="0"/>
    <d v="2022-02-11T00:00:00"/>
    <x v="0"/>
    <m/>
    <m/>
    <m/>
  </r>
  <r>
    <s v="CAIXABANK CONSUMER FINANCE"/>
    <s v="Not a Customer"/>
    <s v="No growth Potential"/>
    <s v="Roman Nacha"/>
    <x v="0"/>
    <x v="0"/>
    <n v="110085"/>
    <d v="2022-03-03T00:00:00"/>
    <n v="0"/>
    <d v="2022-02-05T00:00:00"/>
    <x v="0"/>
    <m/>
    <m/>
    <m/>
  </r>
  <r>
    <s v="Fundacion cajamadrid"/>
    <s v="Not a Customer"/>
    <s v="No growth Potential"/>
    <s v="Roman Nacha"/>
    <x v="0"/>
    <x v="3"/>
    <n v="83580"/>
    <d v="2022-12-04T00:00:00"/>
    <n v="0"/>
    <d v="2022-02-05T00:00:00"/>
    <x v="0"/>
    <m/>
    <m/>
    <m/>
  </r>
  <r>
    <s v="GROUPAUTO UNIÓN IBERICA"/>
    <s v="Not a Customer"/>
    <s v="No growth Potential"/>
    <s v="Roman Nacha"/>
    <x v="0"/>
    <x v="3"/>
    <m/>
    <s v="23-09-2022"/>
    <n v="0"/>
    <d v="2022-02-11T00:00:00"/>
    <x v="0"/>
    <m/>
    <m/>
    <m/>
  </r>
  <r>
    <s v="Bigmomo"/>
    <s v="Not a Customer"/>
    <s v="No growth Potential"/>
    <s v="Roman Nacha"/>
    <x v="0"/>
    <x v="9"/>
    <n v="42045"/>
    <d v="2022-03-10T00:00:00"/>
    <n v="0"/>
    <d v="2022-02-11T00:00:00"/>
    <x v="0"/>
    <m/>
    <m/>
    <m/>
  </r>
  <r>
    <s v="SERTEL S.A."/>
    <s v="Not a Customer"/>
    <s v="No growth Potential"/>
    <s v="Roman Nacha"/>
    <x v="0"/>
    <x v="3"/>
    <n v="72988"/>
    <s v="13-09-2022"/>
    <n v="0"/>
    <d v="2022-02-11T00:00:00"/>
    <x v="0"/>
    <m/>
    <m/>
    <m/>
  </r>
  <r>
    <s v="Celfocus"/>
    <s v="Not a Customer"/>
    <s v="No growth Potential"/>
    <s v="Roman Nacha"/>
    <x v="1"/>
    <x v="9"/>
    <n v="203733"/>
    <d v="2022-03-10T00:00:00"/>
    <n v="0"/>
    <d v="2022-02-11T00:00:00"/>
    <x v="0"/>
    <m/>
    <m/>
    <m/>
  </r>
  <r>
    <s v="GRUPO BLIDOO S.L."/>
    <s v="Not a Customer"/>
    <s v="No growth Potential"/>
    <s v="Roman Nacha"/>
    <x v="0"/>
    <x v="44"/>
    <n v="172921"/>
    <s v="24-08-2022"/>
    <n v="0"/>
    <d v="2022-02-11T00:00:00"/>
    <x v="0"/>
    <m/>
    <m/>
    <m/>
  </r>
  <r>
    <s v="H10 Hotels"/>
    <s v="Active Customer"/>
    <s v="Medium Growth"/>
    <s v="Roman Nacha"/>
    <x v="0"/>
    <x v="0"/>
    <n v="56858"/>
    <s v="15-09-2022"/>
    <n v="28429"/>
    <s v="14-11-2022"/>
    <x v="1"/>
    <m/>
    <m/>
    <m/>
  </r>
  <r>
    <s v="Comsa"/>
    <s v="Not a Customer"/>
    <s v="No growth Potential"/>
    <s v="Roman Nacha"/>
    <x v="0"/>
    <x v="0"/>
    <n v="76983"/>
    <s v="22-04-2022"/>
    <n v="0"/>
    <d v="2022-02-05T00:00:00"/>
    <x v="0"/>
    <m/>
    <m/>
    <m/>
  </r>
  <r>
    <s v="Shopery"/>
    <s v="Not a Customer"/>
    <s v="No growth Potential"/>
    <s v="Roman Nacha"/>
    <x v="0"/>
    <x v="9"/>
    <n v="43881"/>
    <s v="13-10-2022"/>
    <n v="0"/>
    <d v="2022-02-11T00:00:00"/>
    <x v="0"/>
    <m/>
    <m/>
    <m/>
  </r>
  <r>
    <s v="Geostar"/>
    <s v="Not a Customer"/>
    <s v="No growth Potential"/>
    <s v="Roman Nacha"/>
    <x v="1"/>
    <x v="9"/>
    <n v="88013"/>
    <s v="23-04-2022"/>
    <n v="0"/>
    <d v="2022-02-06T00:00:00"/>
    <x v="0"/>
    <m/>
    <m/>
    <m/>
  </r>
  <r>
    <s v="FactorEnergia"/>
    <s v="Not a Customer"/>
    <s v="No growth Potential"/>
    <s v="Roman Nacha"/>
    <x v="0"/>
    <x v="9"/>
    <n v="92126"/>
    <s v="13-01-2022"/>
    <n v="0"/>
    <d v="2022-02-02T00:00:00"/>
    <x v="0"/>
    <m/>
    <m/>
    <m/>
  </r>
  <r>
    <s v="ASAMBLEA DE EXTREMADURA"/>
    <s v="Not a Customer"/>
    <s v="No growth Potential"/>
    <s v="Roman Nacha"/>
    <x v="0"/>
    <x v="45"/>
    <n v="106692"/>
    <s v="23-10-2022"/>
    <n v="0"/>
    <d v="2022-02-11T00:00:00"/>
    <x v="0"/>
    <m/>
    <m/>
    <m/>
  </r>
  <r>
    <s v="Expocasa Interactive SL"/>
    <s v="Not a Customer"/>
    <s v="No growth Potential"/>
    <s v="Roman Nacha"/>
    <x v="0"/>
    <x v="3"/>
    <n v="133858"/>
    <d v="2022-03-05T00:00:00"/>
    <n v="0"/>
    <d v="2022-02-06T00:00:00"/>
    <x v="0"/>
    <m/>
    <m/>
    <m/>
  </r>
  <r>
    <s v="Promax"/>
    <s v="Not a Customer"/>
    <s v="No growth Potential"/>
    <s v="Roman Nacha"/>
    <x v="0"/>
    <x v="46"/>
    <n v="368455"/>
    <d v="2022-12-04T00:00:00"/>
    <n v="0"/>
    <d v="2022-02-05T00:00:00"/>
    <x v="0"/>
    <m/>
    <m/>
    <m/>
  </r>
  <r>
    <s v="Comunitel Global S.A."/>
    <s v="Not a Customer"/>
    <s v="No growth Potential"/>
    <s v="Roman Nacha"/>
    <x v="0"/>
    <x v="47"/>
    <n v="107211"/>
    <s v="22-12-2022"/>
    <n v="0"/>
    <d v="2023-02-03T00:00:00"/>
    <x v="2"/>
    <m/>
    <m/>
    <m/>
  </r>
  <r>
    <s v="Outlet de Salud y Belleza"/>
    <s v="Not a Customer"/>
    <s v="No growth Potential"/>
    <s v="Roman Nacha"/>
    <x v="0"/>
    <x v="48"/>
    <n v="115087"/>
    <s v="13-10-2022"/>
    <n v="0"/>
    <d v="2022-02-12T00:00:00"/>
    <x v="0"/>
    <m/>
    <m/>
    <m/>
  </r>
  <r>
    <s v="letsBRICO SL"/>
    <s v="Not a Customer"/>
    <s v="No growth Potential"/>
    <s v="Roman Nacha"/>
    <x v="0"/>
    <x v="0"/>
    <n v="104166"/>
    <d v="2022-03-09T00:00:00"/>
    <n v="0"/>
    <d v="2022-02-11T00:00:00"/>
    <x v="0"/>
    <m/>
    <m/>
    <m/>
  </r>
  <r>
    <s v="Villa Padierna Hotels &amp; Resorts"/>
    <s v="Not a Customer"/>
    <s v="No growth Potential"/>
    <s v="Roman Nacha"/>
    <x v="0"/>
    <x v="36"/>
    <n v="143497"/>
    <d v="2022-12-04T00:00:00"/>
    <n v="0"/>
    <d v="2022-02-05T00:00:00"/>
    <x v="0"/>
    <m/>
    <m/>
    <m/>
  </r>
  <r>
    <s v="Nuroa Internet"/>
    <s v="Not a Customer"/>
    <s v="No growth Potential"/>
    <s v="Roman Nacha"/>
    <x v="0"/>
    <x v="0"/>
    <n v="127427"/>
    <d v="2022-02-04T00:00:00"/>
    <n v="0"/>
    <d v="2022-02-05T00:00:00"/>
    <x v="0"/>
    <m/>
    <m/>
    <m/>
  </r>
  <r>
    <s v="Center of Marine Sciences (CCMAR)"/>
    <s v="Not a Customer"/>
    <s v="No growth Potential"/>
    <s v="Roman Nacha"/>
    <x v="1"/>
    <x v="49"/>
    <n v="355370"/>
    <s v="23-10-2022"/>
    <n v="0"/>
    <d v="2022-02-12T00:00:00"/>
    <x v="0"/>
    <m/>
    <m/>
    <m/>
  </r>
  <r>
    <s v="Fabrica Nacional Moneda Y Timbre"/>
    <s v="Not a Customer"/>
    <s v="No growth Potential"/>
    <s v="Roman Nacha"/>
    <x v="0"/>
    <x v="3"/>
    <n v="191190"/>
    <s v="23-01-2022"/>
    <n v="0"/>
    <d v="2022-02-02T00:00:00"/>
    <x v="0"/>
    <m/>
    <m/>
    <m/>
  </r>
  <r>
    <s v="AXESOR"/>
    <s v="Not a Customer"/>
    <s v="No growth Potential"/>
    <s v="Roman Nacha"/>
    <x v="0"/>
    <x v="3"/>
    <n v="209817"/>
    <s v="24-08-2022"/>
    <n v="0"/>
    <d v="2022-02-11T00:00:00"/>
    <x v="0"/>
    <m/>
    <m/>
    <m/>
  </r>
  <r>
    <s v="Compunet Servicios Telematicos S.L."/>
    <s v="Not a Customer"/>
    <s v="No growth Potential"/>
    <s v="Roman Nacha"/>
    <x v="0"/>
    <x v="50"/>
    <n v="49625"/>
    <s v="22-01-2022"/>
    <n v="0"/>
    <d v="2022-01-02T00:00:00"/>
    <x v="0"/>
    <m/>
    <m/>
    <m/>
  </r>
  <r>
    <s v="Teva Generics Spain"/>
    <s v="Not a Customer"/>
    <s v="No growth Potential"/>
    <s v="Roman Nacha"/>
    <x v="0"/>
    <x v="7"/>
    <n v="101488"/>
    <d v="2022-11-02T00:00:00"/>
    <n v="0"/>
    <d v="2022-02-04T00:00:00"/>
    <x v="0"/>
    <m/>
    <m/>
    <m/>
  </r>
  <r>
    <s v="Equipo IVI"/>
    <s v="Not a Customer"/>
    <s v="No growth Potential"/>
    <s v="Roman Nacha"/>
    <x v="0"/>
    <x v="51"/>
    <n v="101400"/>
    <s v="13-09-2022"/>
    <n v="0"/>
    <d v="2022-02-11T00:00:00"/>
    <x v="0"/>
    <m/>
    <m/>
    <m/>
  </r>
  <r>
    <s v="Hotel Villamagna"/>
    <s v="Not a Customer"/>
    <s v="No growth Potential"/>
    <s v="Roman Nacha"/>
    <x v="0"/>
    <x v="3"/>
    <n v="67715"/>
    <d v="2022-03-09T00:00:00"/>
    <n v="0"/>
    <d v="2022-02-11T00:00:00"/>
    <x v="0"/>
    <m/>
    <m/>
    <m/>
  </r>
  <r>
    <s v="GESTION TRIBUTARIA TERRITORIAL SA"/>
    <s v="Not a Customer"/>
    <s v="No growth Potential"/>
    <s v="Roman Nacha"/>
    <x v="0"/>
    <x v="52"/>
    <n v="80523"/>
    <d v="2022-03-09T00:00:00"/>
    <n v="0"/>
    <d v="2022-02-11T00:00:00"/>
    <x v="0"/>
    <m/>
    <m/>
    <m/>
  </r>
  <r>
    <s v="Etnia Barcelona"/>
    <s v="Not a Customer"/>
    <s v="No growth Potential"/>
    <s v="Roman Nacha"/>
    <x v="0"/>
    <x v="0"/>
    <n v="67742"/>
    <s v="21-02-2022"/>
    <n v="0"/>
    <d v="2022-02-05T00:00:00"/>
    <x v="0"/>
    <m/>
    <m/>
    <m/>
  </r>
  <r>
    <s v="Ayuntamiento de Torrejón de la Calzada"/>
    <s v="Not a Customer"/>
    <s v="No growth Potential"/>
    <s v="Roman Nacha"/>
    <x v="0"/>
    <x v="53"/>
    <n v="96217"/>
    <s v="24-03-2022"/>
    <n v="0"/>
    <d v="2022-02-06T00:00:00"/>
    <x v="0"/>
    <m/>
    <m/>
    <m/>
  </r>
  <r>
    <s v="Housfy"/>
    <s v="Not a Customer"/>
    <s v="No growth Potential"/>
    <s v="Roman Nacha"/>
    <x v="0"/>
    <x v="0"/>
    <n v="90293"/>
    <s v="13-10-2022"/>
    <n v="0"/>
    <d v="2022-02-11T00:00:00"/>
    <x v="0"/>
    <m/>
    <m/>
    <m/>
  </r>
  <r>
    <s v="Vipnet 360"/>
    <s v="Not a Customer"/>
    <s v="No growth Potential"/>
    <s v="Roman Nacha"/>
    <x v="0"/>
    <x v="9"/>
    <n v="270429"/>
    <d v="2022-03-10T00:00:00"/>
    <n v="0"/>
    <d v="2022-02-11T00:00:00"/>
    <x v="0"/>
    <m/>
    <m/>
    <m/>
  </r>
  <r>
    <s v="Abreu Advogados"/>
    <s v="Not a Customer"/>
    <s v="No growth Potential"/>
    <s v="Roman Nacha"/>
    <x v="1"/>
    <x v="54"/>
    <n v="63020"/>
    <d v="2022-02-11T00:00:00"/>
    <n v="0"/>
    <d v="2022-02-12T00:00:00"/>
    <x v="0"/>
    <m/>
    <m/>
    <m/>
  </r>
  <r>
    <s v="PROMOFARMA ECOM"/>
    <s v="Not a Customer"/>
    <s v="No growth Potential"/>
    <s v="Roman Nacha"/>
    <x v="0"/>
    <x v="0"/>
    <n v="71125"/>
    <s v="23-10-2022"/>
    <n v="0"/>
    <d v="2022-02-11T00:00:00"/>
    <x v="0"/>
    <m/>
    <m/>
    <m/>
  </r>
  <r>
    <s v="Gimeno Grupo"/>
    <s v="Not a Customer"/>
    <s v="No growth Potential"/>
    <s v="Roman Nacha"/>
    <x v="0"/>
    <x v="55"/>
    <n v="48820"/>
    <s v="24-08-2022"/>
    <n v="0"/>
    <d v="2022-02-11T00:00:00"/>
    <x v="0"/>
    <m/>
    <m/>
    <m/>
  </r>
  <r>
    <s v="Grupo Conektia"/>
    <s v="Not a Customer"/>
    <s v="No growth Potential"/>
    <s v="Roman Nacha"/>
    <x v="0"/>
    <x v="56"/>
    <n v="118761"/>
    <s v="23-01-2023"/>
    <n v="0"/>
    <d v="2023-02-02T00:00:00"/>
    <x v="2"/>
    <m/>
    <m/>
    <m/>
  </r>
  <r>
    <s v="LUPO"/>
    <s v="Not a Customer"/>
    <s v="No growth Potential"/>
    <s v="Roman Nacha"/>
    <x v="0"/>
    <x v="9"/>
    <n v="74208"/>
    <s v="23-09-2022"/>
    <n v="0"/>
    <d v="2022-02-11T00:00:00"/>
    <x v="0"/>
    <m/>
    <m/>
    <m/>
  </r>
  <r>
    <s v="Afron SA"/>
    <s v="Not a Customer"/>
    <s v="No growth Potential"/>
    <s v="Roman Nacha"/>
    <x v="0"/>
    <x v="57"/>
    <n v="62337"/>
    <s v="13-10-2022"/>
    <n v="0"/>
    <d v="2022-02-11T00:00:00"/>
    <x v="0"/>
    <m/>
    <m/>
    <m/>
  </r>
  <r>
    <s v="Ayuntamiento de Barcelona - Mediapro Cloud"/>
    <s v="Active Customer"/>
    <s v="Medium Growth"/>
    <s v="Roman Nacha"/>
    <x v="0"/>
    <x v="0"/>
    <n v="106208"/>
    <s v="28-04-2022"/>
    <n v="13276"/>
    <s v="17-06-2022"/>
    <x v="4"/>
    <m/>
    <m/>
    <m/>
  </r>
  <r>
    <s v="Finanzauto SA"/>
    <s v="Not a Customer"/>
    <s v="No growth Potential"/>
    <s v="Roman Nacha"/>
    <x v="0"/>
    <x v="58"/>
    <n v="122068"/>
    <s v="21-02-2022"/>
    <n v="0"/>
    <d v="2022-02-04T00:00:00"/>
    <x v="0"/>
    <m/>
    <m/>
    <m/>
  </r>
  <r>
    <s v="Confederacion Sindical de CC.OO."/>
    <s v="Not a Customer"/>
    <s v="No growth Potential"/>
    <s v="Roman Nacha"/>
    <x v="0"/>
    <x v="3"/>
    <n v="112085"/>
    <s v="14-07-2022"/>
    <n v="0"/>
    <d v="2022-02-09T00:00:00"/>
    <x v="0"/>
    <m/>
    <m/>
    <m/>
  </r>
  <r>
    <s v="BSOLUS - BUSINESS SOLUTIONS LDA"/>
    <s v="Not a Customer"/>
    <s v="No growth Potential"/>
    <s v="Roman Nacha"/>
    <x v="1"/>
    <x v="59"/>
    <n v="189857"/>
    <s v="13-10-2022"/>
    <n v="0"/>
    <d v="2022-02-11T00:00:00"/>
    <x v="0"/>
    <m/>
    <m/>
    <m/>
  </r>
  <r>
    <s v="Union 5 Pipas"/>
    <s v="Not a Customer"/>
    <s v="No growth Potential"/>
    <s v="Roman Nacha"/>
    <x v="0"/>
    <x v="9"/>
    <n v="120677"/>
    <d v="2022-12-11T00:00:00"/>
    <n v="0"/>
    <d v="2022-02-12T00:00:00"/>
    <x v="0"/>
    <m/>
    <m/>
    <m/>
  </r>
  <r>
    <s v="Deteos"/>
    <s v="Not a Customer"/>
    <s v="No growth Potential"/>
    <s v="Roman Nacha"/>
    <x v="0"/>
    <x v="9"/>
    <n v="235793"/>
    <d v="2022-03-10T00:00:00"/>
    <n v="0"/>
    <d v="2022-02-11T00:00:00"/>
    <x v="0"/>
    <m/>
    <m/>
    <m/>
  </r>
  <r>
    <s v="Diputacion de aragon"/>
    <s v="Not a Customer"/>
    <s v="No growth Potential"/>
    <s v="Roman Nacha"/>
    <x v="0"/>
    <x v="60"/>
    <n v="87037"/>
    <d v="2022-03-04T00:00:00"/>
    <n v="0"/>
    <d v="2022-02-06T00:00:00"/>
    <x v="0"/>
    <m/>
    <m/>
    <m/>
  </r>
  <r>
    <s v="Biogen Spain S.L."/>
    <s v="Not a Customer"/>
    <s v="No growth Potential"/>
    <s v="Roman Nacha"/>
    <x v="0"/>
    <x v="3"/>
    <n v="138786"/>
    <s v="23-08-2022"/>
    <n v="0"/>
    <d v="2022-02-10T00:00:00"/>
    <x v="0"/>
    <m/>
    <m/>
    <m/>
  </r>
  <r>
    <s v="Quality Suites SL"/>
    <s v="Not a Customer"/>
    <s v="No growth Potential"/>
    <s v="Roman Nacha"/>
    <x v="0"/>
    <x v="3"/>
    <n v="115160"/>
    <d v="2022-11-01T00:00:00"/>
    <n v="0"/>
    <d v="2022-02-03T00:00:00"/>
    <x v="0"/>
    <m/>
    <m/>
    <m/>
  </r>
  <r>
    <s v="Custo Justo"/>
    <s v="Not a Customer"/>
    <s v="No growth Potential"/>
    <s v="Roman Nacha"/>
    <x v="1"/>
    <x v="61"/>
    <n v="169608"/>
    <s v="24-08-2022"/>
    <n v="0"/>
    <d v="2022-02-11T00:00:00"/>
    <x v="0"/>
    <m/>
    <m/>
    <m/>
  </r>
  <r>
    <s v="Admotion Interactive Services S.L"/>
    <s v="Not a Customer"/>
    <s v="No growth Potential"/>
    <s v="Roman Nacha"/>
    <x v="0"/>
    <x v="3"/>
    <n v="189835"/>
    <s v="31-01-2023"/>
    <n v="0"/>
    <d v="2023-02-03T00:00:00"/>
    <x v="2"/>
    <m/>
    <m/>
    <m/>
  </r>
  <r>
    <s v="Diputacio de Lleida"/>
    <s v="Not a Customer"/>
    <s v="No growth Potential"/>
    <s v="Roman Nacha"/>
    <x v="0"/>
    <x v="62"/>
    <n v="219470"/>
    <d v="2022-03-04T00:00:00"/>
    <n v="0"/>
    <d v="2022-02-06T00:00:00"/>
    <x v="0"/>
    <m/>
    <m/>
    <m/>
  </r>
  <r>
    <s v="Portugalres"/>
    <s v="Not a Customer"/>
    <s v="Medium Growth"/>
    <s v="Roman Nacha"/>
    <x v="1"/>
    <x v="63"/>
    <n v="134196"/>
    <s v="22-06-2022"/>
    <n v="0"/>
    <d v="2022-02-07T00:00:00"/>
    <x v="0"/>
    <m/>
    <m/>
    <m/>
  </r>
  <r>
    <s v="SOLIUM/AFYVE"/>
    <s v="Not a Customer"/>
    <s v="Medium Growth"/>
    <s v="Roman Nacha"/>
    <x v="0"/>
    <x v="3"/>
    <n v="132539"/>
    <s v="24-08-2022"/>
    <n v="0"/>
    <d v="2022-02-11T00:00:00"/>
    <x v="0"/>
    <m/>
    <m/>
    <m/>
  </r>
  <r>
    <s v="LA CASA DE LAS CARCASAS"/>
    <s v="Not a Customer"/>
    <s v="Medium Growth"/>
    <s v="Roman Nacha"/>
    <x v="0"/>
    <x v="64"/>
    <n v="108925"/>
    <s v="13-10-2022"/>
    <n v="0"/>
    <d v="2022-02-11T00:00:00"/>
    <x v="0"/>
    <m/>
    <m/>
    <m/>
  </r>
  <r>
    <s v="DAXYS"/>
    <s v="Not a Customer"/>
    <s v="No growth Potential"/>
    <s v="Roman Nacha"/>
    <x v="0"/>
    <x v="0"/>
    <n v="142085"/>
    <s v="23-10-2022"/>
    <n v="0"/>
    <d v="2022-02-11T00:00:00"/>
    <x v="0"/>
    <m/>
    <m/>
    <m/>
  </r>
  <r>
    <s v="Distribuidora De Ediciones"/>
    <s v="Not a Customer"/>
    <s v="No growth Potential"/>
    <s v="Roman Nacha"/>
    <x v="0"/>
    <x v="0"/>
    <n v="115580"/>
    <s v="13-11-2022"/>
    <n v="0"/>
    <d v="2023-02-01T00:00:00"/>
    <x v="2"/>
    <m/>
    <m/>
    <m/>
  </r>
  <r>
    <s v="IFS Applications Iberica"/>
    <s v="Not a Customer"/>
    <s v="No growth Potential"/>
    <s v="Roman Nacha"/>
    <x v="4"/>
    <x v="65"/>
    <n v="32000"/>
    <d v="2022-03-10T00:00:00"/>
    <n v="0"/>
    <d v="2022-02-11T00:00:00"/>
    <x v="0"/>
    <m/>
    <m/>
    <m/>
  </r>
  <r>
    <s v="Global Registry Services Limited"/>
    <s v="Not a Customer"/>
    <s v="No growth Potential"/>
    <s v="Roman Nacha"/>
    <x v="5"/>
    <x v="9"/>
    <n v="74045"/>
    <d v="2022-02-04T00:00:00"/>
    <n v="0"/>
    <d v="2022-02-05T00:00:00"/>
    <x v="0"/>
    <m/>
    <m/>
    <m/>
  </r>
  <r>
    <s v="Enimbos"/>
    <s v="Not a Customer"/>
    <s v="No growth Potential"/>
    <s v="Roman Nacha"/>
    <x v="0"/>
    <x v="3"/>
    <n v="104988"/>
    <s v="13-09-2022"/>
    <n v="0"/>
    <d v="2022-02-11T00:00:00"/>
    <x v="0"/>
    <m/>
    <m/>
    <m/>
  </r>
  <r>
    <s v="Bolsas y mercados españoles"/>
    <s v="Not a Customer"/>
    <s v="No growth Potential"/>
    <s v="Roman Nacha"/>
    <x v="0"/>
    <x v="3"/>
    <n v="235733"/>
    <s v="13-03-2022"/>
    <n v="0"/>
    <d v="2022-02-05T00:00:00"/>
    <x v="0"/>
    <m/>
    <m/>
    <m/>
  </r>
  <r>
    <s v="Corinthia Hotels"/>
    <s v="Not a Customer"/>
    <s v="No growth Potential"/>
    <s v="Roman Nacha"/>
    <x v="1"/>
    <x v="61"/>
    <n v="204921"/>
    <s v="24-07-2022"/>
    <n v="0"/>
    <d v="2022-02-09T00:00:00"/>
    <x v="0"/>
    <m/>
    <m/>
    <m/>
  </r>
  <r>
    <s v="TODOCOLECCION.NET"/>
    <s v="Not a Customer"/>
    <s v="No growth Potential"/>
    <s v="Roman Nacha"/>
    <x v="0"/>
    <x v="9"/>
    <n v="88858"/>
    <s v="13-09-2022"/>
    <n v="0"/>
    <d v="2022-02-11T00:00:00"/>
    <x v="0"/>
    <m/>
    <m/>
    <m/>
  </r>
  <r>
    <s v="TR US"/>
    <s v="Active Customer"/>
    <s v="High Growth potential"/>
    <s v="Roman Nacha"/>
    <x v="0"/>
    <x v="66"/>
    <n v="108983"/>
    <s v="28-10-2022"/>
    <n v="54491"/>
    <s v="17-11-2022"/>
    <x v="1"/>
    <m/>
    <m/>
    <m/>
  </r>
  <r>
    <s v="Telefonica International Wholesale Services II S.L."/>
    <s v="Not a Customer"/>
    <s v="No growth Potential"/>
    <s v="Roman Nacha"/>
    <x v="0"/>
    <x v="9"/>
    <n v="75881"/>
    <d v="2022-12-09T00:00:00"/>
    <n v="0"/>
    <d v="2022-02-10T00:00:00"/>
    <x v="0"/>
    <m/>
    <m/>
    <m/>
  </r>
  <r>
    <s v="TPTI"/>
    <s v="Not a Customer"/>
    <s v="No growth Potential"/>
    <s v="Roman Nacha"/>
    <x v="0"/>
    <x v="3"/>
    <n v="120013"/>
    <s v="13-09-2022"/>
    <n v="0"/>
    <d v="2022-02-11T00:00:00"/>
    <x v="0"/>
    <m/>
    <m/>
    <m/>
  </r>
  <r>
    <s v="Senado de Espana"/>
    <s v="Active Customer"/>
    <s v="Medium Growth"/>
    <s v="Roman Nacha"/>
    <x v="0"/>
    <x v="3"/>
    <n v="124126"/>
    <s v="14-02-2022"/>
    <n v="62063"/>
    <d v="2022-05-04T00:00:00"/>
    <x v="4"/>
    <m/>
    <m/>
    <m/>
  </r>
  <r>
    <s v="Zafiro Hotels"/>
    <s v="Not a Customer"/>
    <s v="No growth Potential"/>
    <s v="Roman Nacha"/>
    <x v="0"/>
    <x v="9"/>
    <n v="138692"/>
    <s v="13-01-2022"/>
    <n v="0"/>
    <d v="2022-02-02T00:00:00"/>
    <x v="0"/>
    <m/>
    <m/>
    <m/>
  </r>
  <r>
    <s v="Gamma Solutions"/>
    <s v="Not a Customer"/>
    <s v="No growth Potential"/>
    <s v="Roman Nacha"/>
    <x v="0"/>
    <x v="67"/>
    <n v="147362"/>
    <s v="24-11-2021"/>
    <n v="0"/>
    <d v="2022-02-02T00:00:00"/>
    <x v="0"/>
    <m/>
    <m/>
    <m/>
  </r>
  <r>
    <s v="Expertus"/>
    <s v="Not a Customer"/>
    <s v="No growth Potential"/>
    <s v="Roman Nacha"/>
    <x v="0"/>
    <x v="0"/>
    <n v="106526"/>
    <s v="24-08-2022"/>
    <n v="0"/>
    <d v="2022-02-11T00:00:00"/>
    <x v="0"/>
    <m/>
    <m/>
    <m/>
  </r>
  <r>
    <s v="Eurofred SA"/>
    <s v="Not a Customer"/>
    <s v="No growth Potential"/>
    <s v="Roman Nacha"/>
    <x v="0"/>
    <x v="0"/>
    <n v="70969"/>
    <s v="13-10-2022"/>
    <n v="0"/>
    <d v="2022-02-11T00:00:00"/>
    <x v="0"/>
    <m/>
    <m/>
    <m/>
  </r>
  <r>
    <s v="BuleVip"/>
    <s v="Not a Customer"/>
    <s v="No growth Potential"/>
    <s v="Roman Nacha"/>
    <x v="0"/>
    <x v="9"/>
    <n v="100034"/>
    <s v="13-10-2022"/>
    <n v="0"/>
    <d v="2022-02-11T00:00:00"/>
    <x v="0"/>
    <m/>
    <m/>
    <m/>
  </r>
  <r>
    <s v="Broker Luxury Yacht"/>
    <s v="Not a Customer"/>
    <s v="No growth Potential"/>
    <s v="Roman Nacha"/>
    <x v="0"/>
    <x v="9"/>
    <n v="107069"/>
    <s v="21-02-2023"/>
    <n v="0"/>
    <d v="2023-02-04T00:00:00"/>
    <x v="2"/>
    <m/>
    <m/>
    <m/>
  </r>
  <r>
    <s v="Altran CIS"/>
    <s v="Not a Customer"/>
    <s v="No growth Potential"/>
    <s v="Roman Nacha"/>
    <x v="1"/>
    <x v="61"/>
    <n v="143517"/>
    <d v="2022-03-03T00:00:00"/>
    <n v="0"/>
    <d v="2022-02-05T00:00:00"/>
    <x v="0"/>
    <m/>
    <m/>
    <m/>
  </r>
  <r>
    <s v="Amadeus IT Group SA"/>
    <s v="Active Customer"/>
    <s v="Medium Growth"/>
    <s v="Roman Nacha"/>
    <x v="0"/>
    <x v="3"/>
    <n v="58504"/>
    <s v="23-01-2022"/>
    <n v="6500"/>
    <s v="14-03-2022"/>
    <x v="0"/>
    <m/>
    <m/>
    <m/>
  </r>
  <r>
    <s v="Universitat Politècnica de Cataluny"/>
    <s v="Not a Customer"/>
    <s v="No growth Potential"/>
    <s v="Roman Nacha"/>
    <x v="0"/>
    <x v="9"/>
    <n v="95966"/>
    <d v="2022-03-08T00:00:00"/>
    <n v="0"/>
    <d v="2022-02-10T00:00:00"/>
    <x v="0"/>
    <m/>
    <m/>
    <m/>
  </r>
  <r>
    <s v="SICO"/>
    <s v="Not a Customer"/>
    <s v="No growth Potential"/>
    <s v="Roman Nacha"/>
    <x v="0"/>
    <x v="3"/>
    <n v="54725"/>
    <d v="2022-03-10T00:00:00"/>
    <n v="0"/>
    <d v="2022-02-11T00:00:00"/>
    <x v="0"/>
    <m/>
    <m/>
    <m/>
  </r>
  <r>
    <s v="Vortal"/>
    <s v="Not a Customer"/>
    <s v="No growth Potential"/>
    <s v="Roman Nacha"/>
    <x v="1"/>
    <x v="61"/>
    <n v="147868"/>
    <d v="2022-03-03T00:00:00"/>
    <n v="0"/>
    <d v="2022-02-05T00:00:00"/>
    <x v="0"/>
    <m/>
    <m/>
    <m/>
  </r>
  <r>
    <s v="Bodaclick"/>
    <s v="Not a Customer"/>
    <s v="No growth Potential"/>
    <s v="Roman Nacha"/>
    <x v="0"/>
    <x v="3"/>
    <n v="112714"/>
    <s v="23-03-2022"/>
    <n v="0"/>
    <d v="2022-02-04T00:00:00"/>
    <x v="0"/>
    <m/>
    <m/>
    <m/>
  </r>
  <r>
    <s v="Patatas Bonet S.A."/>
    <s v="Not a Customer"/>
    <s v="No growth Potential"/>
    <s v="Roman Nacha"/>
    <x v="0"/>
    <x v="0"/>
    <n v="74208"/>
    <s v="24-12-2021"/>
    <n v="0"/>
    <d v="2022-02-02T00:00:00"/>
    <x v="0"/>
    <m/>
    <m/>
    <m/>
  </r>
  <r>
    <s v="Murtra"/>
    <s v="Not a Customer"/>
    <s v="No growth Potential"/>
    <s v="Roman Nacha"/>
    <x v="0"/>
    <x v="68"/>
    <n v="90068"/>
    <s v="23-04-2022"/>
    <n v="0"/>
    <d v="2022-02-06T00:00:00"/>
    <x v="0"/>
    <m/>
    <m/>
    <m/>
  </r>
  <r>
    <s v="Dronas 2002 S.L.U"/>
    <s v="Not a Customer"/>
    <s v="No growth Potential"/>
    <s v="Roman Nacha"/>
    <x v="0"/>
    <x v="69"/>
    <n v="80085"/>
    <d v="2022-03-03T00:00:00"/>
    <n v="0"/>
    <d v="2022-02-05T00:00:00"/>
    <x v="0"/>
    <m/>
    <m/>
    <m/>
  </r>
  <r>
    <s v="CEMI_Ayuntamiento de Málaga"/>
    <s v="Not a Customer"/>
    <s v="No growth Potential"/>
    <s v="Roman Nacha"/>
    <x v="0"/>
    <x v="48"/>
    <n v="157857"/>
    <d v="2022-03-09T00:00:00"/>
    <n v="0"/>
    <d v="2022-02-11T00:00:00"/>
    <x v="0"/>
    <m/>
    <m/>
    <m/>
  </r>
  <r>
    <s v="77Agency Ltd - SWEDEN"/>
    <s v="Not a Customer"/>
    <s v="No growth Potential"/>
    <s v="Roman Nacha"/>
    <x v="2"/>
    <x v="70"/>
    <n v="88677"/>
    <d v="2022-03-09T00:00:00"/>
    <n v="0"/>
    <d v="2022-02-11T00:00:00"/>
    <x v="0"/>
    <m/>
    <m/>
    <m/>
  </r>
  <r>
    <s v="CIVIR"/>
    <s v="Not a Customer"/>
    <s v="No growth Potential"/>
    <s v="Roman Nacha"/>
    <x v="0"/>
    <x v="71"/>
    <n v="203793"/>
    <s v="13-09-2022"/>
    <n v="0"/>
    <d v="2022-02-11T00:00:00"/>
    <x v="0"/>
    <m/>
    <m/>
    <m/>
  </r>
  <r>
    <s v="A Bola"/>
    <s v="Not a Customer"/>
    <s v="No growth Potential"/>
    <s v="Roman Nacha"/>
    <x v="1"/>
    <x v="61"/>
    <n v="55037"/>
    <s v="23-05-2022"/>
    <n v="0"/>
    <d v="2022-02-06T00:00:00"/>
    <x v="0"/>
    <m/>
    <m/>
    <m/>
  </r>
  <r>
    <s v="Arnaiz-Urbimatica"/>
    <s v="Not a Customer"/>
    <s v="No growth Potential"/>
    <s v="Roman Nacha"/>
    <x v="0"/>
    <x v="3"/>
    <n v="106786"/>
    <s v="23-03-2022"/>
    <n v="0"/>
    <d v="2022-02-04T00:00:00"/>
    <x v="0"/>
    <m/>
    <m/>
    <m/>
  </r>
  <r>
    <s v="ORO DIRECT SALE SL"/>
    <s v="Not a Customer"/>
    <s v="No growth Potential"/>
    <s v="Roman Nacha"/>
    <x v="0"/>
    <x v="51"/>
    <n v="83160"/>
    <s v="23-09-2022"/>
    <n v="0"/>
    <d v="2022-02-11T00:00:00"/>
    <x v="0"/>
    <m/>
    <m/>
    <m/>
  </r>
  <r>
    <s v="Best Hotels"/>
    <s v="Not a Customer"/>
    <s v="No growth Potential"/>
    <s v="Roman Nacha"/>
    <x v="0"/>
    <x v="72"/>
    <n v="137608"/>
    <s v="23-10-2022"/>
    <n v="0"/>
    <d v="2022-02-11T00:00:00"/>
    <x v="0"/>
    <m/>
    <m/>
    <m/>
  </r>
  <r>
    <s v="FarmaIndustria"/>
    <s v="Not a Customer"/>
    <s v="No growth Potential"/>
    <s v="Roman Nacha"/>
    <x v="0"/>
    <x v="3"/>
    <n v="157835"/>
    <s v="23-01-2022"/>
    <n v="0"/>
    <d v="2022-02-02T00:00:00"/>
    <x v="0"/>
    <m/>
    <m/>
    <m/>
  </r>
  <r>
    <s v="Elogos S.L."/>
    <s v="Not a Customer"/>
    <s v="No growth Potential"/>
    <s v="Roman Nacha"/>
    <x v="0"/>
    <x v="3"/>
    <n v="187470"/>
    <d v="2022-03-09T00:00:00"/>
    <n v="0"/>
    <d v="2022-02-11T00:00:00"/>
    <x v="0"/>
    <m/>
    <m/>
    <m/>
  </r>
  <r>
    <s v="EUNASA ELECTRONICA SL"/>
    <s v="Active Customer"/>
    <s v="High Growth potential"/>
    <s v="Roman Nacha"/>
    <x v="0"/>
    <x v="0"/>
    <n v="102196"/>
    <d v="2022-06-09T00:00:00"/>
    <n v="6387"/>
    <d v="2022-05-11T00:00:00"/>
    <x v="4"/>
    <m/>
    <m/>
    <m/>
  </r>
  <r>
    <s v="IT-LATINO.NET"/>
    <s v="Not a Customer"/>
    <s v="No growth Potential"/>
    <s v="Roman Nacha"/>
    <x v="0"/>
    <x v="0"/>
    <n v="100539"/>
    <s v="23-10-2022"/>
    <n v="0"/>
    <d v="2022-02-11T00:00:00"/>
    <x v="0"/>
    <m/>
    <m/>
    <m/>
  </r>
  <r>
    <s v="GRUPO FARMASIERRA S.L."/>
    <s v="Not a Customer"/>
    <s v="No growth Potential"/>
    <s v="Roman Nacha"/>
    <x v="0"/>
    <x v="3"/>
    <n v="76925"/>
    <s v="23-10-2022"/>
    <n v="0"/>
    <d v="2022-02-11T00:00:00"/>
    <x v="0"/>
    <m/>
    <m/>
    <m/>
  </r>
  <r>
    <s v="Espana SA Seguros"/>
    <s v="Not a Customer"/>
    <s v="No growth Potential"/>
    <s v="Roman Nacha"/>
    <x v="0"/>
    <x v="3"/>
    <n v="110085"/>
    <d v="2022-03-03T00:00:00"/>
    <n v="0"/>
    <d v="2022-02-04T00:00:00"/>
    <x v="0"/>
    <m/>
    <m/>
    <m/>
  </r>
  <r>
    <s v="ADE"/>
    <s v="Not a Customer"/>
    <s v="No growth Potential"/>
    <s v="Roman Nacha"/>
    <x v="0"/>
    <x v="9"/>
    <n v="83580"/>
    <s v="23-10-2022"/>
    <n v="0"/>
    <d v="2022-02-11T00:00:00"/>
    <x v="0"/>
    <m/>
    <m/>
    <m/>
  </r>
  <r>
    <s v="Nurun Crazy Labs"/>
    <s v="Not a Customer"/>
    <s v="No growth Potential"/>
    <s v="Roman Nacha"/>
    <x v="0"/>
    <x v="7"/>
    <m/>
    <s v="24-07-2022"/>
    <n v="0"/>
    <d v="2022-02-09T00:00:00"/>
    <x v="0"/>
    <m/>
    <m/>
    <m/>
  </r>
  <r>
    <s v="MARCH-JLT CORREDURIA DE SEGUROS Y REASEGUROS SA"/>
    <s v="Not a Customer"/>
    <s v="No growth Potential"/>
    <s v="Roman Nacha"/>
    <x v="0"/>
    <x v="3"/>
    <n v="42045"/>
    <s v="24-08-2022"/>
    <n v="0"/>
    <d v="2022-02-11T00:00:00"/>
    <x v="0"/>
    <m/>
    <m/>
    <m/>
  </r>
  <r>
    <s v="Casa Del Libro"/>
    <s v="Not a Customer"/>
    <s v="No growth Potential"/>
    <s v="Roman Nacha"/>
    <x v="0"/>
    <x v="3"/>
    <n v="72988"/>
    <s v="23-01-2022"/>
    <n v="0"/>
    <d v="2022-02-02T00:00:00"/>
    <x v="0"/>
    <m/>
    <m/>
    <m/>
  </r>
  <r>
    <s v="Smartclip"/>
    <s v="Not a Customer"/>
    <s v="No growth Potential"/>
    <s v="Roman Nacha"/>
    <x v="0"/>
    <x v="73"/>
    <n v="203733"/>
    <d v="2022-11-01T00:00:00"/>
    <n v="0"/>
    <d v="2022-02-03T00:00:00"/>
    <x v="0"/>
    <m/>
    <m/>
    <m/>
  </r>
  <r>
    <s v="Gesintur"/>
    <s v="Not a Customer"/>
    <s v="No growth Potential"/>
    <s v="Roman Nacha"/>
    <x v="0"/>
    <x v="9"/>
    <n v="172921"/>
    <d v="2022-03-09T00:00:00"/>
    <n v="0"/>
    <d v="2022-02-11T00:00:00"/>
    <x v="0"/>
    <m/>
    <m/>
    <m/>
  </r>
  <r>
    <s v="LogicaNova"/>
    <s v="Not a Customer"/>
    <s v="Medium Growth"/>
    <s v="Roman Nacha"/>
    <x v="2"/>
    <x v="74"/>
    <n v="56858"/>
    <s v="23-05-2022"/>
    <n v="0"/>
    <d v="2022-02-06T00:00:00"/>
    <x v="0"/>
    <m/>
    <m/>
    <m/>
  </r>
  <r>
    <s v="PARATY HOTELES SLFranz"/>
    <s v="Not a Customer"/>
    <s v="No growth Potential"/>
    <s v="Roman Nacha"/>
    <x v="0"/>
    <x v="48"/>
    <n v="70969"/>
    <s v="22-08-2021"/>
    <n v="0"/>
    <d v="2021-01-09T00:00:00"/>
    <x v="5"/>
    <m/>
    <m/>
    <m/>
  </r>
  <r>
    <s v="Buy Vip SL"/>
    <s v="Not a Customer"/>
    <s v="No growth Potential"/>
    <s v="Roman Nacha"/>
    <x v="0"/>
    <x v="75"/>
    <n v="100034"/>
    <s v="24-08-2022"/>
    <n v="0"/>
    <d v="2022-02-11T00:00:00"/>
    <x v="0"/>
    <m/>
    <m/>
    <m/>
  </r>
  <r>
    <s v="Weblogs S.L"/>
    <s v="Not a Customer"/>
    <s v="Medium Growth"/>
    <s v="Roman Nacha"/>
    <x v="0"/>
    <x v="3"/>
    <n v="107069"/>
    <d v="2022-03-10T00:00:00"/>
    <n v="0"/>
    <d v="2022-02-11T00:00:00"/>
    <x v="0"/>
    <m/>
    <m/>
    <m/>
  </r>
  <r>
    <s v="tsys cursos"/>
    <s v="Not a Customer"/>
    <s v="Medium Growth"/>
    <s v="Roman Nacha"/>
    <x v="0"/>
    <x v="76"/>
    <n v="143517"/>
    <d v="2022-03-10T00:00:00"/>
    <n v="0"/>
    <d v="2022-02-11T00:00:00"/>
    <x v="0"/>
    <m/>
    <m/>
    <m/>
  </r>
  <r>
    <s v="ALMACENES NUMERO 1"/>
    <s v="Not a Customer"/>
    <s v="No growth Potential"/>
    <s v="Roman Nacha"/>
    <x v="0"/>
    <x v="77"/>
    <n v="58504"/>
    <d v="2022-03-10T00:00:00"/>
    <n v="0"/>
    <d v="2022-02-11T00:00:00"/>
    <x v="0"/>
    <m/>
    <m/>
    <m/>
  </r>
  <r>
    <s v="Xplain"/>
    <s v="Not a Customer"/>
    <s v="No growth Potential"/>
    <s v="Roman Nacha"/>
    <x v="0"/>
    <x v="9"/>
    <n v="95966"/>
    <s v="22-01-2022"/>
    <n v="0"/>
    <d v="2022-02-04T00:00:00"/>
    <x v="0"/>
    <m/>
    <m/>
    <m/>
  </r>
  <r>
    <s v="ISASTUR SERVICIOS"/>
    <s v="Not a Customer"/>
    <s v="No growth Potential"/>
    <s v="Roman Nacha"/>
    <x v="0"/>
    <x v="78"/>
    <n v="54725"/>
    <s v="13-10-2022"/>
    <n v="0"/>
    <d v="2022-02-11T00:00:00"/>
    <x v="0"/>
    <m/>
    <m/>
    <m/>
  </r>
  <r>
    <s v="CCOO de Catalunya"/>
    <s v="Not a Customer"/>
    <s v="No growth Potential"/>
    <s v="Roman Nacha"/>
    <x v="0"/>
    <x v="9"/>
    <n v="147868"/>
    <s v="24-07-2022"/>
    <n v="0"/>
    <d v="2022-02-10T00:00:00"/>
    <x v="0"/>
    <m/>
    <m/>
    <m/>
  </r>
  <r>
    <s v="T-Systems Italia S.p.A."/>
    <s v="Not a Customer"/>
    <s v="No growth Potential"/>
    <s v="Roman Nacha"/>
    <x v="2"/>
    <x v="79"/>
    <n v="112714"/>
    <s v="24-10-2022"/>
    <n v="0"/>
    <d v="2023-02-01T00:00:00"/>
    <x v="2"/>
    <m/>
    <m/>
    <m/>
  </r>
  <r>
    <s v="Adveo"/>
    <s v="Not a Customer"/>
    <s v="No growth Potential"/>
    <s v="Roman Nacha"/>
    <x v="0"/>
    <x v="9"/>
    <n v="74208"/>
    <s v="24-08-2022"/>
    <n v="0"/>
    <d v="2022-02-11T00:00:00"/>
    <x v="0"/>
    <m/>
    <m/>
    <m/>
  </r>
  <r>
    <s v="Ricon Group"/>
    <s v="Not a Customer"/>
    <s v="No growth Potential"/>
    <s v="Roman Nacha"/>
    <x v="1"/>
    <x v="9"/>
    <n v="90068"/>
    <s v="23-10-2022"/>
    <n v="0"/>
    <d v="2022-02-11T00:00:00"/>
    <x v="0"/>
    <m/>
    <m/>
    <m/>
  </r>
  <r>
    <s v="Telefonica Cuenta Agregada 2 Public Sector"/>
    <s v="Active Customer"/>
    <s v="High Growth potential"/>
    <s v="Roman Nacha"/>
    <x v="0"/>
    <x v="9"/>
    <n v="80085"/>
    <d v="2022-11-09T00:00:00"/>
    <n v="10011"/>
    <d v="2022-11-10T00:00:00"/>
    <x v="1"/>
    <m/>
    <m/>
    <m/>
  </r>
  <r>
    <s v="Buckerbook"/>
    <s v="Not a Customer"/>
    <s v="No growth Potential"/>
    <s v="Roman Nacha"/>
    <x v="0"/>
    <x v="9"/>
    <n v="157857"/>
    <s v="23-10-2022"/>
    <n v="0"/>
    <d v="2022-02-11T00:00:00"/>
    <x v="0"/>
    <m/>
    <m/>
    <m/>
  </r>
  <r>
    <s v="modalia.com"/>
    <s v="Not a Customer"/>
    <s v="No growth Potential"/>
    <s v="Roman Nacha"/>
    <x v="0"/>
    <x v="80"/>
    <n v="88677"/>
    <d v="2022-01-02T00:00:00"/>
    <n v="0"/>
    <d v="2022-02-04T00:00:00"/>
    <x v="0"/>
    <m/>
    <m/>
    <m/>
  </r>
  <r>
    <s v="Actiu Berbegal Y Formas Sa"/>
    <s v="Not a Customer"/>
    <s v="No growth Potential"/>
    <s v="Roman Nacha"/>
    <x v="0"/>
    <x v="81"/>
    <n v="203793"/>
    <s v="13-12-2022"/>
    <n v="0"/>
    <d v="2023-02-01T00:00:00"/>
    <x v="2"/>
    <m/>
    <m/>
    <m/>
  </r>
  <r>
    <s v="Mascoteros"/>
    <s v="Not a Customer"/>
    <s v="No growth Potential"/>
    <s v="Roman Nacha"/>
    <x v="0"/>
    <x v="9"/>
    <n v="55037"/>
    <s v="23-01-2022"/>
    <n v="0"/>
    <d v="2022-02-02T00:00:00"/>
    <x v="0"/>
    <m/>
    <m/>
    <m/>
  </r>
  <r>
    <s v="Sermicro"/>
    <s v="Not a Customer"/>
    <s v="No growth Potential"/>
    <s v="Roman Nacha"/>
    <x v="0"/>
    <x v="9"/>
    <n v="106786"/>
    <s v="13-10-2022"/>
    <n v="0"/>
    <d v="2022-02-11T00:00:00"/>
    <x v="0"/>
    <m/>
    <m/>
    <m/>
  </r>
  <r>
    <s v="Barcelona Turisme"/>
    <s v="Not a Customer"/>
    <s v="Medium Growth"/>
    <s v="Roman Nacha"/>
    <x v="0"/>
    <x v="0"/>
    <n v="83160"/>
    <s v="23-01-2022"/>
    <n v="0"/>
    <d v="2022-02-02T00:00:00"/>
    <x v="0"/>
    <m/>
    <m/>
    <m/>
  </r>
  <r>
    <s v="Indra Elecciones Arg"/>
    <s v="Not a Customer"/>
    <s v="No growth Potential"/>
    <s v="Roman Nacha"/>
    <x v="0"/>
    <x v="9"/>
    <n v="137608"/>
    <s v="13-03-2022"/>
    <n v="0"/>
    <d v="2022-02-05T00:00:00"/>
    <x v="0"/>
    <m/>
    <m/>
    <m/>
  </r>
  <r>
    <s v="Nectar"/>
    <s v="Not a Customer"/>
    <s v="No growth Potential"/>
    <s v="Roman Nacha"/>
    <x v="0"/>
    <x v="3"/>
    <n v="157835"/>
    <s v="23-03-2022"/>
    <n v="0"/>
    <d v="2022-02-05T00:00:00"/>
    <x v="0"/>
    <m/>
    <m/>
    <m/>
  </r>
  <r>
    <s v="Mr.Wonderful"/>
    <s v="Not a Customer"/>
    <s v="No growth Potential"/>
    <s v="Roman Nacha"/>
    <x v="0"/>
    <x v="9"/>
    <n v="187470"/>
    <s v="23-10-2022"/>
    <n v="0"/>
    <d v="2022-02-11T00:00:00"/>
    <x v="0"/>
    <m/>
    <m/>
    <m/>
  </r>
  <r>
    <s v="Interxion Espana S.L."/>
    <s v="Not a Customer"/>
    <s v="No growth Potential"/>
    <s v="Roman Nacha"/>
    <x v="0"/>
    <x v="3"/>
    <n v="102196"/>
    <d v="2022-04-12T00:00:00"/>
    <n v="0"/>
    <d v="2023-02-02T00:00:00"/>
    <x v="2"/>
    <m/>
    <m/>
    <m/>
  </r>
  <r>
    <s v="La Ciudad Interactiva S.A."/>
    <s v="Not a Customer"/>
    <s v="No growth Potential"/>
    <s v="Roman Nacha"/>
    <x v="0"/>
    <x v="3"/>
    <n v="100539"/>
    <s v="24-12-2021"/>
    <n v="0"/>
    <d v="2022-02-02T00:00:00"/>
    <x v="0"/>
    <m/>
    <m/>
    <m/>
  </r>
  <r>
    <s v="remsa"/>
    <s v="Not a Customer"/>
    <s v="No growth Potential"/>
    <s v="Roman Nacha"/>
    <x v="0"/>
    <x v="9"/>
    <n v="76925"/>
    <d v="2022-03-03T00:00:00"/>
    <n v="0"/>
    <d v="2022-02-05T00:00:00"/>
    <x v="0"/>
    <m/>
    <m/>
    <m/>
  </r>
  <r>
    <s v="Instituto de Empresa S.L."/>
    <s v="Active Customer"/>
    <s v="High Growth potential"/>
    <s v="Roman Nacha"/>
    <x v="0"/>
    <x v="3"/>
    <n v="110085"/>
    <d v="2021-07-08T00:00:00"/>
    <n v="110085"/>
    <s v="16-09-2021"/>
    <x v="6"/>
    <m/>
    <m/>
    <m/>
  </r>
  <r>
    <s v="Minube"/>
    <s v="Active Customer"/>
    <s v="Medium Growth"/>
    <s v="Roman Nacha"/>
    <x v="0"/>
    <x v="82"/>
    <n v="83580"/>
    <d v="2022-06-09T00:00:00"/>
    <n v="41790"/>
    <d v="2022-05-11T00:00:00"/>
    <x v="4"/>
    <m/>
    <m/>
    <m/>
  </r>
  <r>
    <s v="Indra Elecciones Pais Vasco"/>
    <s v="Not a Customer"/>
    <s v="No growth Potential"/>
    <s v="Roman Nacha"/>
    <x v="0"/>
    <x v="9"/>
    <m/>
    <s v="22-04-2022"/>
    <n v="0"/>
    <d v="2022-02-05T00:00:00"/>
    <x v="0"/>
    <m/>
    <m/>
    <m/>
  </r>
  <r>
    <s v="Catalonia Hotels &amp; Resorts"/>
    <s v="Not a Customer"/>
    <s v="No growth Potential"/>
    <s v="Roman Nacha"/>
    <x v="0"/>
    <x v="0"/>
    <n v="42045"/>
    <s v="13-01-2022"/>
    <n v="0"/>
    <d v="2022-02-02T00:00:00"/>
    <x v="0"/>
    <m/>
    <m/>
    <m/>
  </r>
  <r>
    <s v="Parlamento de Galicia"/>
    <s v="Active Customer"/>
    <s v="High Growth potential"/>
    <s v="Roman Nacha"/>
    <x v="0"/>
    <x v="83"/>
    <n v="72988"/>
    <s v="13-02-2022"/>
    <n v="4055"/>
    <s v="23-02-2022"/>
    <x v="0"/>
    <m/>
    <m/>
    <m/>
  </r>
  <r>
    <s v="Unipost S.A."/>
    <s v="Not a Customer"/>
    <s v="No growth Potential"/>
    <s v="Roman Nacha"/>
    <x v="0"/>
    <x v="0"/>
    <n v="203733"/>
    <s v="24-08-2022"/>
    <n v="0"/>
    <d v="2022-02-11T00:00:00"/>
    <x v="0"/>
    <m/>
    <m/>
    <m/>
  </r>
  <r>
    <s v="Redsys España"/>
    <s v="Not a Customer"/>
    <s v="No growth Potential"/>
    <s v="Roman Nacha"/>
    <x v="0"/>
    <x v="3"/>
    <n v="172921"/>
    <s v="23-10-2022"/>
    <n v="0"/>
    <d v="2022-02-11T00:00:00"/>
    <x v="0"/>
    <m/>
    <m/>
    <m/>
  </r>
  <r>
    <s v="Hoteles Viva"/>
    <s v="Not a Customer"/>
    <s v="No growth Potential"/>
    <s v="Roman Nacha"/>
    <x v="0"/>
    <x v="84"/>
    <n v="56858"/>
    <d v="2022-02-11T00:00:00"/>
    <n v="0"/>
    <d v="2022-02-12T00:00:00"/>
    <x v="0"/>
    <m/>
    <m/>
    <m/>
  </r>
  <r>
    <s v="EDISA SISTEMAS DE INFORMACION S.A."/>
    <s v="Not a Customer"/>
    <s v="No growth Potential"/>
    <s v="Roman Nacha"/>
    <x v="0"/>
    <x v="9"/>
    <n v="76983"/>
    <s v="24-08-2022"/>
    <n v="0"/>
    <d v="2022-02-11T00:00:00"/>
    <x v="0"/>
    <m/>
    <m/>
    <m/>
  </r>
  <r>
    <s v="Caja de Ingenieros"/>
    <s v="Not a Customer"/>
    <s v="No growth Potential"/>
    <s v="Roman Nacha"/>
    <x v="0"/>
    <x v="9"/>
    <n v="43881"/>
    <s v="23-01-2022"/>
    <n v="0"/>
    <d v="2022-02-02T00:00:00"/>
    <x v="0"/>
    <m/>
    <m/>
    <m/>
  </r>
  <r>
    <s v="Brac Saajan Spain"/>
    <s v="Not a Customer"/>
    <s v="No growth Potential"/>
    <s v="Roman Nacha"/>
    <x v="0"/>
    <x v="9"/>
    <n v="88013"/>
    <d v="2022-10-02T00:00:00"/>
    <n v="0"/>
    <d v="2022-02-03T00:00:00"/>
    <x v="0"/>
    <m/>
    <m/>
    <m/>
  </r>
  <r>
    <s v="Sata"/>
    <s v="Not a Customer"/>
    <s v="No growth Potential"/>
    <s v="Roman Nacha"/>
    <x v="1"/>
    <x v="85"/>
    <n v="92126"/>
    <s v="23-01-2022"/>
    <n v="0"/>
    <d v="2022-02-02T00:00:00"/>
    <x v="0"/>
    <m/>
    <m/>
    <m/>
  </r>
  <r>
    <s v="Ticket Bureau"/>
    <s v="Active Customer"/>
    <s v="Medium Growth"/>
    <s v="Roman Nacha"/>
    <x v="0"/>
    <x v="0"/>
    <n v="106692"/>
    <s v="25-11-2022"/>
    <n v="53346"/>
    <d v="2022-05-12T00:00:00"/>
    <x v="4"/>
    <m/>
    <m/>
    <m/>
  </r>
  <r>
    <s v="E Shop - Granada"/>
    <s v="Not a Customer"/>
    <s v="No growth Potential"/>
    <s v="Roman Nacha"/>
    <x v="0"/>
    <x v="12"/>
    <n v="133858"/>
    <s v="23-09-2022"/>
    <n v="0"/>
    <d v="2022-02-12T00:00:00"/>
    <x v="0"/>
    <m/>
    <m/>
    <m/>
  </r>
  <r>
    <s v="JobisJob S.L."/>
    <s v="Not a Customer"/>
    <s v="No growth Potential"/>
    <s v="Roman Nacha"/>
    <x v="0"/>
    <x v="27"/>
    <n v="368455"/>
    <s v="24-08-2022"/>
    <n v="0"/>
    <d v="2022-02-11T00:00:00"/>
    <x v="0"/>
    <m/>
    <m/>
    <m/>
  </r>
  <r>
    <s v="Philips"/>
    <s v="Not a Customer"/>
    <s v="No growth Potential"/>
    <s v="Roman Nacha"/>
    <x v="0"/>
    <x v="9"/>
    <n v="107211"/>
    <s v="13-09-2022"/>
    <n v="0"/>
    <d v="2022-02-11T00:00:00"/>
    <x v="0"/>
    <m/>
    <m/>
    <m/>
  </r>
  <r>
    <s v="Soppiday"/>
    <s v="Not a Customer"/>
    <s v="No growth Potential"/>
    <s v="Roman Nacha"/>
    <x v="0"/>
    <x v="9"/>
    <n v="115087"/>
    <d v="2022-02-06T00:00:00"/>
    <n v="0"/>
    <d v="2022-02-07T00:00:00"/>
    <x v="0"/>
    <m/>
    <m/>
    <m/>
  </r>
  <r>
    <s v="KUKA Iberia S.A.U."/>
    <s v="Not a Customer"/>
    <s v="No growth Potential"/>
    <s v="Roman Nacha"/>
    <x v="0"/>
    <x v="0"/>
    <n v="104166"/>
    <d v="2022-03-10T00:00:00"/>
    <n v="0"/>
    <d v="2022-02-11T00:00:00"/>
    <x v="0"/>
    <m/>
    <m/>
    <m/>
  </r>
  <r>
    <s v="ANACOM"/>
    <s v="Not a Customer"/>
    <s v="No growth Potential"/>
    <s v="Roman Nacha"/>
    <x v="1"/>
    <x v="86"/>
    <n v="143497"/>
    <d v="2022-03-09T00:00:00"/>
    <n v="0"/>
    <d v="2022-02-11T00:00:00"/>
    <x v="0"/>
    <m/>
    <m/>
    <m/>
  </r>
  <r>
    <s v="Indra Elecciones Municipales"/>
    <s v="Not a Customer"/>
    <s v="No growth Potential"/>
    <s v="Roman Nacha"/>
    <x v="0"/>
    <x v="9"/>
    <n v="127427"/>
    <d v="2022-12-04T00:00:00"/>
    <n v="0"/>
    <d v="2022-02-05T00:00:00"/>
    <x v="0"/>
    <m/>
    <m/>
    <m/>
  </r>
  <r>
    <s v="Evolution Iberica"/>
    <s v="Not a Customer"/>
    <s v="No growth Potential"/>
    <s v="Roman Nacha"/>
    <x v="0"/>
    <x v="0"/>
    <n v="355370"/>
    <s v="13-03-2023"/>
    <n v="0"/>
    <d v="2023-02-05T00:00:00"/>
    <x v="2"/>
    <m/>
    <m/>
    <m/>
  </r>
  <r>
    <s v="Grupalia Internet S.A."/>
    <s v="Not a Customer"/>
    <s v="No growth Potential"/>
    <s v="Roman Nacha"/>
    <x v="0"/>
    <x v="3"/>
    <n v="191190"/>
    <d v="2022-02-04T00:00:00"/>
    <n v="0"/>
    <d v="2022-02-05T00:00:00"/>
    <x v="0"/>
    <m/>
    <m/>
    <m/>
  </r>
  <r>
    <s v="ALSA"/>
    <s v="Active Customer"/>
    <s v="High Growth potential"/>
    <s v="Roman Nacha"/>
    <x v="0"/>
    <x v="3"/>
    <n v="209817"/>
    <s v="28-09-2022"/>
    <n v="104909"/>
    <s v="17-11-2022"/>
    <x v="1"/>
    <m/>
    <m/>
    <m/>
  </r>
  <r>
    <s v="INFUN GROUP"/>
    <s v="Not a Customer"/>
    <s v="No growth Potential"/>
    <s v="Roman Nacha"/>
    <x v="0"/>
    <x v="87"/>
    <n v="49625"/>
    <s v="13-09-2022"/>
    <n v="0"/>
    <d v="2022-02-11T00:00:00"/>
    <x v="0"/>
    <m/>
    <m/>
    <m/>
  </r>
  <r>
    <s v="AlterKeys"/>
    <s v="Not a Customer"/>
    <s v="No growth Potential"/>
    <s v="Roman Nacha"/>
    <x v="0"/>
    <x v="9"/>
    <n v="101488"/>
    <d v="2022-03-10T00:00:00"/>
    <n v="0"/>
    <d v="2022-02-11T00:00:00"/>
    <x v="0"/>
    <m/>
    <m/>
    <m/>
  </r>
  <r>
    <s v="Tous"/>
    <s v="Active Customer"/>
    <s v="High Growth potential"/>
    <s v="Roman Nacha"/>
    <x v="0"/>
    <x v="88"/>
    <n v="101400"/>
    <d v="2022-08-09T00:00:00"/>
    <n v="50700"/>
    <s v="17-11-2022"/>
    <x v="1"/>
    <m/>
    <m/>
    <m/>
  </r>
  <r>
    <s v="Jaso Equipos de Obras y Cnes. S.L."/>
    <s v="Not a Customer"/>
    <s v="No growth Potential"/>
    <s v="Roman Nacha"/>
    <x v="0"/>
    <x v="9"/>
    <n v="67715"/>
    <s v="24-12-2021"/>
    <n v="0"/>
    <d v="2022-02-02T00:00:00"/>
    <x v="0"/>
    <m/>
    <m/>
    <m/>
  </r>
  <r>
    <s v="Indra TI"/>
    <s v="Not a Customer"/>
    <s v="No growth Potential"/>
    <s v="Roman Nacha"/>
    <x v="0"/>
    <x v="7"/>
    <n v="80523"/>
    <s v="13-03-2022"/>
    <n v="0"/>
    <d v="2022-02-05T00:00:00"/>
    <x v="0"/>
    <m/>
    <m/>
    <m/>
  </r>
  <r>
    <s v="MTNG Experience (MUSTANG)"/>
    <s v="Not a Customer"/>
    <s v="No growth Potential"/>
    <s v="Roman Nacha"/>
    <x v="0"/>
    <x v="89"/>
    <n v="67742"/>
    <d v="2022-03-09T00:00:00"/>
    <n v="0"/>
    <d v="2022-02-11T00:00:00"/>
    <x v="0"/>
    <m/>
    <m/>
    <m/>
  </r>
  <r>
    <s v="Sagaci Research"/>
    <s v="Not a Customer"/>
    <s v="No growth Potential"/>
    <s v="Roman Nacha"/>
    <x v="0"/>
    <x v="0"/>
    <n v="96217"/>
    <s v="24-11-2021"/>
    <n v="0"/>
    <d v="2022-02-02T00:00:00"/>
    <x v="0"/>
    <m/>
    <m/>
    <m/>
  </r>
  <r>
    <s v="Eurest Colectividades Sl"/>
    <s v="Not a Customer"/>
    <s v="No growth Potential"/>
    <s v="Roman Nacha"/>
    <x v="0"/>
    <x v="3"/>
    <n v="90293"/>
    <s v="13-04-2023"/>
    <n v="0"/>
    <d v="2023-02-06T00:00:00"/>
    <x v="2"/>
    <m/>
    <m/>
    <m/>
  </r>
  <r>
    <s v="AMC GRUPO ALIMENTACION FRESCO Y ZUMOS S.A."/>
    <s v="Not a Customer"/>
    <s v="No growth Potential"/>
    <s v="Roman Nacha"/>
    <x v="0"/>
    <x v="90"/>
    <n v="270429"/>
    <s v="13-10-2022"/>
    <n v="0"/>
    <d v="2022-02-11T00:00:00"/>
    <x v="0"/>
    <m/>
    <m/>
    <m/>
  </r>
  <r>
    <s v="Eurekakids"/>
    <s v="Not a Customer"/>
    <s v="No growth Potential"/>
    <s v="Roman Nacha"/>
    <x v="0"/>
    <x v="91"/>
    <n v="63020"/>
    <s v="13-04-2022"/>
    <n v="0"/>
    <d v="2022-02-06T00:00:00"/>
    <x v="0"/>
    <m/>
    <m/>
    <m/>
  </r>
  <r>
    <s v="Napptilus Tech Labs"/>
    <s v="Not a Customer"/>
    <s v="No growth Potential"/>
    <s v="Roman Nacha"/>
    <x v="0"/>
    <x v="0"/>
    <n v="71125"/>
    <s v="24-12-2021"/>
    <n v="0"/>
    <d v="2022-02-02T00:00:00"/>
    <x v="0"/>
    <m/>
    <m/>
    <m/>
  </r>
  <r>
    <s v="Ministerio de Educación Cultura y Deporte"/>
    <s v="Not a Customer"/>
    <s v="No growth Potential"/>
    <s v="Roman Nacha"/>
    <x v="0"/>
    <x v="9"/>
    <n v="48820"/>
    <d v="2021-12-06T00:00:00"/>
    <n v="0"/>
    <d v="2021-01-08T00:00:00"/>
    <x v="5"/>
    <m/>
    <m/>
    <m/>
  </r>
  <r>
    <s v="Alestis Aerospace"/>
    <s v="Not a Customer"/>
    <s v="No growth Potential"/>
    <s v="Roman Nacha"/>
    <x v="0"/>
    <x v="9"/>
    <n v="118761"/>
    <s v="21-01-2023"/>
    <n v="0"/>
    <d v="2023-02-03T00:00:00"/>
    <x v="2"/>
    <m/>
    <m/>
    <m/>
  </r>
  <r>
    <s v="ATLANTIC COPPER S.L.U."/>
    <s v="Not a Customer"/>
    <s v="No growth Potential"/>
    <s v="Roman Nacha"/>
    <x v="0"/>
    <x v="92"/>
    <n v="74208"/>
    <d v="2022-03-09T00:00:00"/>
    <n v="0"/>
    <d v="2022-02-11T00:00:00"/>
    <x v="0"/>
    <m/>
    <m/>
    <m/>
  </r>
  <r>
    <s v="AMICHI"/>
    <s v="Not a Customer"/>
    <s v="No growth Potential"/>
    <s v="Roman Nacha"/>
    <x v="0"/>
    <x v="73"/>
    <n v="62337"/>
    <s v="13-09-2022"/>
    <n v="0"/>
    <d v="2022-02-11T00:00:00"/>
    <x v="0"/>
    <m/>
    <m/>
    <m/>
  </r>
  <r>
    <s v="CASE on IT"/>
    <s v="Not a Customer"/>
    <s v="No growth Potential"/>
    <s v="Roman Nacha"/>
    <x v="0"/>
    <x v="3"/>
    <n v="143588"/>
    <s v="23-09-2022"/>
    <n v="0"/>
    <d v="2022-02-11T00:00:00"/>
    <x v="0"/>
    <m/>
    <m/>
    <m/>
  </r>
  <r>
    <s v="Ontecnia"/>
    <s v="Active Customer"/>
    <s v="High Growth potential"/>
    <s v="Roman Nacha"/>
    <x v="0"/>
    <x v="51"/>
    <n v="61002"/>
    <d v="2022-06-07T00:00:00"/>
    <n v="8715"/>
    <d v="2022-05-08T00:00:00"/>
    <x v="4"/>
    <m/>
    <m/>
    <m/>
  </r>
  <r>
    <s v="Digital You"/>
    <s v="Not a Customer"/>
    <s v="No growth Potential"/>
    <s v="Roman Nacha"/>
    <x v="0"/>
    <x v="9"/>
    <n v="109980"/>
    <d v="2022-03-04T00:00:00"/>
    <n v="0"/>
    <d v="2022-02-06T00:00:00"/>
    <x v="0"/>
    <m/>
    <m/>
    <m/>
  </r>
  <r>
    <s v="Ilunion"/>
    <s v="Not a Customer"/>
    <s v="No growth Potential"/>
    <s v="Roman Nacha"/>
    <x v="0"/>
    <x v="9"/>
    <n v="106526"/>
    <s v="23-09-2022"/>
    <n v="0"/>
    <d v="2022-02-11T00:00:00"/>
    <x v="0"/>
    <m/>
    <m/>
    <m/>
  </r>
  <r>
    <s v="Tolsa SA"/>
    <s v="Not a Customer"/>
    <s v="No growth Potential"/>
    <s v="Roman Nacha"/>
    <x v="0"/>
    <x v="3"/>
    <n v="70969"/>
    <d v="2022-03-03T00:00:00"/>
    <n v="0"/>
    <d v="2022-02-05T00:00:00"/>
    <x v="0"/>
    <m/>
    <m/>
    <m/>
  </r>
  <r>
    <s v="Miquel Alimentacio Grup"/>
    <s v="Not a Customer"/>
    <s v="No growth Potential"/>
    <s v="Roman Nacha"/>
    <x v="0"/>
    <x v="93"/>
    <n v="100034"/>
    <d v="2023-01-01T00:00:00"/>
    <n v="0"/>
    <d v="2023-02-03T00:00:00"/>
    <x v="2"/>
    <m/>
    <m/>
    <m/>
  </r>
  <r>
    <s v="NAE Comunicacions"/>
    <s v="Not a Customer"/>
    <s v="No growth Potential"/>
    <s v="Roman Nacha"/>
    <x v="0"/>
    <x v="0"/>
    <n v="107069"/>
    <d v="2022-02-11T00:00:00"/>
    <n v="0"/>
    <d v="2022-02-12T00:00:00"/>
    <x v="0"/>
    <m/>
    <m/>
    <m/>
  </r>
  <r>
    <s v="UniqueGate"/>
    <s v="Not a Customer"/>
    <s v="No growth Potential"/>
    <s v="Roman Nacha"/>
    <x v="1"/>
    <x v="9"/>
    <n v="143517"/>
    <s v="24-05-2022"/>
    <n v="0"/>
    <d v="2022-02-08T00:00:00"/>
    <x v="0"/>
    <m/>
    <m/>
    <m/>
  </r>
  <r>
    <s v="ABAMOBILE SOLUTIONS SLU"/>
    <s v="Not a Customer"/>
    <s v="No growth Potential"/>
    <s v="Roman Nacha"/>
    <x v="0"/>
    <x v="94"/>
    <n v="58504"/>
    <s v="23-09-2022"/>
    <n v="0"/>
    <d v="2022-02-11T00:00:00"/>
    <x v="0"/>
    <m/>
    <m/>
    <m/>
  </r>
  <r>
    <s v="DISTRICENTER S.A."/>
    <s v="Not a Customer"/>
    <s v="No growth Potential"/>
    <s v="Roman Nacha"/>
    <x v="0"/>
    <x v="0"/>
    <n v="95966"/>
    <s v="24-08-2022"/>
    <n v="0"/>
    <d v="2022-02-11T00:00:00"/>
    <x v="0"/>
    <m/>
    <m/>
    <m/>
  </r>
  <r>
    <s v="FUERTE HOTELES"/>
    <s v="Active Customer"/>
    <s v="High Growth potential"/>
    <s v="Roman Nacha"/>
    <x v="0"/>
    <x v="95"/>
    <n v="54725"/>
    <s v="16-10-2022"/>
    <n v="27362"/>
    <d v="2022-05-11T00:00:00"/>
    <x v="4"/>
    <m/>
    <m/>
    <m/>
  </r>
  <r>
    <s v="Addilate"/>
    <s v="Not a Customer"/>
    <s v="No growth Potential"/>
    <s v="Roman Nacha"/>
    <x v="0"/>
    <x v="0"/>
    <n v="147868"/>
    <s v="13-05-2022"/>
    <n v="0"/>
    <d v="2022-02-06T00:00:00"/>
    <x v="0"/>
    <m/>
    <m/>
    <m/>
  </r>
  <r>
    <s v="MEDIABIT EVENT SL"/>
    <s v="Not a Customer"/>
    <s v="No growth Potential"/>
    <s v="Roman Nacha"/>
    <x v="0"/>
    <x v="96"/>
    <n v="112714"/>
    <d v="2022-03-09T00:00:00"/>
    <n v="0"/>
    <d v="2022-02-11T00:00:00"/>
    <x v="0"/>
    <m/>
    <m/>
    <m/>
  </r>
  <r>
    <s v="Everpross S.L."/>
    <s v="Not a Customer"/>
    <s v="No growth Potential"/>
    <s v="Roman Nacha"/>
    <x v="0"/>
    <x v="3"/>
    <n v="74208"/>
    <s v="13-10-2022"/>
    <n v="0"/>
    <d v="2022-02-11T00:00:00"/>
    <x v="0"/>
    <m/>
    <m/>
    <m/>
  </r>
  <r>
    <s v="Nice People At Work"/>
    <s v="Not a Customer"/>
    <s v="No growth Potential"/>
    <s v="Roman Nacha"/>
    <x v="0"/>
    <x v="0"/>
    <n v="90068"/>
    <s v="13-09-2022"/>
    <n v="0"/>
    <d v="2022-02-11T00:00:00"/>
    <x v="0"/>
    <m/>
    <m/>
    <m/>
  </r>
  <r>
    <s v="SAN PATRICK S.L"/>
    <s v="Not a Customer"/>
    <s v="No growth Potential"/>
    <s v="Roman Nacha"/>
    <x v="0"/>
    <x v="97"/>
    <n v="80085"/>
    <s v="13-10-2022"/>
    <n v="0"/>
    <d v="2022-02-11T00:00:00"/>
    <x v="0"/>
    <m/>
    <m/>
    <m/>
  </r>
  <r>
    <s v="Grupo Visabeira"/>
    <s v="Not a Customer"/>
    <s v="No growth Potential"/>
    <s v="Roman Nacha"/>
    <x v="1"/>
    <x v="98"/>
    <n v="157857"/>
    <s v="13-08-2022"/>
    <n v="0"/>
    <d v="2022-02-10T00:00:00"/>
    <x v="0"/>
    <m/>
    <m/>
    <m/>
  </r>
  <r>
    <s v="Eulen S.A."/>
    <s v="Not a Customer"/>
    <s v="No growth Potential"/>
    <s v="Roman Nacha"/>
    <x v="0"/>
    <x v="3"/>
    <n v="88677"/>
    <d v="2022-03-09T00:00:00"/>
    <n v="0"/>
    <d v="2022-02-11T00:00:00"/>
    <x v="0"/>
    <m/>
    <m/>
    <m/>
  </r>
  <r>
    <s v="GENERAL OPTICA S.A."/>
    <s v="Not a Customer"/>
    <s v="No growth Potential"/>
    <s v="Roman Nacha"/>
    <x v="0"/>
    <x v="0"/>
    <n v="203793"/>
    <d v="2022-03-09T00:00:00"/>
    <n v="0"/>
    <d v="2022-02-11T00:00:00"/>
    <x v="0"/>
    <m/>
    <m/>
    <m/>
  </r>
  <r>
    <s v="Amtega Xunta de Galicia"/>
    <s v="Active Customer"/>
    <s v="High Growth potential"/>
    <s v="Roman Nacha"/>
    <x v="0"/>
    <x v="99"/>
    <n v="55037"/>
    <d v="2022-02-05T00:00:00"/>
    <n v="2752"/>
    <d v="2022-11-06T00:00:00"/>
    <x v="1"/>
    <m/>
    <m/>
    <m/>
  </r>
  <r>
    <s v="United Nations Data Cenre"/>
    <s v="Not a Customer"/>
    <s v="No growth Potential"/>
    <s v="Roman Nacha"/>
    <x v="0"/>
    <x v="9"/>
    <n v="106786"/>
    <s v="14-07-2022"/>
    <n v="0"/>
    <d v="2022-02-09T00:00:00"/>
    <x v="0"/>
    <m/>
    <m/>
    <m/>
  </r>
  <r>
    <s v="ARAG"/>
    <s v="Not a Customer"/>
    <s v="No growth Potential"/>
    <s v="Roman Nacha"/>
    <x v="0"/>
    <x v="0"/>
    <n v="83160"/>
    <d v="2022-03-10T00:00:00"/>
    <n v="0"/>
    <d v="2022-02-11T00:00:00"/>
    <x v="0"/>
    <m/>
    <m/>
    <m/>
  </r>
  <r>
    <s v="BlaBlaCar"/>
    <s v="Not a Customer"/>
    <s v="No growth Potential"/>
    <s v="Roman Nacha"/>
    <x v="0"/>
    <x v="9"/>
    <n v="137608"/>
    <d v="2022-10-02T00:00:00"/>
    <n v="0"/>
    <d v="2022-02-03T00:00:00"/>
    <x v="0"/>
    <m/>
    <m/>
    <m/>
  </r>
  <r>
    <s v="CESPA"/>
    <s v="Not a Customer"/>
    <s v="No growth Potential"/>
    <s v="Roman Nacha"/>
    <x v="0"/>
    <x v="9"/>
    <n v="157835"/>
    <s v="23-10-2022"/>
    <n v="0"/>
    <d v="2022-02-11T00:00:00"/>
    <x v="0"/>
    <m/>
    <m/>
    <m/>
  </r>
  <r>
    <s v="de martina"/>
    <s v="Not a Customer"/>
    <s v="No growth Potential"/>
    <s v="Roman Nacha"/>
    <x v="0"/>
    <x v="100"/>
    <n v="187470"/>
    <s v="22-04-2022"/>
    <n v="0"/>
    <d v="2022-02-05T00:00:00"/>
    <x v="0"/>
    <m/>
    <m/>
    <m/>
  </r>
  <r>
    <s v="080 webs"/>
    <s v="Not a Customer"/>
    <s v="No growth Potential"/>
    <s v="Roman Nacha"/>
    <x v="0"/>
    <x v="0"/>
    <n v="102196"/>
    <d v="2022-03-10T00:00:00"/>
    <n v="0"/>
    <d v="2022-02-11T00:00:00"/>
    <x v="0"/>
    <m/>
    <m/>
    <m/>
  </r>
  <r>
    <s v="Lanidor"/>
    <s v="Not a Customer"/>
    <s v="No growth Potential"/>
    <s v="Roman Nacha"/>
    <x v="1"/>
    <x v="101"/>
    <n v="100539"/>
    <s v="23-01-2022"/>
    <n v="0"/>
    <d v="2022-02-02T00:00:00"/>
    <x v="0"/>
    <m/>
    <m/>
    <m/>
  </r>
  <r>
    <s v="The Stikets Company"/>
    <s v="Not a Customer"/>
    <s v="No growth Potential"/>
    <s v="Roman Nacha"/>
    <x v="0"/>
    <x v="9"/>
    <n v="76925"/>
    <d v="2023-03-03T00:00:00"/>
    <n v="0"/>
    <d v="2023-02-05T00:00:00"/>
    <x v="2"/>
    <m/>
    <m/>
    <m/>
  </r>
  <r>
    <s v="Fergus Hotels"/>
    <s v="Not a Customer"/>
    <s v="No growth Potential"/>
    <s v="Roman Nacha"/>
    <x v="0"/>
    <x v="9"/>
    <n v="110085"/>
    <d v="2022-03-09T00:00:00"/>
    <n v="0"/>
    <d v="2022-02-11T00:00:00"/>
    <x v="0"/>
    <m/>
    <m/>
    <m/>
  </r>
  <r>
    <s v="Vallstein"/>
    <s v="Not a Customer"/>
    <s v="No growth Potential"/>
    <s v="Roman Nacha"/>
    <x v="1"/>
    <x v="9"/>
    <n v="83580"/>
    <d v="2021-04-12T00:00:00"/>
    <n v="0"/>
    <d v="2022-02-02T00:00:00"/>
    <x v="0"/>
    <m/>
    <m/>
    <m/>
  </r>
  <r>
    <s v="SKUNKFUNK"/>
    <s v="Not a Customer"/>
    <s v="No growth Potential"/>
    <s v="Roman Nacha"/>
    <x v="0"/>
    <x v="102"/>
    <m/>
    <s v="13-10-2022"/>
    <n v="0"/>
    <d v="2022-02-11T00:00:00"/>
    <x v="0"/>
    <m/>
    <m/>
    <m/>
  </r>
  <r>
    <s v="Cajasur"/>
    <s v="Not a Customer"/>
    <s v="No growth Potential"/>
    <s v="Roman Nacha"/>
    <x v="0"/>
    <x v="9"/>
    <n v="42045"/>
    <s v="23-01-2022"/>
    <n v="0"/>
    <d v="2022-02-02T00:00:00"/>
    <x v="0"/>
    <m/>
    <m/>
    <m/>
  </r>
  <r>
    <s v="INFOSERNT"/>
    <s v="Not a Customer"/>
    <s v="No growth Potential"/>
    <s v="Roman Nacha"/>
    <x v="0"/>
    <x v="9"/>
    <n v="72988"/>
    <s v="13-10-2022"/>
    <n v="0"/>
    <d v="2022-02-11T00:00:00"/>
    <x v="0"/>
    <m/>
    <m/>
    <m/>
  </r>
  <r>
    <s v="BeFactory"/>
    <s v="Not a Customer"/>
    <s v="Medium Growth"/>
    <s v="Roman Nacha"/>
    <x v="0"/>
    <x v="9"/>
    <n v="203733"/>
    <d v="2022-11-02T00:00:00"/>
    <n v="0"/>
    <d v="2022-02-04T00:00:00"/>
    <x v="0"/>
    <m/>
    <m/>
    <m/>
  </r>
  <r>
    <s v="Buywins"/>
    <s v="Not a Customer"/>
    <s v="Medium Growth"/>
    <s v="Roman Nacha"/>
    <x v="0"/>
    <x v="89"/>
    <n v="172921"/>
    <s v="13-09-2022"/>
    <n v="0"/>
    <d v="2022-02-11T00:00:00"/>
    <x v="0"/>
    <m/>
    <m/>
    <m/>
  </r>
  <r>
    <s v="Inforges"/>
    <s v="Not a Customer"/>
    <s v="Medium Growth"/>
    <s v="Roman Nacha"/>
    <x v="0"/>
    <x v="9"/>
    <n v="56858"/>
    <d v="2022-03-09T00:00:00"/>
    <n v="0"/>
    <d v="2022-02-11T00:00:00"/>
    <x v="0"/>
    <m/>
    <m/>
    <m/>
  </r>
  <r>
    <s v="Power8"/>
    <s v="Not a Customer"/>
    <s v="No growth Potential"/>
    <s v="Roman Nacha"/>
    <x v="0"/>
    <x v="0"/>
    <n v="76983"/>
    <s v="23-10-2022"/>
    <n v="0"/>
    <d v="2022-02-11T00:00:00"/>
    <x v="0"/>
    <m/>
    <m/>
    <m/>
  </r>
  <r>
    <s v="Juniper"/>
    <s v="Not a Customer"/>
    <s v="No growth Potential"/>
    <s v="Roman Nacha"/>
    <x v="0"/>
    <x v="103"/>
    <n v="43881"/>
    <s v="23-09-2022"/>
    <n v="0"/>
    <d v="2022-02-11T00:00:00"/>
    <x v="0"/>
    <m/>
    <m/>
    <m/>
  </r>
  <r>
    <s v="Investing PROFit Wisely"/>
    <s v="Not a Customer"/>
    <s v="No growth Potential"/>
    <s v="Roman Nacha"/>
    <x v="0"/>
    <x v="9"/>
    <n v="88013"/>
    <d v="2022-03-09T00:00:00"/>
    <n v="0"/>
    <d v="2022-02-11T00:00:00"/>
    <x v="0"/>
    <m/>
    <m/>
    <m/>
  </r>
  <r>
    <s v="Arcadja"/>
    <s v="Not a Customer"/>
    <s v="No growth Potential"/>
    <s v="Roman Nacha"/>
    <x v="2"/>
    <x v="104"/>
    <n v="92126"/>
    <s v="21-02-2022"/>
    <n v="0"/>
    <d v="2022-02-04T00:00:00"/>
    <x v="0"/>
    <m/>
    <m/>
    <m/>
  </r>
  <r>
    <s v="Digital Studio Tratamiento digital de la imagen S.A."/>
    <s v="Not a Customer"/>
    <s v="No growth Potential"/>
    <s v="Roman Nacha"/>
    <x v="0"/>
    <x v="105"/>
    <n v="106692"/>
    <d v="2022-03-04T00:00:00"/>
    <n v="0"/>
    <d v="2022-02-06T00:00:00"/>
    <x v="0"/>
    <m/>
    <m/>
    <m/>
  </r>
  <r>
    <s v="Aao Optico Sa."/>
    <s v="Not a Customer"/>
    <s v="No growth Potential"/>
    <s v="Roman Nacha"/>
    <x v="0"/>
    <x v="3"/>
    <n v="133858"/>
    <d v="2022-03-01T00:00:00"/>
    <n v="0"/>
    <d v="2022-02-02T00:00:00"/>
    <x v="0"/>
    <m/>
    <m/>
    <m/>
  </r>
  <r>
    <s v="Fagor Electrodomesticos S.Coop."/>
    <s v="Not a Customer"/>
    <s v="No growth Potential"/>
    <s v="Roman Nacha"/>
    <x v="0"/>
    <x v="106"/>
    <n v="368455"/>
    <s v="14-12-2021"/>
    <n v="0"/>
    <d v="2022-02-02T00:00:00"/>
    <x v="0"/>
    <m/>
    <m/>
    <m/>
  </r>
  <r>
    <s v="LINPAC PLASTICS PRAVIA (TERPLA) S.A."/>
    <s v="Not a Customer"/>
    <s v="No growth Potential"/>
    <s v="Roman Nacha"/>
    <x v="0"/>
    <x v="107"/>
    <n v="107211"/>
    <s v="13-09-2022"/>
    <n v="0"/>
    <d v="2022-02-11T00:00:00"/>
    <x v="0"/>
    <m/>
    <m/>
    <m/>
  </r>
  <r>
    <s v="Outletic"/>
    <s v="Not a Customer"/>
    <s v="No growth Potential"/>
    <s v="Roman Nacha"/>
    <x v="0"/>
    <x v="0"/>
    <n v="115087"/>
    <s v="23-09-2022"/>
    <n v="0"/>
    <d v="2022-02-11T00:00:00"/>
    <x v="0"/>
    <m/>
    <m/>
    <m/>
  </r>
  <r>
    <s v="Marriott International Inc. Spain"/>
    <s v="Not a Customer"/>
    <s v="No growth Potential"/>
    <s v="Roman Nacha"/>
    <x v="0"/>
    <x v="9"/>
    <n v="104166"/>
    <s v="24-11-2021"/>
    <n v="0"/>
    <d v="2022-02-02T00:00:00"/>
    <x v="0"/>
    <m/>
    <m/>
    <m/>
  </r>
  <r>
    <s v="BERGE Y CIA S.A (BERGE Y COMPAÑÍA)"/>
    <s v="Not a Customer"/>
    <s v="No growth Potential"/>
    <s v="Roman Nacha"/>
    <x v="0"/>
    <x v="3"/>
    <n v="143497"/>
    <s v="13-10-2022"/>
    <n v="0"/>
    <d v="2022-02-11T00:00:00"/>
    <x v="0"/>
    <m/>
    <m/>
    <m/>
  </r>
  <r>
    <s v="Aernnova"/>
    <s v="Not a Customer"/>
    <s v="No growth Potential"/>
    <s v="Roman Nacha"/>
    <x v="0"/>
    <x v="9"/>
    <n v="127427"/>
    <s v="23-06-2022"/>
    <n v="0"/>
    <d v="2022-02-08T00:00:00"/>
    <x v="0"/>
    <m/>
    <m/>
    <m/>
  </r>
  <r>
    <s v="Doctoralia"/>
    <s v="Not a Customer"/>
    <s v="No growth Potential"/>
    <s v="Roman Nacha"/>
    <x v="0"/>
    <x v="9"/>
    <n v="355370"/>
    <s v="13-05-2022"/>
    <n v="0"/>
    <d v="2022-02-07T00:00:00"/>
    <x v="0"/>
    <m/>
    <m/>
    <m/>
  </r>
  <r>
    <s v="TIREA"/>
    <s v="Not a Customer"/>
    <s v="No growth Potential"/>
    <s v="Roman Nacha"/>
    <x v="0"/>
    <x v="9"/>
    <n v="191190"/>
    <s v="24-08-2022"/>
    <n v="0"/>
    <d v="2022-02-11T00:00:00"/>
    <x v="0"/>
    <m/>
    <m/>
    <m/>
  </r>
  <r>
    <s v="Party Fiesta"/>
    <s v="Not a Customer"/>
    <s v="No growth Potential"/>
    <s v="Roman Nacha"/>
    <x v="0"/>
    <x v="9"/>
    <n v="209817"/>
    <s v="24-11-2021"/>
    <n v="0"/>
    <d v="2022-02-02T00:00:00"/>
    <x v="0"/>
    <m/>
    <m/>
    <m/>
  </r>
  <r>
    <s v="Visualforma-Forma"/>
    <s v="Not a Customer"/>
    <s v="No growth Potential"/>
    <s v="Roman Nacha"/>
    <x v="1"/>
    <x v="49"/>
    <n v="49625"/>
    <s v="23-03-2022"/>
    <n v="0"/>
    <d v="2022-02-05T00:00:00"/>
    <x v="0"/>
    <m/>
    <m/>
    <m/>
  </r>
  <r>
    <s v="La Suite Comunicación"/>
    <s v="Not a Customer"/>
    <s v="No growth Potential"/>
    <s v="Roman Nacha"/>
    <x v="0"/>
    <x v="9"/>
    <n v="101488"/>
    <s v="14-12-2021"/>
    <n v="0"/>
    <d v="2022-02-02T00:00:00"/>
    <x v="0"/>
    <m/>
    <m/>
    <m/>
  </r>
  <r>
    <s v="Grupauto"/>
    <s v="Not a Customer"/>
    <s v="No growth Potential"/>
    <s v="Roman Nacha"/>
    <x v="0"/>
    <x v="9"/>
    <n v="101400"/>
    <d v="2022-12-04T00:00:00"/>
    <n v="0"/>
    <d v="2022-02-05T00:00:00"/>
    <x v="0"/>
    <m/>
    <m/>
    <m/>
  </r>
  <r>
    <s v="Kaizen Networks"/>
    <s v="Not a Customer"/>
    <s v="No growth Potential"/>
    <s v="Roman Nacha"/>
    <x v="0"/>
    <x v="9"/>
    <n v="67715"/>
    <s v="13-01-2022"/>
    <n v="0"/>
    <d v="2022-02-02T00:00:00"/>
    <x v="0"/>
    <m/>
    <m/>
    <m/>
  </r>
  <r>
    <s v="URIACH-AQUILEA OTC S.L. (ESPA?OL)"/>
    <s v="Not a Customer"/>
    <s v="No growth Potential"/>
    <s v="Roman Nacha"/>
    <x v="0"/>
    <x v="0"/>
    <n v="80523"/>
    <s v="23-10-2022"/>
    <n v="0"/>
    <d v="2022-02-11T00:00:00"/>
    <x v="0"/>
    <m/>
    <m/>
    <m/>
  </r>
  <r>
    <s v="Club La Costa Spain"/>
    <s v="Not a Customer"/>
    <s v="No growth Potential"/>
    <s v="Roman Nacha"/>
    <x v="0"/>
    <x v="9"/>
    <n v="67742"/>
    <d v="2022-12-06T00:00:00"/>
    <n v="0"/>
    <d v="2022-02-07T00:00:00"/>
    <x v="0"/>
    <m/>
    <m/>
    <m/>
  </r>
  <r>
    <s v="Asociación Nacional Emprender en España"/>
    <s v="Not a Customer"/>
    <s v="No growth Potential"/>
    <s v="Roman Nacha"/>
    <x v="0"/>
    <x v="9"/>
    <n v="96217"/>
    <s v="13-05-2022"/>
    <n v="0"/>
    <d v="2022-02-06T00:00:00"/>
    <x v="0"/>
    <m/>
    <m/>
    <m/>
  </r>
  <r>
    <s v="Eelp!"/>
    <s v="Not a Customer"/>
    <s v="No growth Potential"/>
    <s v="Roman Nacha"/>
    <x v="0"/>
    <x v="9"/>
    <n v="90293"/>
    <s v="13-10-2022"/>
    <n v="0"/>
    <d v="2022-02-11T00:00:00"/>
    <x v="0"/>
    <m/>
    <m/>
    <m/>
  </r>
  <r>
    <s v="Autodescuento.es"/>
    <s v="Not a Customer"/>
    <s v="No growth Potential"/>
    <s v="Roman Nacha"/>
    <x v="0"/>
    <x v="3"/>
    <n v="270429"/>
    <s v="23-10-2022"/>
    <n v="0"/>
    <d v="2022-02-11T00:00:00"/>
    <x v="0"/>
    <m/>
    <m/>
    <m/>
  </r>
  <r>
    <s v="Ohlala Mobile SL"/>
    <s v="Not a Customer"/>
    <s v="No growth Potential"/>
    <s v="Roman Nacha"/>
    <x v="0"/>
    <x v="3"/>
    <n v="63020"/>
    <d v="2022-03-03T00:00:00"/>
    <n v="0"/>
    <d v="2022-02-04T00:00:00"/>
    <x v="0"/>
    <m/>
    <m/>
    <m/>
  </r>
  <r>
    <s v="Carnes Selectas 2000 S.A"/>
    <s v="Not a Customer"/>
    <s v="Medium Growth"/>
    <s v="Roman Nacha"/>
    <x v="0"/>
    <x v="108"/>
    <n v="71125"/>
    <s v="24-12-2021"/>
    <n v="0"/>
    <d v="2022-02-02T00:00:00"/>
    <x v="0"/>
    <m/>
    <m/>
    <m/>
  </r>
  <r>
    <s v="Fotoprix"/>
    <s v="Not a Customer"/>
    <s v="No growth Potential"/>
    <s v="Roman Nacha"/>
    <x v="0"/>
    <x v="0"/>
    <n v="48820"/>
    <s v="13-09-2022"/>
    <n v="0"/>
    <d v="2022-02-11T00:00:00"/>
    <x v="0"/>
    <m/>
    <m/>
    <m/>
  </r>
  <r>
    <s v="SEDAL S.A."/>
    <s v="Not a Customer"/>
    <s v="Medium Growth"/>
    <s v="Roman Nacha"/>
    <x v="0"/>
    <x v="109"/>
    <n v="118761"/>
    <d v="2022-03-09T00:00:00"/>
    <n v="0"/>
    <d v="2022-02-11T00:00:00"/>
    <x v="0"/>
    <m/>
    <m/>
    <m/>
  </r>
  <r>
    <s v="Grandcloset"/>
    <s v="Not a Customer"/>
    <s v="No growth Potential"/>
    <s v="Roman Nacha"/>
    <x v="0"/>
    <x v="3"/>
    <n v="74208"/>
    <s v="22-12-2021"/>
    <n v="0"/>
    <d v="2022-02-03T00:00:00"/>
    <x v="0"/>
    <m/>
    <m/>
    <m/>
  </r>
  <r>
    <s v="Diputacion Provincial de la Coruna"/>
    <s v="Not a Customer"/>
    <s v="No growth Potential"/>
    <s v="Roman Nacha"/>
    <x v="0"/>
    <x v="26"/>
    <n v="62337"/>
    <d v="2022-03-04T00:00:00"/>
    <n v="0"/>
    <d v="2022-02-06T00:00:00"/>
    <x v="0"/>
    <m/>
    <m/>
    <m/>
  </r>
  <r>
    <s v="Credito y Caucion"/>
    <s v="Not a Customer"/>
    <s v="No growth Potential"/>
    <s v="Roman Nacha"/>
    <x v="0"/>
    <x v="3"/>
    <n v="106208"/>
    <s v="13-10-2022"/>
    <n v="0"/>
    <d v="2022-02-12T00:00:00"/>
    <x v="0"/>
    <m/>
    <m/>
    <m/>
  </r>
  <r>
    <s v="Roland Iberia Sl"/>
    <s v="Not a Customer"/>
    <s v="Medium Growth"/>
    <s v="Roman Nacha"/>
    <x v="0"/>
    <x v="0"/>
    <n v="122068"/>
    <s v="22-01-2022"/>
    <n v="0"/>
    <d v="2022-02-04T00:00:00"/>
    <x v="0"/>
    <m/>
    <m/>
    <m/>
  </r>
  <r>
    <s v="Loger S.a."/>
    <s v="Not a Customer"/>
    <s v="No growth Potential"/>
    <s v="Roman Nacha"/>
    <x v="0"/>
    <x v="110"/>
    <n v="112085"/>
    <d v="2022-03-08T00:00:00"/>
    <n v="0"/>
    <d v="2022-02-09T00:00:00"/>
    <x v="0"/>
    <m/>
    <m/>
    <m/>
  </r>
  <r>
    <s v="Instituciones Penitenciarias"/>
    <s v="Not a Customer"/>
    <s v="No growth Potential"/>
    <s v="Roman Nacha"/>
    <x v="0"/>
    <x v="3"/>
    <n v="189857"/>
    <d v="2021-02-12T00:00:00"/>
    <n v="0"/>
    <d v="2022-01-01T00:00:00"/>
    <x v="0"/>
    <m/>
    <m/>
    <m/>
  </r>
  <r>
    <s v="Narada Robotics"/>
    <s v="Not a Customer"/>
    <s v="No growth Potential"/>
    <s v="Roman Nacha"/>
    <x v="0"/>
    <x v="0"/>
    <n v="120677"/>
    <s v="14-12-2021"/>
    <n v="0"/>
    <d v="2022-02-02T00:00:00"/>
    <x v="0"/>
    <m/>
    <m/>
    <m/>
  </r>
  <r>
    <s v="FREEPIK"/>
    <s v="Active Customer"/>
    <s v="High Growth potential"/>
    <s v="Roman Nacha"/>
    <x v="0"/>
    <x v="9"/>
    <n v="235793"/>
    <s v="26-09-2022"/>
    <n v="39299"/>
    <d v="2022-05-11T00:00:00"/>
    <x v="4"/>
    <m/>
    <m/>
    <m/>
  </r>
  <r>
    <s v="IFEMA"/>
    <s v="Not a Customer"/>
    <s v="No growth Potential"/>
    <s v="Roman Nacha"/>
    <x v="0"/>
    <x v="3"/>
    <n v="87037"/>
    <s v="13-10-2022"/>
    <n v="0"/>
    <d v="2022-02-11T00:00:00"/>
    <x v="0"/>
    <m/>
    <m/>
    <m/>
  </r>
  <r>
    <s v="Aprendetec"/>
    <s v="Not a Customer"/>
    <s v="Medium Growth"/>
    <s v="Roman Nacha"/>
    <x v="0"/>
    <x v="9"/>
    <n v="138786"/>
    <s v="13-09-2022"/>
    <n v="0"/>
    <d v="2022-02-11T00:00:00"/>
    <x v="0"/>
    <m/>
    <m/>
    <m/>
  </r>
  <r>
    <s v="WEALTH SA"/>
    <s v="Not a Customer"/>
    <s v="No growth Potential"/>
    <s v="Roman Nacha"/>
    <x v="0"/>
    <x v="0"/>
    <n v="115160"/>
    <s v="23-10-2022"/>
    <n v="0"/>
    <d v="2022-02-11T00:00:00"/>
    <x v="0"/>
    <m/>
    <m/>
    <m/>
  </r>
  <r>
    <s v="MHP Servicios de Control"/>
    <s v="Not a Customer"/>
    <s v="No growth Potential"/>
    <s v="Roman Nacha"/>
    <x v="0"/>
    <x v="111"/>
    <n v="169608"/>
    <s v="23-10-2022"/>
    <n v="0"/>
    <d v="2022-02-11T00:00:00"/>
    <x v="0"/>
    <m/>
    <m/>
    <m/>
  </r>
  <r>
    <s v="CORPORACION BORGES"/>
    <s v="Not a Customer"/>
    <s v="No growth Potential"/>
    <s v="Roman Nacha"/>
    <x v="0"/>
    <x v="112"/>
    <n v="189835"/>
    <s v="13-10-2022"/>
    <n v="0"/>
    <d v="2022-02-11T00:00:00"/>
    <x v="0"/>
    <m/>
    <m/>
    <m/>
  </r>
  <r>
    <s v="Solutex"/>
    <s v="Not a Customer"/>
    <s v="No growth Potential"/>
    <s v="Roman Nacha"/>
    <x v="0"/>
    <x v="113"/>
    <n v="219470"/>
    <d v="2022-03-09T00:00:00"/>
    <n v="0"/>
    <d v="2022-02-11T00:00:00"/>
    <x v="0"/>
    <m/>
    <m/>
    <m/>
  </r>
  <r>
    <s v="AnfiGROUP"/>
    <s v="Not a Customer"/>
    <s v="Medium Growth"/>
    <s v="Roman Nacha"/>
    <x v="0"/>
    <x v="9"/>
    <n v="134196"/>
    <s v="13-09-2022"/>
    <n v="0"/>
    <d v="2022-02-11T00:00:00"/>
    <x v="0"/>
    <m/>
    <m/>
    <m/>
  </r>
  <r>
    <s v="MR. BOHO"/>
    <s v="Not a Customer"/>
    <s v="No growth Potential"/>
    <s v="Roman Nacha"/>
    <x v="0"/>
    <x v="3"/>
    <n v="132539"/>
    <d v="2022-03-10T00:00:00"/>
    <n v="0"/>
    <d v="2022-02-11T00:00:00"/>
    <x v="0"/>
    <m/>
    <m/>
    <m/>
  </r>
  <r>
    <s v="OPTICA SALAS S.L."/>
    <s v="Not a Customer"/>
    <s v="Medium Growth"/>
    <s v="Roman Nacha"/>
    <x v="0"/>
    <x v="9"/>
    <n v="108925"/>
    <s v="23-09-2022"/>
    <n v="0"/>
    <d v="2022-02-11T00:00:00"/>
    <x v="0"/>
    <m/>
    <m/>
    <m/>
  </r>
  <r>
    <s v="Dinamic Comunicació"/>
    <s v="Not a Customer"/>
    <s v="No growth Potential"/>
    <s v="Roman Nacha"/>
    <x v="0"/>
    <x v="0"/>
    <n v="142085"/>
    <d v="2022-01-02T00:00:00"/>
    <n v="0"/>
    <d v="2022-02-04T00:00:00"/>
    <x v="0"/>
    <m/>
    <m/>
    <m/>
  </r>
  <r>
    <s v="LeasePlan"/>
    <s v="Not a Customer"/>
    <s v="No growth Potential"/>
    <s v="Roman Nacha"/>
    <x v="0"/>
    <x v="9"/>
    <n v="115580"/>
    <d v="2022-11-01T00:00:00"/>
    <n v="0"/>
    <d v="2022-02-03T00:00:00"/>
    <x v="0"/>
    <m/>
    <m/>
    <m/>
  </r>
  <r>
    <s v="Premium Ingredients"/>
    <s v="Not a Customer"/>
    <s v="Medium Growth"/>
    <s v="Roman Nacha"/>
    <x v="0"/>
    <x v="10"/>
    <n v="32000"/>
    <s v="13-09-2022"/>
    <n v="0"/>
    <d v="2022-02-11T00:00:00"/>
    <x v="0"/>
    <m/>
    <m/>
    <m/>
  </r>
  <r>
    <s v="El taller"/>
    <s v="Not a Customer"/>
    <s v="No growth Potential"/>
    <s v="Roman Nacha"/>
    <x v="0"/>
    <x v="3"/>
    <n v="74045"/>
    <s v="21-02-2022"/>
    <n v="0"/>
    <d v="2022-02-05T00:00:00"/>
    <x v="0"/>
    <m/>
    <m/>
    <m/>
  </r>
  <r>
    <s v="PRIORITY SOLUTIONS"/>
    <s v="Not a Customer"/>
    <s v="No growth Potential"/>
    <s v="Roman Nacha"/>
    <x v="0"/>
    <x v="3"/>
    <n v="104988"/>
    <d v="2022-03-10T00:00:00"/>
    <n v="0"/>
    <d v="2022-02-11T00:00:00"/>
    <x v="0"/>
    <m/>
    <m/>
    <m/>
  </r>
  <r>
    <s v="SOCIEDAD ANÓNIMA INDUSTRIAS CELULOSA ARAGONESA - SAICA"/>
    <s v="Not a Customer"/>
    <s v="No growth Potential"/>
    <s v="Roman Nacha"/>
    <x v="0"/>
    <x v="114"/>
    <n v="235733"/>
    <s v="13-10-2022"/>
    <n v="0"/>
    <d v="2022-02-11T00:00:00"/>
    <x v="0"/>
    <m/>
    <m/>
    <m/>
  </r>
  <r>
    <s v="Top Rural"/>
    <s v="Not a Customer"/>
    <s v="No growth Potential"/>
    <s v="Roman Nacha"/>
    <x v="0"/>
    <x v="3"/>
    <n v="204921"/>
    <s v="23-07-2022"/>
    <n v="0"/>
    <d v="2022-02-08T00:00:00"/>
    <x v="0"/>
    <m/>
    <m/>
    <m/>
  </r>
  <r>
    <s v="Universidad de Cordoba"/>
    <s v="Not a Customer"/>
    <s v="No growth Potential"/>
    <s v="Roman Nacha"/>
    <x v="0"/>
    <x v="115"/>
    <n v="88858"/>
    <s v="22-09-2022"/>
    <n v="0"/>
    <d v="2022-02-10T00:00:00"/>
    <x v="0"/>
    <m/>
    <m/>
    <m/>
  </r>
  <r>
    <s v="Entersoftweb"/>
    <s v="Not a Customer"/>
    <s v="No growth Potential"/>
    <s v="Roman Nacha"/>
    <x v="0"/>
    <x v="36"/>
    <n v="108983"/>
    <s v="13-10-2022"/>
    <n v="0"/>
    <d v="2022-02-11T00:00:00"/>
    <x v="0"/>
    <m/>
    <m/>
    <m/>
  </r>
  <r>
    <s v="Fundacion Marq. Comunidad Valenciana"/>
    <s v="Not a Customer"/>
    <s v="No growth Potential"/>
    <s v="Roman Nacha"/>
    <x v="0"/>
    <x v="116"/>
    <n v="75881"/>
    <d v="2022-12-04T00:00:00"/>
    <n v="0"/>
    <d v="2022-02-05T00:00:00"/>
    <x v="0"/>
    <m/>
    <m/>
    <m/>
  </r>
  <r>
    <s v="Neck Child SA"/>
    <s v="Not a Customer"/>
    <s v="No growth Potential"/>
    <s v="Roman Nacha"/>
    <x v="0"/>
    <x v="117"/>
    <n v="120013"/>
    <d v="2022-03-10T00:00:00"/>
    <n v="0"/>
    <d v="2022-02-11T00:00:00"/>
    <x v="0"/>
    <m/>
    <m/>
    <m/>
  </r>
  <r>
    <s v="Fomento De Centros De Ensenanza S.A"/>
    <s v="Not a Customer"/>
    <s v="No growth Potential"/>
    <s v="Roman Nacha"/>
    <x v="0"/>
    <x v="3"/>
    <n v="124126"/>
    <d v="2022-03-04T00:00:00"/>
    <n v="0"/>
    <d v="2022-03-05T00:00:00"/>
    <x v="0"/>
    <m/>
    <m/>
    <m/>
  </r>
  <r>
    <s v="MANTENIMIENTOS AYUDA EXPLOTACION |Y SERVICIOS SA"/>
    <s v="Not a Customer"/>
    <s v="No growth Potential"/>
    <s v="Roman Nacha"/>
    <x v="0"/>
    <x v="3"/>
    <n v="138692"/>
    <s v="23-09-2022"/>
    <n v="0"/>
    <d v="2022-02-11T00:00:00"/>
    <x v="0"/>
    <m/>
    <m/>
    <m/>
  </r>
  <r>
    <s v="CRISTIAN LAY SA"/>
    <s v="Not a Customer"/>
    <s v="No growth Potential"/>
    <s v="Roman Nacha"/>
    <x v="0"/>
    <x v="118"/>
    <n v="147362"/>
    <s v="23-09-2022"/>
    <n v="0"/>
    <d v="2022-02-11T00:00:00"/>
    <x v="0"/>
    <m/>
    <m/>
    <m/>
  </r>
  <r>
    <s v="UNIVERSITAT DE BARCELONA"/>
    <s v="Not a Customer"/>
    <s v="No growth Potential"/>
    <s v="Roman Nacha"/>
    <x v="0"/>
    <x v="0"/>
    <n v="106526"/>
    <s v="13-09-2022"/>
    <n v="0"/>
    <d v="2022-02-11T00:00:00"/>
    <x v="0"/>
    <m/>
    <m/>
    <m/>
  </r>
  <r>
    <s v="CONFIRMA SISTEMAS"/>
    <s v="Not a Customer"/>
    <s v="No growth Potential"/>
    <s v="Roman Nacha"/>
    <x v="0"/>
    <x v="119"/>
    <n v="70969"/>
    <s v="23-10-2022"/>
    <n v="0"/>
    <d v="2022-02-11T00:00:00"/>
    <x v="0"/>
    <m/>
    <m/>
    <m/>
  </r>
  <r>
    <s v="Capside"/>
    <s v="Not a Customer"/>
    <s v="No growth Potential"/>
    <s v="Roman Nacha"/>
    <x v="0"/>
    <x v="0"/>
    <n v="100034"/>
    <d v="2022-03-01T00:00:00"/>
    <n v="0"/>
    <d v="2022-02-02T00:00:00"/>
    <x v="0"/>
    <m/>
    <m/>
    <m/>
  </r>
  <r>
    <s v="Invent Farma"/>
    <s v="Not a Customer"/>
    <s v="No growth Potential"/>
    <s v="Roman Nacha"/>
    <x v="0"/>
    <x v="9"/>
    <n v="101400"/>
    <s v="24-07-2022"/>
    <n v="0"/>
    <d v="2022-02-09T00:00:00"/>
    <x v="0"/>
    <m/>
    <m/>
    <m/>
  </r>
  <r>
    <s v="MC2I GROUPE - CONSEIL EN SYSTEMES D'INFORMATION"/>
    <s v="Not a Customer"/>
    <s v="No growth Potential"/>
    <s v="Roman Nacha"/>
    <x v="3"/>
    <x v="41"/>
    <n v="67715"/>
    <s v="23-09-2022"/>
    <n v="0"/>
    <d v="2022-02-11T00:00:00"/>
    <x v="0"/>
    <m/>
    <m/>
    <m/>
  </r>
  <r>
    <s v="Smartcommerce"/>
    <s v="Not a Customer"/>
    <s v="No growth Potential"/>
    <s v="Roman Nacha"/>
    <x v="0"/>
    <x v="9"/>
    <n v="80523"/>
    <d v="2022-11-01T00:00:00"/>
    <n v="0"/>
    <d v="2022-02-03T00:00:00"/>
    <x v="0"/>
    <m/>
    <m/>
    <m/>
  </r>
  <r>
    <s v="CRUZ ROJA ESPAÑOLA"/>
    <s v="Not a Customer"/>
    <s v="No growth Potential"/>
    <s v="Roman Nacha"/>
    <x v="0"/>
    <x v="3"/>
    <n v="67742"/>
    <s v="23-10-2022"/>
    <n v="0"/>
    <d v="2022-02-11T00:00:00"/>
    <x v="0"/>
    <m/>
    <m/>
    <m/>
  </r>
  <r>
    <s v="Animalear"/>
    <s v="Not a Customer"/>
    <s v="No growth Potential"/>
    <s v="Roman Nacha"/>
    <x v="0"/>
    <x v="9"/>
    <n v="96217"/>
    <s v="22-04-2022"/>
    <n v="0"/>
    <d v="2022-02-05T00:00:00"/>
    <x v="0"/>
    <m/>
    <m/>
    <m/>
  </r>
  <r>
    <s v="UX is Ready"/>
    <s v="Not a Customer"/>
    <s v="No growth Potential"/>
    <s v="Roman Nacha"/>
    <x v="0"/>
    <x v="0"/>
    <n v="90293"/>
    <s v="24-06-2022"/>
    <n v="0"/>
    <d v="2022-02-09T00:00:00"/>
    <x v="0"/>
    <m/>
    <m/>
    <m/>
  </r>
  <r>
    <s v="ASEI"/>
    <s v="Not a Customer"/>
    <s v="No growth Potential"/>
    <s v="Roman Nacha"/>
    <x v="0"/>
    <x v="120"/>
    <n v="270429"/>
    <s v="23-10-2022"/>
    <n v="0"/>
    <d v="2022-02-11T00:00:00"/>
    <x v="0"/>
    <m/>
    <m/>
    <m/>
  </r>
  <r>
    <s v="Webs Catalunya"/>
    <s v="Not a Customer"/>
    <s v="No growth Potential"/>
    <s v="Roman Nacha"/>
    <x v="0"/>
    <x v="0"/>
    <n v="63020"/>
    <s v="22-06-2022"/>
    <n v="0"/>
    <d v="2022-02-07T00:00:00"/>
    <x v="0"/>
    <m/>
    <m/>
    <m/>
  </r>
  <r>
    <s v="ZANKYOU VENTURES"/>
    <s v="Not a Customer"/>
    <s v="Medium Growth"/>
    <s v="Roman Nacha"/>
    <x v="0"/>
    <x v="3"/>
    <n v="71125"/>
    <s v="23-09-2022"/>
    <n v="0"/>
    <d v="2022-02-11T00:00:00"/>
    <x v="0"/>
    <m/>
    <m/>
    <m/>
  </r>
  <r>
    <s v="IES Beatriz Galindo"/>
    <s v="Not a Customer"/>
    <s v="No growth Potential"/>
    <s v="Roman Nacha"/>
    <x v="0"/>
    <x v="3"/>
    <n v="48820"/>
    <s v="22-06-2022"/>
    <n v="0"/>
    <d v="2022-02-07T00:00:00"/>
    <x v="0"/>
    <m/>
    <m/>
    <m/>
  </r>
  <r>
    <s v="Koloxo"/>
    <s v="Not a Customer"/>
    <s v="No growth Potential"/>
    <s v="Roman Nacha"/>
    <x v="0"/>
    <x v="3"/>
    <n v="118761"/>
    <d v="2022-03-10T00:00:00"/>
    <n v="0"/>
    <d v="2022-02-11T00:00:00"/>
    <x v="0"/>
    <m/>
    <m/>
    <m/>
  </r>
  <r>
    <s v="Via directa"/>
    <s v="Not a Customer"/>
    <s v="No growth Potential"/>
    <s v="Roman Nacha"/>
    <x v="1"/>
    <x v="61"/>
    <n v="74208"/>
    <s v="22-12-2021"/>
    <n v="0"/>
    <d v="2022-02-03T00:00:00"/>
    <x v="0"/>
    <m/>
    <m/>
    <m/>
  </r>
  <r>
    <s v="Web Security Auditors"/>
    <s v="Not a Customer"/>
    <s v="No growth Potential"/>
    <s v="Roman Nacha"/>
    <x v="1"/>
    <x v="101"/>
    <n v="62337"/>
    <s v="13-09-2022"/>
    <n v="0"/>
    <d v="2022-02-11T00:00:00"/>
    <x v="0"/>
    <m/>
    <m/>
    <m/>
  </r>
  <r>
    <s v="Clemente Gomez De Zamora S.A."/>
    <s v="Not a Customer"/>
    <s v="No growth Potential"/>
    <s v="Roman Nacha"/>
    <x v="0"/>
    <x v="7"/>
    <n v="143588"/>
    <s v="22-08-2021"/>
    <n v="0"/>
    <d v="2021-01-09T00:00:00"/>
    <x v="5"/>
    <m/>
    <m/>
    <m/>
  </r>
  <r>
    <s v="Ferrovial"/>
    <s v="Active Customer"/>
    <s v="Medium Growth"/>
    <s v="Roman Nacha"/>
    <x v="0"/>
    <x v="3"/>
    <n v="61002"/>
    <s v="16-06-2022"/>
    <n v="8715"/>
    <d v="2022-05-08T00:00:00"/>
    <x v="4"/>
    <m/>
    <m/>
    <m/>
  </r>
  <r>
    <s v="Shoppydoo SL"/>
    <s v="Not a Customer"/>
    <s v="No growth Potential"/>
    <s v="Roman Nacha"/>
    <x v="0"/>
    <x v="3"/>
    <n v="109980"/>
    <s v="23-09-2022"/>
    <n v="0"/>
    <d v="2022-02-11T00:00:00"/>
    <x v="0"/>
    <m/>
    <m/>
    <m/>
  </r>
  <r>
    <s v="KPMG Spain"/>
    <s v="Not a Customer"/>
    <s v="No growth Potential"/>
    <s v="Roman Nacha"/>
    <x v="0"/>
    <x v="9"/>
    <n v="106526"/>
    <s v="13-06-2022"/>
    <n v="0"/>
    <d v="2022-02-08T00:00:00"/>
    <x v="0"/>
    <m/>
    <m/>
    <m/>
  </r>
  <r>
    <s v="C.E.M.I CTRO.MUNICIPAL INFORMAT. MALAG."/>
    <s v="Not a Customer"/>
    <s v="No growth Potential"/>
    <s v="Roman Nacha"/>
    <x v="0"/>
    <x v="48"/>
    <n v="70969"/>
    <s v="13-09-2022"/>
    <n v="0"/>
    <d v="2022-02-11T00:00:00"/>
    <x v="0"/>
    <m/>
    <m/>
    <m/>
  </r>
  <r>
    <s v="SERVINFORM SA"/>
    <s v="Active Customer"/>
    <s v="High Growth potential"/>
    <s v="Roman Nacha"/>
    <x v="0"/>
    <x v="121"/>
    <n v="100034"/>
    <s v="29-09-2022"/>
    <n v="20007"/>
    <d v="2022-08-11T00:00:00"/>
    <x v="3"/>
    <m/>
    <m/>
    <m/>
  </r>
  <r>
    <s v="Grupo El Arbol S. A."/>
    <s v="Not a Customer"/>
    <s v="No growth Potential"/>
    <s v="Roman Nacha"/>
    <x v="0"/>
    <x v="38"/>
    <n v="107069"/>
    <s v="24-08-2022"/>
    <n v="0"/>
    <d v="2022-02-11T00:00:00"/>
    <x v="0"/>
    <m/>
    <m/>
    <m/>
  </r>
  <r>
    <s v="MIQUEL Y COSTAS &amp; MIQUEL SA"/>
    <s v="Not a Customer"/>
    <s v="No growth Potential"/>
    <s v="Roman Nacha"/>
    <x v="0"/>
    <x v="0"/>
    <n v="143517"/>
    <s v="13-10-2022"/>
    <n v="0"/>
    <d v="2022-02-11T00:00:00"/>
    <x v="0"/>
    <m/>
    <m/>
    <m/>
  </r>
  <r>
    <s v="AECID"/>
    <s v="Not a Customer"/>
    <s v="No growth Potential"/>
    <s v="Roman Nacha"/>
    <x v="0"/>
    <x v="3"/>
    <n v="58504"/>
    <s v="13-10-2022"/>
    <n v="0"/>
    <d v="2022-02-11T00:00:00"/>
    <x v="0"/>
    <m/>
    <m/>
    <m/>
  </r>
  <r>
    <s v="UPCNET SL"/>
    <s v="Not a Customer"/>
    <s v="No growth Potential"/>
    <s v="Roman Nacha"/>
    <x v="0"/>
    <x v="0"/>
    <n v="95966"/>
    <s v="13-09-2022"/>
    <n v="0"/>
    <d v="2022-02-11T00:00:00"/>
    <x v="0"/>
    <m/>
    <m/>
    <m/>
  </r>
  <r>
    <s v="MMT Seguros"/>
    <s v="Not a Customer"/>
    <s v="No growth Potential"/>
    <s v="Roman Nacha"/>
    <x v="0"/>
    <x v="9"/>
    <n v="54725"/>
    <d v="2022-03-10T00:00:00"/>
    <n v="0"/>
    <d v="2022-02-11T00:00:00"/>
    <x v="0"/>
    <m/>
    <m/>
    <m/>
  </r>
  <r>
    <s v="Able Consultores"/>
    <s v="Not a Customer"/>
    <s v="No growth Potential"/>
    <s v="Roman Nacha"/>
    <x v="0"/>
    <x v="9"/>
    <n v="147868"/>
    <s v="13-10-2022"/>
    <n v="0"/>
    <d v="2022-02-11T00:00:00"/>
    <x v="0"/>
    <m/>
    <m/>
    <m/>
  </r>
  <r>
    <s v="Ayuntamiento de Alcobendas"/>
    <s v="Not a Customer"/>
    <s v="No growth Potential"/>
    <s v="Roman Nacha"/>
    <x v="0"/>
    <x v="9"/>
    <n v="112714"/>
    <s v="23-04-2022"/>
    <n v="0"/>
    <d v="2022-02-06T00:00:00"/>
    <x v="0"/>
    <m/>
    <m/>
    <m/>
  </r>
  <r>
    <s v="Ttsistemas"/>
    <s v="Not a Customer"/>
    <s v="No growth Potential"/>
    <s v="Roman Nacha"/>
    <x v="0"/>
    <x v="9"/>
    <n v="74208"/>
    <s v="24-07-2022"/>
    <n v="0"/>
    <d v="2022-02-09T00:00:00"/>
    <x v="0"/>
    <m/>
    <m/>
    <m/>
  </r>
  <r>
    <s v="Pingui"/>
    <s v="Not a Customer"/>
    <s v="No growth Potential"/>
    <s v="Roman Nacha"/>
    <x v="0"/>
    <x v="0"/>
    <n v="90068"/>
    <s v="23-10-2022"/>
    <n v="0"/>
    <d v="2022-02-11T00:00:00"/>
    <x v="0"/>
    <m/>
    <m/>
    <m/>
  </r>
  <r>
    <s v="MICHELIN ESPANA PORTUGAL S.A."/>
    <s v="Not a Customer"/>
    <s v="No growth Potential"/>
    <s v="Roman Nacha"/>
    <x v="0"/>
    <x v="9"/>
    <n v="80085"/>
    <s v="13-09-2022"/>
    <n v="0"/>
    <d v="2022-02-11T00:00:00"/>
    <x v="0"/>
    <m/>
    <m/>
    <m/>
  </r>
  <r>
    <s v="Cheto Corporation SA"/>
    <s v="Not a Customer"/>
    <s v="Medium Growth"/>
    <s v="Roman Nacha"/>
    <x v="1"/>
    <x v="9"/>
    <n v="157857"/>
    <d v="2022-03-12T00:00:00"/>
    <n v="0"/>
    <d v="2023-02-01T00:00:00"/>
    <x v="2"/>
    <m/>
    <m/>
    <m/>
  </r>
  <r>
    <s v="Escuela Universitaria De Estudios"/>
    <s v="Not a Customer"/>
    <s v="No growth Potential"/>
    <s v="Roman Nacha"/>
    <x v="0"/>
    <x v="122"/>
    <n v="88677"/>
    <d v="2022-12-06T00:00:00"/>
    <n v="0"/>
    <d v="2022-02-07T00:00:00"/>
    <x v="0"/>
    <m/>
    <m/>
    <m/>
  </r>
  <r>
    <s v="MIRTO"/>
    <s v="Not a Customer"/>
    <s v="No growth Potential"/>
    <s v="Roman Nacha"/>
    <x v="0"/>
    <x v="3"/>
    <n v="203793"/>
    <d v="2022-03-09T00:00:00"/>
    <n v="0"/>
    <d v="2022-02-11T00:00:00"/>
    <x v="0"/>
    <m/>
    <m/>
    <m/>
  </r>
  <r>
    <s v="MABAR"/>
    <s v="Not a Customer"/>
    <s v="No growth Potential"/>
    <s v="Roman Nacha"/>
    <x v="0"/>
    <x v="123"/>
    <n v="55037"/>
    <d v="2022-03-10T00:00:00"/>
    <n v="0"/>
    <d v="2022-02-11T00:00:00"/>
    <x v="0"/>
    <m/>
    <m/>
    <m/>
  </r>
  <r>
    <s v="KW España"/>
    <s v="Not a Customer"/>
    <s v="No growth Potential"/>
    <s v="Roman Nacha"/>
    <x v="0"/>
    <x v="95"/>
    <n v="106786"/>
    <d v="2022-02-06T00:00:00"/>
    <n v="0"/>
    <d v="2022-02-07T00:00:00"/>
    <x v="0"/>
    <m/>
    <m/>
    <m/>
  </r>
  <r>
    <s v="Lenceria Emi"/>
    <s v="Not a Customer"/>
    <s v="No growth Potential"/>
    <s v="Roman Nacha"/>
    <x v="0"/>
    <x v="60"/>
    <n v="83160"/>
    <s v="23-07-2022"/>
    <n v="0"/>
    <d v="2022-02-08T00:00:00"/>
    <x v="0"/>
    <m/>
    <m/>
    <m/>
  </r>
  <r>
    <s v="familiafacil.es"/>
    <s v="Not a Customer"/>
    <s v="No growth Potential"/>
    <s v="Roman Nacha"/>
    <x v="0"/>
    <x v="9"/>
    <n v="137608"/>
    <s v="24-12-2021"/>
    <n v="0"/>
    <d v="2022-02-02T00:00:00"/>
    <x v="0"/>
    <m/>
    <m/>
    <m/>
  </r>
  <r>
    <s v="Empresarios Agrupados"/>
    <s v="Not a Customer"/>
    <s v="No growth Potential"/>
    <s v="Roman Nacha"/>
    <x v="0"/>
    <x v="3"/>
    <n v="157835"/>
    <d v="2022-03-05T00:00:00"/>
    <n v="0"/>
    <d v="2022-02-07T00:00:00"/>
    <x v="0"/>
    <m/>
    <m/>
    <m/>
  </r>
  <r>
    <s v="Parc Sanitari Sant Joan de Déu"/>
    <s v="Not a Customer"/>
    <s v="No growth Potential"/>
    <s v="Roman Nacha"/>
    <x v="0"/>
    <x v="9"/>
    <n v="187470"/>
    <s v="14-12-2021"/>
    <n v="0"/>
    <d v="2022-02-02T00:00:00"/>
    <x v="0"/>
    <m/>
    <m/>
    <m/>
  </r>
  <r>
    <s v="Roca Sanitario S.A."/>
    <s v="Not a Customer"/>
    <s v="No growth Potential"/>
    <s v="Roman Nacha"/>
    <x v="0"/>
    <x v="124"/>
    <n v="102196"/>
    <s v="22-01-2022"/>
    <n v="0"/>
    <d v="2022-02-04T00:00:00"/>
    <x v="0"/>
    <m/>
    <m/>
    <m/>
  </r>
  <r>
    <s v="Bull Hotels"/>
    <s v="Not a Customer"/>
    <s v="No growth Potential"/>
    <s v="Roman Nacha"/>
    <x v="0"/>
    <x v="125"/>
    <n v="100539"/>
    <s v="24-08-2022"/>
    <n v="0"/>
    <d v="2022-02-11T00:00:00"/>
    <x v="0"/>
    <m/>
    <m/>
    <m/>
  </r>
  <r>
    <s v="APSL.NET"/>
    <s v="Not a Customer"/>
    <s v="No growth Potential"/>
    <s v="Roman Nacha"/>
    <x v="0"/>
    <x v="103"/>
    <n v="76925"/>
    <s v="24-08-2022"/>
    <n v="0"/>
    <d v="2022-02-11T00:00:00"/>
    <x v="0"/>
    <m/>
    <m/>
    <m/>
  </r>
  <r>
    <s v="Secretaria Geral da PR"/>
    <s v="Active Customer"/>
    <s v="High Growth potential"/>
    <s v="Roman Nacha"/>
    <x v="1"/>
    <x v="61"/>
    <n v="110085"/>
    <s v="15-06-2022"/>
    <n v="12232"/>
    <d v="2022-05-07T00:00:00"/>
    <x v="4"/>
    <m/>
    <m/>
    <m/>
  </r>
  <r>
    <s v="Laboratorios Normon"/>
    <s v="Not a Customer"/>
    <s v="No growth Potential"/>
    <s v="Roman Nacha"/>
    <x v="0"/>
    <x v="3"/>
    <n v="83580"/>
    <s v="24-12-2021"/>
    <n v="0"/>
    <d v="2022-02-02T00:00:00"/>
    <x v="0"/>
    <m/>
    <m/>
    <m/>
  </r>
  <r>
    <s v="fitnesspowerfood"/>
    <s v="Not a Customer"/>
    <s v="No growth Potential"/>
    <s v="Roman Nacha"/>
    <x v="0"/>
    <x v="9"/>
    <m/>
    <s v="13-10-2022"/>
    <n v="0"/>
    <d v="2022-02-11T00:00:00"/>
    <x v="0"/>
    <m/>
    <m/>
    <m/>
  </r>
  <r>
    <s v="General Dynamic Santa Barbara Sistemas S.A."/>
    <s v="Not a Customer"/>
    <s v="No growth Potential"/>
    <s v="Roman Nacha"/>
    <x v="0"/>
    <x v="12"/>
    <n v="42045"/>
    <d v="2022-03-05T00:00:00"/>
    <n v="0"/>
    <d v="2022-02-06T00:00:00"/>
    <x v="0"/>
    <m/>
    <m/>
    <m/>
  </r>
  <r>
    <s v="UVA UNIVERSIDAD DE VALLADOLID RECTORADO"/>
    <s v="Not a Customer"/>
    <s v="Medium Growth"/>
    <s v="Roman Nacha"/>
    <x v="0"/>
    <x v="38"/>
    <n v="72988"/>
    <s v="13-10-2022"/>
    <n v="0"/>
    <d v="2022-02-11T00:00:00"/>
    <x v="0"/>
    <m/>
    <m/>
    <m/>
  </r>
  <r>
    <s v="MR HOUSTON TECH SOLUTIONS"/>
    <s v="Not a Customer"/>
    <s v="No growth Potential"/>
    <s v="Roman Nacha"/>
    <x v="0"/>
    <x v="3"/>
    <n v="203733"/>
    <d v="2022-03-10T00:00:00"/>
    <n v="0"/>
    <d v="2022-02-11T00:00:00"/>
    <x v="0"/>
    <m/>
    <m/>
    <m/>
  </r>
  <r>
    <s v="MVAgusta"/>
    <s v="Not a Customer"/>
    <s v="No growth Potential"/>
    <s v="Roman Nacha"/>
    <x v="2"/>
    <x v="126"/>
    <n v="172921"/>
    <s v="23-07-2022"/>
    <n v="0"/>
    <d v="2022-02-08T00:00:00"/>
    <x v="0"/>
    <m/>
    <m/>
    <m/>
  </r>
  <r>
    <s v="CNP Partners"/>
    <s v="Not a Customer"/>
    <s v="No growth Potential"/>
    <s v="Roman Nacha"/>
    <x v="0"/>
    <x v="3"/>
    <n v="56858"/>
    <d v="2022-03-05T00:00:00"/>
    <n v="0"/>
    <d v="2022-02-06T00:00:00"/>
    <x v="0"/>
    <m/>
    <m/>
    <m/>
  </r>
  <r>
    <s v="Vilalúa"/>
    <s v="Not a Customer"/>
    <s v="No growth Potential"/>
    <s v="Roman Nacha"/>
    <x v="0"/>
    <x v="9"/>
    <n v="76983"/>
    <s v="13-03-2022"/>
    <n v="0"/>
    <d v="2022-02-04T00:00:00"/>
    <x v="0"/>
    <m/>
    <m/>
    <m/>
  </r>
  <r>
    <s v="La Oca"/>
    <s v="Not a Customer"/>
    <s v="No growth Potential"/>
    <s v="Roman Nacha"/>
    <x v="0"/>
    <x v="9"/>
    <n v="43881"/>
    <s v="14-12-2021"/>
    <n v="0"/>
    <d v="2022-02-02T00:00:00"/>
    <x v="0"/>
    <m/>
    <m/>
    <m/>
  </r>
  <r>
    <s v="Diputación de Granada"/>
    <s v="Not a Customer"/>
    <s v="No growth Potential"/>
    <s v="Roman Nacha"/>
    <x v="0"/>
    <x v="12"/>
    <n v="88013"/>
    <s v="23-04-2022"/>
    <n v="0"/>
    <d v="2022-02-06T00:00:00"/>
    <x v="0"/>
    <m/>
    <m/>
    <m/>
  </r>
  <r>
    <s v="Santi Lorenzo Photography"/>
    <s v="Not a Customer"/>
    <s v="No growth Potential"/>
    <s v="Roman Nacha"/>
    <x v="0"/>
    <x v="9"/>
    <n v="92126"/>
    <d v="2021-04-12T00:00:00"/>
    <n v="0"/>
    <d v="2022-02-02T00:00:00"/>
    <x v="0"/>
    <m/>
    <m/>
    <m/>
  </r>
  <r>
    <s v="ARMERÍA ÁLVAREZ S.L."/>
    <s v="Not a Customer"/>
    <s v="No growth Potential"/>
    <s v="Roman Nacha"/>
    <x v="0"/>
    <x v="127"/>
    <n v="106692"/>
    <d v="2022-03-09T00:00:00"/>
    <n v="0"/>
    <d v="2022-02-11T00:00:00"/>
    <x v="0"/>
    <m/>
    <m/>
    <m/>
  </r>
  <r>
    <s v="EDUCAEDU BUSINESS SOCIEDAD LIMITADA"/>
    <s v="Not a Customer"/>
    <s v="No growth Potential"/>
    <s v="Roman Nacha"/>
    <x v="0"/>
    <x v="25"/>
    <n v="133858"/>
    <s v="23-10-2022"/>
    <n v="0"/>
    <d v="2022-02-11T00:00:00"/>
    <x v="0"/>
    <m/>
    <m/>
    <m/>
  </r>
  <r>
    <s v="Kiuwan"/>
    <s v="Not a Customer"/>
    <s v="No growth Potential"/>
    <s v="Roman Nacha"/>
    <x v="0"/>
    <x v="128"/>
    <n v="368455"/>
    <d v="2022-02-04T00:00:00"/>
    <n v="0"/>
    <d v="2022-02-05T00:00:00"/>
    <x v="0"/>
    <m/>
    <m/>
    <m/>
  </r>
  <r>
    <s v="JIG Internet Consulting"/>
    <s v="Not a Customer"/>
    <s v="No growth Potential"/>
    <s v="Roman Nacha"/>
    <x v="0"/>
    <x v="9"/>
    <n v="107211"/>
    <s v="13-10-2022"/>
    <n v="0"/>
    <d v="2022-02-11T00:00:00"/>
    <x v="0"/>
    <m/>
    <m/>
    <m/>
  </r>
  <r>
    <s v="Brother Iberia S.L.U."/>
    <s v="Not a Customer"/>
    <s v="No growth Potential"/>
    <s v="Roman Nacha"/>
    <x v="0"/>
    <x v="9"/>
    <n v="115087"/>
    <d v="2023-03-01T00:00:00"/>
    <n v="0"/>
    <d v="2023-02-02T00:00:00"/>
    <x v="2"/>
    <m/>
    <m/>
    <m/>
  </r>
  <r>
    <s v="SUPERMERCADO SANCHEZ ROMERO SL"/>
    <s v="Not a Customer"/>
    <s v="No growth Potential"/>
    <s v="Roman Nacha"/>
    <x v="0"/>
    <x v="128"/>
    <n v="104166"/>
    <s v="13-10-2022"/>
    <n v="0"/>
    <d v="2022-02-11T00:00:00"/>
    <x v="0"/>
    <m/>
    <m/>
    <m/>
  </r>
  <r>
    <s v="Electrocosto"/>
    <s v="Not a Customer"/>
    <s v="No growth Potential"/>
    <s v="Roman Nacha"/>
    <x v="0"/>
    <x v="115"/>
    <n v="143497"/>
    <d v="2022-03-10T00:00:00"/>
    <n v="0"/>
    <d v="2022-02-11T00:00:00"/>
    <x v="0"/>
    <m/>
    <m/>
    <m/>
  </r>
  <r>
    <s v="JESUITES EDUCACIO"/>
    <s v="Not a Customer"/>
    <s v="No growth Potential"/>
    <s v="Roman Nacha"/>
    <x v="0"/>
    <x v="0"/>
    <n v="127427"/>
    <s v="23-10-2022"/>
    <n v="0"/>
    <d v="2022-02-11T00:00:00"/>
    <x v="0"/>
    <m/>
    <m/>
    <m/>
  </r>
  <r>
    <s v="BLISSBOOKER"/>
    <s v="Not a Customer"/>
    <s v="Medium Growth"/>
    <s v="Roman Nacha"/>
    <x v="0"/>
    <x v="9"/>
    <n v="355370"/>
    <s v="13-09-2022"/>
    <n v="0"/>
    <d v="2022-02-11T00:00:00"/>
    <x v="0"/>
    <m/>
    <m/>
    <m/>
  </r>
  <r>
    <s v="Megavista Online"/>
    <s v="Not a Customer"/>
    <s v="No growth Potential"/>
    <s v="Roman Nacha"/>
    <x v="0"/>
    <x v="89"/>
    <n v="191190"/>
    <d v="2022-01-02T00:00:00"/>
    <n v="0"/>
    <d v="2022-02-04T00:00:00"/>
    <x v="0"/>
    <m/>
    <m/>
    <m/>
  </r>
  <r>
    <s v="MOTHERCARE IBERIA"/>
    <s v="Not a Customer"/>
    <s v="No growth Potential"/>
    <s v="Roman Nacha"/>
    <x v="0"/>
    <x v="73"/>
    <n v="209817"/>
    <s v="13-10-2022"/>
    <n v="0"/>
    <d v="2022-02-11T00:00:00"/>
    <x v="0"/>
    <m/>
    <m/>
    <m/>
  </r>
  <r>
    <s v="Inycom"/>
    <s v="Not a Customer"/>
    <s v="No growth Potential"/>
    <s v="Roman Nacha"/>
    <x v="0"/>
    <x v="60"/>
    <n v="49625"/>
    <s v="24-08-2022"/>
    <n v="0"/>
    <d v="2022-02-11T00:00:00"/>
    <x v="0"/>
    <m/>
    <m/>
    <m/>
  </r>
  <r>
    <s v="expohotels.com"/>
    <s v="Not a Customer"/>
    <s v="No growth Potential"/>
    <s v="Roman Nacha"/>
    <x v="0"/>
    <x v="0"/>
    <n v="101488"/>
    <d v="2022-03-10T00:00:00"/>
    <n v="0"/>
    <d v="2022-02-11T00:00:00"/>
    <x v="0"/>
    <m/>
    <m/>
    <m/>
  </r>
  <r>
    <s v="Joinso"/>
    <s v="Not a Customer"/>
    <s v="No growth Potential"/>
    <s v="Roman Nacha"/>
    <x v="0"/>
    <x v="129"/>
    <n v="101400"/>
    <s v="23-09-2022"/>
    <n v="0"/>
    <d v="2022-02-11T00:00:00"/>
    <x v="0"/>
    <m/>
    <m/>
    <m/>
  </r>
  <r>
    <s v="Globalred"/>
    <s v="Not a Customer"/>
    <s v="No growth Potential"/>
    <s v="Roman Nacha"/>
    <x v="0"/>
    <x v="103"/>
    <n v="67715"/>
    <s v="23-03-2022"/>
    <n v="0"/>
    <d v="2022-02-05T00:00:00"/>
    <x v="0"/>
    <m/>
    <m/>
    <m/>
  </r>
  <r>
    <s v="Universidad Zaragoza"/>
    <s v="Not a Customer"/>
    <s v="No growth Potential"/>
    <s v="Roman Nacha"/>
    <x v="0"/>
    <x v="9"/>
    <n v="80523"/>
    <s v="13-08-2022"/>
    <n v="0"/>
    <d v="2022-02-10T00:00:00"/>
    <x v="0"/>
    <m/>
    <m/>
    <m/>
  </r>
  <r>
    <s v="Gonvarri Industrial S.L."/>
    <s v="Not a Customer"/>
    <s v="No growth Potential"/>
    <s v="Roman Nacha"/>
    <x v="0"/>
    <x v="3"/>
    <n v="67742"/>
    <s v="21-02-2022"/>
    <n v="0"/>
    <d v="2022-02-05T00:00:00"/>
    <x v="0"/>
    <m/>
    <m/>
    <m/>
  </r>
  <r>
    <s v="lookyourfashion"/>
    <s v="Not a Customer"/>
    <s v="No growth Potential"/>
    <s v="Roman Nacha"/>
    <x v="1"/>
    <x v="130"/>
    <n v="96217"/>
    <d v="2022-12-09T00:00:00"/>
    <n v="0"/>
    <d v="2022-02-10T00:00:00"/>
    <x v="0"/>
    <m/>
    <m/>
    <m/>
  </r>
  <r>
    <s v="Progreso Analytics"/>
    <s v="Not a Customer"/>
    <s v="No growth Potential"/>
    <s v="Roman Nacha"/>
    <x v="0"/>
    <x v="9"/>
    <n v="90293"/>
    <d v="2022-12-11T00:00:00"/>
    <n v="0"/>
    <d v="2022-02-12T00:00:00"/>
    <x v="0"/>
    <m/>
    <m/>
    <m/>
  </r>
  <r>
    <s v="MTI"/>
    <s v="Not a Customer"/>
    <s v="No growth Potential"/>
    <s v="Roman Nacha"/>
    <x v="0"/>
    <x v="25"/>
    <n v="270429"/>
    <s v="24-08-2022"/>
    <n v="0"/>
    <d v="2022-02-11T00:00:00"/>
    <x v="0"/>
    <m/>
    <m/>
    <m/>
  </r>
  <r>
    <s v="NOTEGES"/>
    <s v="Not a Customer"/>
    <s v="Medium Growth"/>
    <s v="Roman Nacha"/>
    <x v="0"/>
    <x v="9"/>
    <n v="63020"/>
    <d v="2022-03-09T00:00:00"/>
    <n v="0"/>
    <d v="2022-02-11T00:00:00"/>
    <x v="0"/>
    <m/>
    <m/>
    <m/>
  </r>
  <r>
    <s v="BMC"/>
    <s v="Not a Customer"/>
    <s v="No growth Potential"/>
    <s v="Roman Nacha"/>
    <x v="0"/>
    <x v="9"/>
    <n v="71125"/>
    <s v="23-10-2022"/>
    <n v="0"/>
    <d v="2022-02-11T00:00:00"/>
    <x v="0"/>
    <m/>
    <m/>
    <m/>
  </r>
  <r>
    <s v="Availpro SA Spain"/>
    <s v="Not a Customer"/>
    <s v="No growth Potential"/>
    <s v="Roman Nacha"/>
    <x v="0"/>
    <x v="0"/>
    <n v="48820"/>
    <d v="2022-11-01T00:00:00"/>
    <n v="0"/>
    <d v="2022-02-03T00:00:00"/>
    <x v="0"/>
    <m/>
    <m/>
    <m/>
  </r>
  <r>
    <s v="Parque Isla Mágica S.A."/>
    <s v="Not a Customer"/>
    <s v="No growth Potential"/>
    <s v="Roman Nacha"/>
    <x v="0"/>
    <x v="100"/>
    <n v="118761"/>
    <s v="13-01-2022"/>
    <n v="0"/>
    <d v="2022-02-02T00:00:00"/>
    <x v="0"/>
    <m/>
    <m/>
    <m/>
  </r>
  <r>
    <s v="Instituto Politécnico de Tomar (IPT)"/>
    <s v="Not a Customer"/>
    <s v="No growth Potential"/>
    <s v="Roman Nacha"/>
    <x v="1"/>
    <x v="131"/>
    <n v="74208"/>
    <d v="2022-03-04T00:00:00"/>
    <n v="0"/>
    <d v="2022-02-06T00:00:00"/>
    <x v="0"/>
    <m/>
    <m/>
    <m/>
  </r>
  <r>
    <s v="European Food Safety Authority"/>
    <s v="Not a Customer"/>
    <s v="No growth Potential"/>
    <s v="Roman Nacha"/>
    <x v="2"/>
    <x v="132"/>
    <n v="62337"/>
    <d v="2022-12-06T00:00:00"/>
    <n v="0"/>
    <d v="2022-02-07T00:00:00"/>
    <x v="0"/>
    <m/>
    <m/>
    <m/>
  </r>
  <r>
    <s v="TIER 1"/>
    <s v="Not a Customer"/>
    <s v="No growth Potential"/>
    <s v="Roman Nacha"/>
    <x v="0"/>
    <x v="100"/>
    <n v="106208"/>
    <s v="13-10-2022"/>
    <n v="0"/>
    <d v="2022-02-11T00:00:00"/>
    <x v="0"/>
    <m/>
    <m/>
    <m/>
  </r>
  <r>
    <s v="Agriconsa"/>
    <s v="Not a Customer"/>
    <s v="No growth Potential"/>
    <s v="Roman Nacha"/>
    <x v="0"/>
    <x v="9"/>
    <n v="122068"/>
    <s v="24-07-2022"/>
    <n v="0"/>
    <d v="2022-02-09T00:00:00"/>
    <x v="0"/>
    <m/>
    <m/>
    <m/>
  </r>
  <r>
    <s v="Xpcamd"/>
    <s v="Not a Customer"/>
    <s v="Medium Growth"/>
    <s v="Roman Nacha"/>
    <x v="0"/>
    <x v="9"/>
    <n v="112085"/>
    <d v="2022-03-03T00:00:00"/>
    <n v="0"/>
    <d v="2022-02-04T00:00:00"/>
    <x v="0"/>
    <m/>
    <m/>
    <m/>
  </r>
  <r>
    <s v="Openwebinars"/>
    <s v="Not a Customer"/>
    <s v="No growth Potential"/>
    <s v="Roman Nacha"/>
    <x v="0"/>
    <x v="133"/>
    <n v="189857"/>
    <s v="22-09-2022"/>
    <n v="0"/>
    <d v="2022-02-10T00:00:00"/>
    <x v="0"/>
    <m/>
    <m/>
    <m/>
  </r>
  <r>
    <s v="Camino a Casa"/>
    <s v="Not a Customer"/>
    <s v="No growth Potential"/>
    <s v="Roman Nacha"/>
    <x v="0"/>
    <x v="134"/>
    <n v="120677"/>
    <s v="24-12-2021"/>
    <n v="0"/>
    <d v="2022-02-02T00:00:00"/>
    <x v="0"/>
    <m/>
    <m/>
    <m/>
  </r>
  <r>
    <s v="IntroRed"/>
    <s v="Not a Customer"/>
    <s v="No growth Potential"/>
    <s v="Roman Nacha"/>
    <x v="0"/>
    <x v="135"/>
    <n v="235793"/>
    <s v="13-10-2022"/>
    <n v="0"/>
    <d v="2022-02-11T00:00:00"/>
    <x v="0"/>
    <m/>
    <m/>
    <m/>
  </r>
  <r>
    <s v="Familia JGP"/>
    <s v="Not a Customer"/>
    <s v="No growth Potential"/>
    <s v="Roman Nacha"/>
    <x v="0"/>
    <x v="136"/>
    <n v="87037"/>
    <s v="24-12-2021"/>
    <n v="0"/>
    <d v="2022-02-02T00:00:00"/>
    <x v="0"/>
    <m/>
    <m/>
    <m/>
  </r>
  <r>
    <s v="Futuver"/>
    <s v="Not a Customer"/>
    <s v="No growth Potential"/>
    <s v="Roman Nacha"/>
    <x v="0"/>
    <x v="9"/>
    <n v="138786"/>
    <d v="2022-03-09T00:00:00"/>
    <n v="0"/>
    <d v="2022-02-11T00:00:00"/>
    <x v="0"/>
    <m/>
    <m/>
    <m/>
  </r>
  <r>
    <s v="Paperam"/>
    <s v="Not a Customer"/>
    <s v="No growth Potential"/>
    <s v="Roman Nacha"/>
    <x v="0"/>
    <x v="137"/>
    <n v="115160"/>
    <d v="2022-03-01T00:00:00"/>
    <n v="0"/>
    <d v="2022-02-02T00:00:00"/>
    <x v="0"/>
    <m/>
    <m/>
    <m/>
  </r>
  <r>
    <s v="ICP Logistica"/>
    <s v="Not a Customer"/>
    <s v="No growth Potential"/>
    <s v="Roman Nacha"/>
    <x v="0"/>
    <x v="138"/>
    <n v="169608"/>
    <s v="23-11-2022"/>
    <n v="0"/>
    <d v="2023-02-01T00:00:00"/>
    <x v="2"/>
    <m/>
    <m/>
    <m/>
  </r>
  <r>
    <s v="Rastreator.com"/>
    <s v="Not a Customer"/>
    <s v="No growth Potential"/>
    <s v="Roman Nacha"/>
    <x v="0"/>
    <x v="9"/>
    <n v="189835"/>
    <d v="2021-04-12T00:00:00"/>
    <n v="0"/>
    <d v="2022-02-02T00:00:00"/>
    <x v="0"/>
    <m/>
    <m/>
    <m/>
  </r>
  <r>
    <s v="Oliva Nova Golf"/>
    <s v="Not a Customer"/>
    <s v="No growth Potential"/>
    <s v="Roman Nacha"/>
    <x v="0"/>
    <x v="139"/>
    <n v="219470"/>
    <d v="2022-02-04T00:00:00"/>
    <n v="0"/>
    <d v="2022-02-05T00:00:00"/>
    <x v="0"/>
    <m/>
    <m/>
    <m/>
  </r>
  <r>
    <s v="UNIVERSIDAD DE SALAMANCA"/>
    <s v="Not a Customer"/>
    <s v="No growth Potential"/>
    <s v="Roman Nacha"/>
    <x v="0"/>
    <x v="140"/>
    <n v="134196"/>
    <s v="24-08-2022"/>
    <n v="0"/>
    <d v="2022-02-11T00:00:00"/>
    <x v="0"/>
    <m/>
    <m/>
    <m/>
  </r>
  <r>
    <s v="COMPRACTICA"/>
    <s v="Not a Customer"/>
    <s v="No growth Potential"/>
    <s v="Roman Nacha"/>
    <x v="0"/>
    <x v="0"/>
    <n v="132539"/>
    <s v="24-08-2022"/>
    <n v="0"/>
    <d v="2022-02-11T00:00:00"/>
    <x v="0"/>
    <m/>
    <m/>
    <m/>
  </r>
  <r>
    <s v="Indra Elecciones El Salvador"/>
    <s v="Not a Customer"/>
    <s v="No growth Potential"/>
    <s v="Roman Nacha"/>
    <x v="0"/>
    <x v="7"/>
    <n v="108925"/>
    <d v="2022-03-03T00:00:00"/>
    <n v="0"/>
    <d v="2022-02-05T00:00:00"/>
    <x v="0"/>
    <m/>
    <m/>
    <m/>
  </r>
  <r>
    <s v="Supermercados Sabeco S.A."/>
    <s v="Not a Customer"/>
    <s v="No growth Potential"/>
    <s v="Roman Nacha"/>
    <x v="0"/>
    <x v="141"/>
    <n v="142085"/>
    <d v="2022-02-09T00:00:00"/>
    <n v="0"/>
    <d v="2022-02-10T00:00:00"/>
    <x v="0"/>
    <m/>
    <m/>
    <m/>
  </r>
  <r>
    <s v="CIUDADANOS"/>
    <s v="Not a Customer"/>
    <s v="No growth Potential"/>
    <s v="Roman Nacha"/>
    <x v="0"/>
    <x v="3"/>
    <n v="115580"/>
    <d v="2022-03-10T00:00:00"/>
    <n v="0"/>
    <d v="2022-02-11T00:00:00"/>
    <x v="0"/>
    <m/>
    <m/>
    <m/>
  </r>
  <r>
    <s v="HOFMANN S.L.U"/>
    <s v="Not a Customer"/>
    <s v="No growth Potential"/>
    <s v="Roman Nacha"/>
    <x v="0"/>
    <x v="135"/>
    <n v="32000"/>
    <d v="2022-03-10T00:00:00"/>
    <n v="0"/>
    <d v="2022-02-11T00:00:00"/>
    <x v="0"/>
    <m/>
    <m/>
    <m/>
  </r>
  <r>
    <s v="TERMINAL CATALUNYA SA"/>
    <s v="Not a Customer"/>
    <s v="No growth Potential"/>
    <s v="Roman Nacha"/>
    <x v="0"/>
    <x v="97"/>
    <n v="74045"/>
    <s v="24-08-2022"/>
    <n v="0"/>
    <d v="2022-02-11T00:00:00"/>
    <x v="0"/>
    <m/>
    <m/>
    <m/>
  </r>
  <r>
    <s v="DECIMAS"/>
    <s v="Not a Customer"/>
    <s v="No growth Potential"/>
    <s v="Roman Nacha"/>
    <x v="0"/>
    <x v="7"/>
    <n v="104988"/>
    <s v="13-10-2022"/>
    <n v="0"/>
    <d v="2022-02-11T00:00:00"/>
    <x v="0"/>
    <m/>
    <m/>
    <m/>
  </r>
  <r>
    <s v="Universidad de Granada"/>
    <s v="Not a Customer"/>
    <s v="No growth Potential"/>
    <s v="Roman Nacha"/>
    <x v="0"/>
    <x v="9"/>
    <n v="235733"/>
    <s v="22-09-2022"/>
    <n v="0"/>
    <d v="2022-02-10T00:00:00"/>
    <x v="0"/>
    <m/>
    <m/>
    <m/>
  </r>
  <r>
    <s v="juguettos"/>
    <s v="Not a Customer"/>
    <s v="No growth Potential"/>
    <s v="Roman Nacha"/>
    <x v="0"/>
    <x v="9"/>
    <n v="204921"/>
    <s v="23-09-2022"/>
    <n v="0"/>
    <d v="2022-02-11T00:00:00"/>
    <x v="0"/>
    <m/>
    <m/>
    <m/>
  </r>
  <r>
    <s v="Hdeprada Web Design"/>
    <s v="Not a Customer"/>
    <s v="No growth Potential"/>
    <s v="Roman Nacha"/>
    <x v="0"/>
    <x v="142"/>
    <n v="88858"/>
    <s v="13-04-2022"/>
    <n v="0"/>
    <d v="2022-02-06T00:00:00"/>
    <x v="0"/>
    <m/>
    <m/>
    <m/>
  </r>
  <r>
    <s v="Diemer SL C"/>
    <s v="Not a Customer"/>
    <s v="No growth Potential"/>
    <s v="Roman Nacha"/>
    <x v="0"/>
    <x v="51"/>
    <n v="108983"/>
    <s v="13-10-2022"/>
    <n v="0"/>
    <d v="2022-02-11T00:00:00"/>
    <x v="0"/>
    <m/>
    <m/>
    <m/>
  </r>
  <r>
    <s v="derecho.com"/>
    <s v="Not a Customer"/>
    <s v="No growth Potential"/>
    <s v="Roman Nacha"/>
    <x v="0"/>
    <x v="0"/>
    <n v="75881"/>
    <s v="24-08-2022"/>
    <n v="0"/>
    <d v="2022-02-11T00:00:00"/>
    <x v="0"/>
    <m/>
    <m/>
    <m/>
  </r>
  <r>
    <s v="Adolfo Dominguez"/>
    <s v="Active Customer"/>
    <s v="High Growth potential"/>
    <s v="Roman Nacha"/>
    <x v="0"/>
    <x v="143"/>
    <n v="120013"/>
    <s v="22-10-2022"/>
    <n v="10910"/>
    <d v="2022-11-11T00:00:00"/>
    <x v="1"/>
    <m/>
    <m/>
    <m/>
  </r>
  <r>
    <s v="Desguaces Gil"/>
    <s v="Not a Customer"/>
    <s v="No growth Potential"/>
    <s v="Roman Nacha"/>
    <x v="0"/>
    <x v="144"/>
    <n v="124126"/>
    <d v="2022-03-05T00:00:00"/>
    <n v="0"/>
    <d v="2022-02-06T00:00:00"/>
    <x v="0"/>
    <m/>
    <m/>
    <m/>
  </r>
  <r>
    <s v="SHIELD DOMAIN S.A."/>
    <s v="Not a Customer"/>
    <s v="No growth Potential"/>
    <s v="Roman Nacha"/>
    <x v="1"/>
    <x v="61"/>
    <n v="138692"/>
    <d v="2022-03-10T00:00:00"/>
    <n v="0"/>
    <d v="2022-02-11T00:00:00"/>
    <x v="0"/>
    <m/>
    <m/>
    <m/>
  </r>
  <r>
    <s v="soysuper"/>
    <s v="Not a Customer"/>
    <s v="No growth Potential"/>
    <s v="Roman Nacha"/>
    <x v="0"/>
    <x v="9"/>
    <n v="147362"/>
    <s v="24-08-2022"/>
    <n v="0"/>
    <d v="2022-02-11T00:00:00"/>
    <x v="0"/>
    <m/>
    <m/>
    <m/>
  </r>
  <r>
    <s v="Castañer - Claudio Coello"/>
    <s v="Not a Customer"/>
    <s v="No growth Potential"/>
    <s v="Roman Nacha"/>
    <x v="0"/>
    <x v="9"/>
    <n v="106526"/>
    <d v="2022-03-01T00:00:00"/>
    <n v="0"/>
    <d v="2022-02-02T00:00:00"/>
    <x v="0"/>
    <m/>
    <m/>
    <m/>
  </r>
  <r>
    <s v="OpenCmsHispano"/>
    <s v="Not a Customer"/>
    <s v="No growth Potential"/>
    <s v="Roman Nacha"/>
    <x v="0"/>
    <x v="9"/>
    <n v="70969"/>
    <d v="2022-03-10T00:00:00"/>
    <n v="0"/>
    <d v="2022-02-12T00:00:00"/>
    <x v="0"/>
    <m/>
    <m/>
    <m/>
  </r>
  <r>
    <s v="ROIBACK / GLOBAL OBI"/>
    <s v="Not a Customer"/>
    <s v="No growth Potential"/>
    <s v="Roman Nacha"/>
    <x v="0"/>
    <x v="19"/>
    <n v="100034"/>
    <d v="2022-03-09T00:00:00"/>
    <n v="0"/>
    <d v="2022-02-11T00:00:00"/>
    <x v="0"/>
    <m/>
    <m/>
    <m/>
  </r>
  <r>
    <s v="Tutellus"/>
    <s v="Not a Customer"/>
    <s v="No growth Potential"/>
    <s v="Roman Nacha"/>
    <x v="0"/>
    <x v="3"/>
    <n v="101400"/>
    <s v="23-09-2022"/>
    <n v="0"/>
    <d v="2022-02-11T00:00:00"/>
    <x v="0"/>
    <m/>
    <m/>
    <m/>
  </r>
  <r>
    <s v="Grupo Casa Viva"/>
    <s v="Not a Customer"/>
    <s v="No growth Potential"/>
    <s v="Roman Nacha"/>
    <x v="0"/>
    <x v="9"/>
    <n v="67715"/>
    <s v="13-07-2022"/>
    <n v="0"/>
    <d v="2022-02-08T00:00:00"/>
    <x v="0"/>
    <m/>
    <m/>
    <m/>
  </r>
  <r>
    <s v="PC COMPONENTES Y MULTIMEDIA SL"/>
    <s v="Not a Customer"/>
    <s v="No growth Potential"/>
    <s v="Roman Nacha"/>
    <x v="0"/>
    <x v="145"/>
    <n v="80523"/>
    <d v="2022-03-10T00:00:00"/>
    <n v="0"/>
    <d v="2022-02-11T00:00:00"/>
    <x v="0"/>
    <m/>
    <m/>
    <m/>
  </r>
  <r>
    <s v="INNOVA-TSN"/>
    <s v="Not a Customer"/>
    <s v="No growth Potential"/>
    <s v="Roman Nacha"/>
    <x v="0"/>
    <x v="9"/>
    <n v="67742"/>
    <s v="23-10-2022"/>
    <n v="0"/>
    <d v="2022-02-11T00:00:00"/>
    <x v="0"/>
    <m/>
    <m/>
    <m/>
  </r>
  <r>
    <s v="Refer Telecom"/>
    <s v="Not a Customer"/>
    <s v="No growth Potential"/>
    <s v="Roman Nacha"/>
    <x v="1"/>
    <x v="61"/>
    <n v="96217"/>
    <d v="2022-03-10T00:00:00"/>
    <n v="0"/>
    <d v="2022-02-11T00:00:00"/>
    <x v="0"/>
    <m/>
    <m/>
    <m/>
  </r>
  <r>
    <s v="PWC españa"/>
    <s v="Not a Customer"/>
    <s v="No growth Potential"/>
    <s v="Roman Nacha"/>
    <x v="0"/>
    <x v="3"/>
    <n v="90293"/>
    <s v="13-06-2022"/>
    <n v="0"/>
    <d v="2022-02-08T00:00:00"/>
    <x v="0"/>
    <m/>
    <m/>
    <m/>
  </r>
  <r>
    <s v="DIRECTO A CASA"/>
    <s v="Not a Customer"/>
    <s v="No growth Potential"/>
    <s v="Roman Nacha"/>
    <x v="0"/>
    <x v="146"/>
    <n v="270429"/>
    <d v="2022-03-10T00:00:00"/>
    <n v="0"/>
    <d v="2022-02-11T00:00:00"/>
    <x v="0"/>
    <m/>
    <m/>
    <m/>
  </r>
  <r>
    <s v="Lavinia"/>
    <s v="Not a Customer"/>
    <s v="No growth Potential"/>
    <s v="Roman Nacha"/>
    <x v="0"/>
    <x v="3"/>
    <n v="63020"/>
    <s v="14-12-2021"/>
    <n v="0"/>
    <d v="2022-02-02T00:00:00"/>
    <x v="0"/>
    <m/>
    <m/>
    <m/>
  </r>
  <r>
    <s v="Universidad Publica De Navarra"/>
    <s v="Not a Customer"/>
    <s v="No growth Potential"/>
    <s v="Roman Nacha"/>
    <x v="0"/>
    <x v="147"/>
    <n v="71125"/>
    <s v="23-08-2022"/>
    <n v="0"/>
    <d v="2022-02-10T00:00:00"/>
    <x v="0"/>
    <m/>
    <m/>
    <m/>
  </r>
  <r>
    <s v="Doctor Madera"/>
    <s v="Not a Customer"/>
    <s v="No growth Potential"/>
    <s v="Roman Nacha"/>
    <x v="0"/>
    <x v="0"/>
    <n v="48820"/>
    <s v="24-07-2022"/>
    <n v="0"/>
    <d v="2022-02-09T00:00:00"/>
    <x v="0"/>
    <m/>
    <m/>
    <m/>
  </r>
  <r>
    <s v="Moventia"/>
    <s v="Not a Customer"/>
    <s v="No growth Potential"/>
    <s v="Roman Nacha"/>
    <x v="0"/>
    <x v="0"/>
    <n v="118761"/>
    <s v="23-07-2022"/>
    <n v="0"/>
    <d v="2022-02-08T00:00:00"/>
    <x v="0"/>
    <m/>
    <m/>
    <m/>
  </r>
  <r>
    <s v="Agapea.com"/>
    <s v="Not a Customer"/>
    <s v="No growth Potential"/>
    <s v="Roman Nacha"/>
    <x v="0"/>
    <x v="36"/>
    <n v="74208"/>
    <d v="2022-11-01T00:00:00"/>
    <n v="0"/>
    <d v="2022-02-03T00:00:00"/>
    <x v="0"/>
    <m/>
    <m/>
    <m/>
  </r>
  <r>
    <s v="Seidor"/>
    <s v="Not a Customer"/>
    <s v="No growth Potential"/>
    <s v="Roman Nacha"/>
    <x v="0"/>
    <x v="9"/>
    <n v="62337"/>
    <d v="2022-03-09T00:00:00"/>
    <n v="0"/>
    <d v="2022-02-11T00:00:00"/>
    <x v="0"/>
    <m/>
    <m/>
    <m/>
  </r>
  <r>
    <s v="Miebach Spain"/>
    <s v="Not a Customer"/>
    <s v="No growth Potential"/>
    <s v="Roman Nacha"/>
    <x v="0"/>
    <x v="9"/>
    <n v="143588"/>
    <d v="2022-02-04T00:00:00"/>
    <n v="0"/>
    <d v="2022-02-05T00:00:00"/>
    <x v="0"/>
    <m/>
    <m/>
    <m/>
  </r>
  <r>
    <s v="LABORATORIOS LETI S.L."/>
    <s v="Not a Customer"/>
    <s v="No growth Potential"/>
    <s v="Roman Nacha"/>
    <x v="0"/>
    <x v="0"/>
    <n v="61002"/>
    <s v="23-09-2022"/>
    <n v="0"/>
    <d v="2022-02-11T00:00:00"/>
    <x v="0"/>
    <m/>
    <m/>
    <m/>
  </r>
  <r>
    <s v="UCI"/>
    <s v="Not a Customer"/>
    <s v="No growth Potential"/>
    <s v="Roman Nacha"/>
    <x v="0"/>
    <x v="9"/>
    <n v="109980"/>
    <s v="23-09-2022"/>
    <n v="0"/>
    <d v="2022-02-11T00:00:00"/>
    <x v="0"/>
    <m/>
    <m/>
    <m/>
  </r>
  <r>
    <s v="habitaclia"/>
    <s v="Not a Customer"/>
    <s v="No growth Potential"/>
    <s v="Roman Nacha"/>
    <x v="0"/>
    <x v="9"/>
    <n v="106526"/>
    <d v="2021-04-12T00:00:00"/>
    <n v="0"/>
    <d v="2022-02-02T00:00:00"/>
    <x v="0"/>
    <m/>
    <m/>
    <m/>
  </r>
  <r>
    <s v="IRTA"/>
    <s v="Not a Customer"/>
    <s v="No growth Potential"/>
    <s v="Roman Nacha"/>
    <x v="0"/>
    <x v="0"/>
    <n v="70969"/>
    <d v="2022-03-10T00:00:00"/>
    <n v="0"/>
    <d v="2022-02-11T00:00:00"/>
    <x v="0"/>
    <m/>
    <m/>
    <m/>
  </r>
  <r>
    <s v="NEUGEST 1957"/>
    <s v="Not a Customer"/>
    <s v="No growth Potential"/>
    <s v="Roman Nacha"/>
    <x v="0"/>
    <x v="0"/>
    <n v="100034"/>
    <d v="2022-03-09T00:00:00"/>
    <n v="0"/>
    <d v="2022-02-11T00:00:00"/>
    <x v="0"/>
    <m/>
    <m/>
    <m/>
  </r>
  <r>
    <s v="Mundivia SA"/>
    <s v="Not a Customer"/>
    <s v="No growth Potential"/>
    <s v="Roman Nacha"/>
    <x v="0"/>
    <x v="30"/>
    <n v="107069"/>
    <s v="24-05-2022"/>
    <n v="0"/>
    <d v="2022-02-08T00:00:00"/>
    <x v="0"/>
    <m/>
    <m/>
    <m/>
  </r>
  <r>
    <s v="Indra Sistemas S.A."/>
    <s v="Not a Customer"/>
    <s v="No growth Potential"/>
    <s v="Roman Nacha"/>
    <x v="0"/>
    <x v="7"/>
    <n v="143517"/>
    <d v="2022-12-04T00:00:00"/>
    <n v="0"/>
    <d v="2022-02-05T00:00:00"/>
    <x v="0"/>
    <m/>
    <m/>
    <m/>
  </r>
  <r>
    <s v="FitnessBit SL"/>
    <s v="Not a Customer"/>
    <s v="No growth Potential"/>
    <s v="Roman Nacha"/>
    <x v="0"/>
    <x v="148"/>
    <n v="58504"/>
    <d v="2022-03-09T00:00:00"/>
    <n v="0"/>
    <d v="2022-02-11T00:00:00"/>
    <x v="0"/>
    <m/>
    <m/>
    <m/>
  </r>
  <r>
    <s v="Ayuntamiento de zagoza"/>
    <s v="Not a Customer"/>
    <s v="No growth Potential"/>
    <s v="Roman Nacha"/>
    <x v="0"/>
    <x v="9"/>
    <n v="95966"/>
    <s v="23-04-2022"/>
    <n v="0"/>
    <d v="2022-02-06T00:00:00"/>
    <x v="0"/>
    <m/>
    <m/>
    <m/>
  </r>
  <r>
    <s v="Kling"/>
    <s v="Not a Customer"/>
    <s v="No growth Potential"/>
    <s v="Roman Nacha"/>
    <x v="0"/>
    <x v="3"/>
    <n v="54725"/>
    <s v="23-09-2022"/>
    <n v="0"/>
    <d v="2022-02-11T00:00:00"/>
    <x v="0"/>
    <m/>
    <m/>
    <m/>
  </r>
  <r>
    <s v="CONNECTIS"/>
    <s v="Not a Customer"/>
    <s v="No growth Potential"/>
    <s v="Roman Nacha"/>
    <x v="0"/>
    <x v="3"/>
    <n v="147868"/>
    <d v="2022-03-10T00:00:00"/>
    <n v="0"/>
    <d v="2022-02-11T00:00:00"/>
    <x v="0"/>
    <m/>
    <m/>
    <m/>
  </r>
  <r>
    <s v="FICOSA INTERNATIONAL S.A."/>
    <s v="Not a Customer"/>
    <s v="No growth Potential"/>
    <s v="Roman Nacha"/>
    <x v="0"/>
    <x v="9"/>
    <n v="112714"/>
    <s v="23-09-2022"/>
    <n v="0"/>
    <d v="2022-02-11T00:00:00"/>
    <x v="0"/>
    <m/>
    <m/>
    <m/>
  </r>
  <r>
    <s v="Honeywell Movilizer"/>
    <s v="Not a Customer"/>
    <s v="No growth Potential"/>
    <s v="Roman Nacha"/>
    <x v="0"/>
    <x v="9"/>
    <n v="74208"/>
    <d v="2022-03-10T00:00:00"/>
    <n v="0"/>
    <d v="2022-02-11T00:00:00"/>
    <x v="0"/>
    <m/>
    <m/>
    <m/>
  </r>
  <r>
    <s v="Aurora Blockchain S.L"/>
    <s v="Not a Customer"/>
    <s v="No growth Potential"/>
    <s v="Roman Nacha"/>
    <x v="0"/>
    <x v="9"/>
    <n v="90068"/>
    <s v="23-04-2022"/>
    <n v="0"/>
    <d v="2022-02-06T00:00:00"/>
    <x v="0"/>
    <m/>
    <m/>
    <m/>
  </r>
  <r>
    <s v="IriWorldwide Spain"/>
    <s v="Not a Customer"/>
    <s v="No growth Potential"/>
    <s v="Roman Nacha"/>
    <x v="0"/>
    <x v="3"/>
    <n v="80085"/>
    <s v="23-03-2023"/>
    <n v="0"/>
    <d v="2023-02-04T00:00:00"/>
    <x v="2"/>
    <m/>
    <m/>
    <m/>
  </r>
  <r>
    <s v="Fnmt Rcm"/>
    <s v="Not a Customer"/>
    <s v="No growth Potential"/>
    <s v="Roman Nacha"/>
    <x v="0"/>
    <x v="3"/>
    <n v="157857"/>
    <s v="24-08-2022"/>
    <n v="0"/>
    <d v="2022-02-11T00:00:00"/>
    <x v="0"/>
    <m/>
    <m/>
    <m/>
  </r>
  <r>
    <s v="XOTELS"/>
    <s v="Not a Customer"/>
    <s v="No growth Potential"/>
    <s v="Roman Nacha"/>
    <x v="0"/>
    <x v="0"/>
    <n v="88677"/>
    <s v="24-08-2022"/>
    <n v="0"/>
    <d v="2022-02-11T00:00:00"/>
    <x v="0"/>
    <m/>
    <m/>
    <m/>
  </r>
  <r>
    <s v="MerkaMueble"/>
    <s v="Not a Customer"/>
    <s v="No growth Potential"/>
    <s v="Roman Nacha"/>
    <x v="0"/>
    <x v="9"/>
    <n v="203793"/>
    <s v="23-03-2022"/>
    <n v="0"/>
    <d v="2022-02-05T00:00:00"/>
    <x v="0"/>
    <m/>
    <m/>
    <m/>
  </r>
  <r>
    <s v="Abb Sistemas Industriales S.A."/>
    <s v="Not a Customer"/>
    <s v="No growth Potential"/>
    <s v="Roman Nacha"/>
    <x v="0"/>
    <x v="149"/>
    <n v="55037"/>
    <s v="13-09-2022"/>
    <n v="0"/>
    <d v="2022-02-11T00:00:00"/>
    <x v="0"/>
    <m/>
    <m/>
    <m/>
  </r>
  <r>
    <s v="Fersa Bearings S.A."/>
    <s v="Not a Customer"/>
    <s v="No growth Potential"/>
    <s v="Roman Nacha"/>
    <x v="0"/>
    <x v="60"/>
    <n v="106786"/>
    <d v="2022-03-03T00:00:00"/>
    <n v="0"/>
    <d v="2022-02-05T00:00:00"/>
    <x v="0"/>
    <m/>
    <m/>
    <m/>
  </r>
  <r>
    <s v="Grupo Yorga"/>
    <s v="Active Customer"/>
    <s v="High Growth potential"/>
    <s v="Roman Nacha"/>
    <x v="0"/>
    <x v="135"/>
    <n v="83160"/>
    <s v="31-10-2022"/>
    <n v="41580"/>
    <s v="20-11-2022"/>
    <x v="1"/>
    <m/>
    <m/>
    <m/>
  </r>
  <r>
    <s v="tuexperto.com"/>
    <s v="Not a Customer"/>
    <s v="No growth Potential"/>
    <s v="Roman Nacha"/>
    <x v="0"/>
    <x v="3"/>
    <n v="137608"/>
    <s v="23-09-2022"/>
    <n v="0"/>
    <d v="2022-02-11T00:00:00"/>
    <x v="0"/>
    <m/>
    <m/>
    <m/>
  </r>
  <r>
    <s v="Futbol Emotion"/>
    <s v="Not a Customer"/>
    <s v="No growth Potential"/>
    <s v="Roman Nacha"/>
    <x v="0"/>
    <x v="9"/>
    <n v="157835"/>
    <s v="13-10-2022"/>
    <n v="0"/>
    <d v="2022-02-11T00:00:00"/>
    <x v="0"/>
    <m/>
    <m/>
    <m/>
  </r>
  <r>
    <s v="Arte y Naturaleza Gespart SL"/>
    <s v="Not a Customer"/>
    <s v="No growth Potential"/>
    <s v="Roman Nacha"/>
    <x v="0"/>
    <x v="9"/>
    <n v="187470"/>
    <s v="13-08-2022"/>
    <n v="0"/>
    <d v="2022-02-09T00:00:00"/>
    <x v="0"/>
    <m/>
    <m/>
    <m/>
  </r>
  <r>
    <s v="Emdep"/>
    <s v="Not a Customer"/>
    <s v="No growth Potential"/>
    <s v="Roman Nacha"/>
    <x v="0"/>
    <x v="9"/>
    <n v="102196"/>
    <d v="2022-03-09T00:00:00"/>
    <n v="0"/>
    <d v="2022-02-11T00:00:00"/>
    <x v="0"/>
    <m/>
    <m/>
    <m/>
  </r>
  <r>
    <s v="GENESIS MOBILE S.L."/>
    <s v="Not a Customer"/>
    <s v="No growth Potential"/>
    <s v="Roman Nacha"/>
    <x v="0"/>
    <x v="3"/>
    <n v="100539"/>
    <s v="13-10-2022"/>
    <n v="0"/>
    <d v="2022-02-11T00:00:00"/>
    <x v="0"/>
    <m/>
    <m/>
    <m/>
  </r>
  <r>
    <s v="Ricoh Espana"/>
    <s v="Not a Customer"/>
    <s v="No growth Potential"/>
    <s v="Roman Nacha"/>
    <x v="0"/>
    <x v="0"/>
    <n v="76925"/>
    <s v="23-08-2022"/>
    <n v="0"/>
    <d v="2022-02-10T00:00:00"/>
    <x v="0"/>
    <m/>
    <m/>
    <m/>
  </r>
  <r>
    <s v="GFI INFORMATIQUE SPAIN"/>
    <s v="Not a Customer"/>
    <s v="No growth Potential"/>
    <s v="Roman Nacha"/>
    <x v="0"/>
    <x v="9"/>
    <n v="110085"/>
    <s v="24-08-2022"/>
    <n v="0"/>
    <d v="2022-02-11T00:00:00"/>
    <x v="0"/>
    <m/>
    <m/>
    <m/>
  </r>
  <r>
    <s v="Marketingcom"/>
    <s v="Not a Customer"/>
    <s v="No growth Potential"/>
    <s v="Roman Nacha"/>
    <x v="0"/>
    <x v="9"/>
    <n v="83580"/>
    <s v="23-01-2022"/>
    <n v="0"/>
    <d v="2022-02-02T00:00:00"/>
    <x v="0"/>
    <m/>
    <m/>
    <m/>
  </r>
  <r>
    <s v="Apser"/>
    <s v="Not a Customer"/>
    <s v="No growth Potential"/>
    <s v="Roman Nacha"/>
    <x v="0"/>
    <x v="60"/>
    <m/>
    <s v="24-08-2022"/>
    <n v="0"/>
    <d v="2022-02-11T00:00:00"/>
    <x v="0"/>
    <m/>
    <m/>
    <m/>
  </r>
  <r>
    <s v="Juan Fornes Fornes S.A."/>
    <s v="Not a Customer"/>
    <s v="No growth Potential"/>
    <s v="Roman Nacha"/>
    <x v="0"/>
    <x v="150"/>
    <n v="42045"/>
    <d v="2022-11-01T00:00:00"/>
    <n v="0"/>
    <d v="2022-02-03T00:00:00"/>
    <x v="0"/>
    <m/>
    <m/>
    <m/>
  </r>
  <r>
    <s v="Indra Elecciones Comunidad de Madrid"/>
    <s v="Not a Customer"/>
    <s v="No growth Potential"/>
    <s v="Roman Nacha"/>
    <x v="0"/>
    <x v="9"/>
    <n v="72988"/>
    <s v="22-04-2022"/>
    <n v="0"/>
    <d v="2022-02-05T00:00:00"/>
    <x v="0"/>
    <m/>
    <m/>
    <m/>
  </r>
  <r>
    <s v="Grupo Samca"/>
    <s v="Not a Customer"/>
    <s v="No growth Potential"/>
    <s v="Roman Nacha"/>
    <x v="0"/>
    <x v="60"/>
    <n v="203733"/>
    <s v="13-07-2022"/>
    <n v="0"/>
    <d v="2022-02-08T00:00:00"/>
    <x v="0"/>
    <m/>
    <m/>
    <m/>
  </r>
  <r>
    <s v="Pikolín"/>
    <s v="Not a Customer"/>
    <s v="No growth Potential"/>
    <s v="Roman Nacha"/>
    <x v="0"/>
    <x v="60"/>
    <n v="172921"/>
    <s v="23-09-2022"/>
    <n v="0"/>
    <d v="2022-02-11T00:00:00"/>
    <x v="0"/>
    <m/>
    <m/>
    <m/>
  </r>
  <r>
    <s v="Bebitus"/>
    <s v="Not a Customer"/>
    <s v="No growth Potential"/>
    <s v="Roman Nacha"/>
    <x v="0"/>
    <x v="9"/>
    <n v="56858"/>
    <s v="13-09-2022"/>
    <n v="0"/>
    <d v="2022-02-11T00:00:00"/>
    <x v="0"/>
    <m/>
    <m/>
    <m/>
  </r>
  <r>
    <s v="CleverTask"/>
    <s v="Not a Customer"/>
    <s v="No growth Potential"/>
    <s v="Roman Nacha"/>
    <x v="0"/>
    <x v="9"/>
    <n v="76983"/>
    <d v="2022-03-06T00:00:00"/>
    <n v="0"/>
    <d v="2022-02-08T00:00:00"/>
    <x v="0"/>
    <m/>
    <m/>
    <m/>
  </r>
  <r>
    <s v="ADP Spain"/>
    <s v="Not a Customer"/>
    <s v="No growth Potential"/>
    <s v="Roman Nacha"/>
    <x v="0"/>
    <x v="9"/>
    <n v="43881"/>
    <d v="2022-12-06T00:00:00"/>
    <n v="0"/>
    <d v="2022-02-07T00:00:00"/>
    <x v="0"/>
    <m/>
    <m/>
    <m/>
  </r>
  <r>
    <s v="Switch Digital Consulting"/>
    <s v="Not a Customer"/>
    <s v="No growth Potential"/>
    <s v="Roman Nacha"/>
    <x v="1"/>
    <x v="9"/>
    <n v="88013"/>
    <d v="2022-03-11T00:00:00"/>
    <n v="0"/>
    <d v="2023-02-01T00:00:00"/>
    <x v="2"/>
    <m/>
    <m/>
    <m/>
  </r>
  <r>
    <s v="Eurecat - Technology Centre of Catalonia"/>
    <s v="Not a Customer"/>
    <s v="No growth Potential"/>
    <s v="Roman Nacha"/>
    <x v="0"/>
    <x v="0"/>
    <n v="92126"/>
    <s v="23-05-2022"/>
    <n v="0"/>
    <d v="2022-02-06T00:00:00"/>
    <x v="0"/>
    <m/>
    <m/>
    <m/>
  </r>
  <r>
    <s v="European Union Intellectual Property Office (EUIPO)"/>
    <s v="Active Customer"/>
    <s v="High Growth potential"/>
    <s v="Roman Nacha"/>
    <x v="0"/>
    <x v="116"/>
    <n v="106692"/>
    <s v="24-05-2022"/>
    <n v="8891"/>
    <s v="23-07-2022"/>
    <x v="3"/>
    <m/>
    <m/>
    <m/>
  </r>
  <r>
    <s v="Deltanet"/>
    <s v="Not a Customer"/>
    <s v="No growth Potential"/>
    <s v="Roman Nacha"/>
    <x v="0"/>
    <x v="9"/>
    <n v="133858"/>
    <d v="2022-12-04T00:00:00"/>
    <n v="0"/>
    <d v="2022-02-05T00:00:00"/>
    <x v="0"/>
    <m/>
    <m/>
    <m/>
  </r>
  <r>
    <s v="THB Hotels"/>
    <s v="Not a Customer"/>
    <s v="No growth Potential"/>
    <s v="Roman Nacha"/>
    <x v="0"/>
    <x v="151"/>
    <n v="368455"/>
    <d v="2022-03-09T00:00:00"/>
    <n v="0"/>
    <d v="2022-02-11T00:00:00"/>
    <x v="0"/>
    <m/>
    <m/>
    <m/>
  </r>
  <r>
    <s v="Jumari S.A."/>
    <s v="Not a Customer"/>
    <s v="No growth Potential"/>
    <s v="Roman Nacha"/>
    <x v="0"/>
    <x v="152"/>
    <n v="107211"/>
    <s v="21-02-2022"/>
    <n v="0"/>
    <d v="2022-02-04T00:00:00"/>
    <x v="0"/>
    <m/>
    <m/>
    <m/>
  </r>
  <r>
    <s v="Consorcio de Aguas Bilbao Bizkaia"/>
    <s v="Not a Customer"/>
    <s v="No growth Potential"/>
    <s v="Roman Nacha"/>
    <x v="0"/>
    <x v="25"/>
    <n v="115087"/>
    <s v="13-03-2023"/>
    <n v="0"/>
    <d v="2023-02-05T00:00:00"/>
    <x v="2"/>
    <m/>
    <m/>
    <m/>
  </r>
  <r>
    <s v="Ingeteam"/>
    <s v="Not a Customer"/>
    <s v="No growth Potential"/>
    <s v="Roman Nacha"/>
    <x v="0"/>
    <x v="153"/>
    <n v="104166"/>
    <s v="23-04-2022"/>
    <n v="0"/>
    <d v="2022-02-07T00:00:00"/>
    <x v="0"/>
    <m/>
    <m/>
    <m/>
  </r>
  <r>
    <s v="AEMET"/>
    <s v="Active Customer"/>
    <s v="High Growth potential"/>
    <s v="Roman Nacha"/>
    <x v="0"/>
    <x v="3"/>
    <n v="143497"/>
    <s v="28-10-2022"/>
    <n v="71749"/>
    <s v="17-11-2022"/>
    <x v="1"/>
    <m/>
    <m/>
    <m/>
  </r>
  <r>
    <s v="Xcentra"/>
    <s v="Not a Customer"/>
    <s v="No growth Potential"/>
    <s v="Roman Nacha"/>
    <x v="0"/>
    <x v="3"/>
    <n v="127427"/>
    <s v="13-05-2022"/>
    <n v="0"/>
    <d v="2022-02-07T00:00:00"/>
    <x v="0"/>
    <m/>
    <m/>
    <m/>
  </r>
  <r>
    <s v="jonnyrapp.com"/>
    <s v="Not a Customer"/>
    <s v="No growth Potential"/>
    <s v="Roman Nacha"/>
    <x v="0"/>
    <x v="154"/>
    <n v="355370"/>
    <d v="2022-02-06T00:00:00"/>
    <n v="0"/>
    <d v="2022-02-07T00:00:00"/>
    <x v="0"/>
    <m/>
    <m/>
    <m/>
  </r>
  <r>
    <s v="Portucel Soporcel group"/>
    <s v="Not a Customer"/>
    <s v="No growth Potential"/>
    <s v="Roman Nacha"/>
    <x v="1"/>
    <x v="155"/>
    <n v="191190"/>
    <s v="24-08-2022"/>
    <n v="0"/>
    <d v="2022-02-11T00:00:00"/>
    <x v="0"/>
    <m/>
    <m/>
    <m/>
  </r>
  <r>
    <s v="Ackcent Cybersecurity"/>
    <s v="Not a Customer"/>
    <s v="No growth Potential"/>
    <s v="Roman Nacha"/>
    <x v="0"/>
    <x v="0"/>
    <n v="209817"/>
    <d v="2022-03-10T00:00:00"/>
    <n v="0"/>
    <d v="2022-02-11T00:00:00"/>
    <x v="0"/>
    <m/>
    <m/>
    <m/>
  </r>
  <r>
    <s v="RandomControl SLU"/>
    <s v="Not a Customer"/>
    <s v="No growth Potential"/>
    <s v="Roman Nacha"/>
    <x v="0"/>
    <x v="3"/>
    <n v="49625"/>
    <d v="2022-03-01T00:00:00"/>
    <n v="0"/>
    <d v="2022-02-02T00:00:00"/>
    <x v="0"/>
    <m/>
    <m/>
    <m/>
  </r>
  <r>
    <s v="CUNEXT COPPER INDUSTRIES"/>
    <s v="Not a Customer"/>
    <s v="No growth Potential"/>
    <s v="Roman Nacha"/>
    <x v="0"/>
    <x v="115"/>
    <n v="101488"/>
    <s v="23-09-2022"/>
    <n v="0"/>
    <d v="2022-02-11T00:00:00"/>
    <x v="0"/>
    <m/>
    <m/>
    <m/>
  </r>
  <r>
    <s v="Interface Safeaccess SL"/>
    <s v="Not a Customer"/>
    <s v="No growth Potential"/>
    <s v="Roman Nacha"/>
    <x v="0"/>
    <x v="0"/>
    <n v="101400"/>
    <d v="2022-12-06T00:00:00"/>
    <n v="0"/>
    <d v="2022-02-07T00:00:00"/>
    <x v="0"/>
    <m/>
    <m/>
    <m/>
  </r>
  <r>
    <s v="Primavera BSS"/>
    <s v="Not a Customer"/>
    <s v="No growth Potential"/>
    <s v="Roman Nacha"/>
    <x v="1"/>
    <x v="59"/>
    <n v="67715"/>
    <s v="13-03-2022"/>
    <n v="0"/>
    <d v="2022-02-05T00:00:00"/>
    <x v="0"/>
    <m/>
    <m/>
    <m/>
  </r>
  <r>
    <s v="Alcampo S.A."/>
    <s v="Active Customer"/>
    <s v="High Growth potential"/>
    <s v="Roman Nacha"/>
    <x v="0"/>
    <x v="3"/>
    <n v="80523"/>
    <s v="15-03-2022"/>
    <n v="40262"/>
    <s v="14-04-2022"/>
    <x v="4"/>
    <m/>
    <m/>
    <m/>
  </r>
  <r>
    <s v="Cortizo"/>
    <s v="Not a Customer"/>
    <s v="No growth Potential"/>
    <s v="Roman Nacha"/>
    <x v="0"/>
    <x v="156"/>
    <n v="67742"/>
    <s v="24-08-2022"/>
    <n v="0"/>
    <d v="2022-02-11T00:00:00"/>
    <x v="0"/>
    <m/>
    <m/>
    <m/>
  </r>
  <r>
    <s v="INDRA_elecciones argentinas"/>
    <s v="Not a Customer"/>
    <s v="No growth Potential"/>
    <s v="Roman Nacha"/>
    <x v="0"/>
    <x v="3"/>
    <n v="96217"/>
    <d v="2023-03-05T00:00:00"/>
    <n v="0"/>
    <d v="2023-02-06T00:00:00"/>
    <x v="2"/>
    <m/>
    <m/>
    <m/>
  </r>
  <r>
    <s v="Odisseias"/>
    <s v="Not a Customer"/>
    <s v="No growth Potential"/>
    <s v="Roman Nacha"/>
    <x v="1"/>
    <x v="9"/>
    <n v="90293"/>
    <s v="13-06-2022"/>
    <n v="0"/>
    <d v="2022-02-08T00:00:00"/>
    <x v="0"/>
    <m/>
    <m/>
    <m/>
  </r>
  <r>
    <s v="ADISSEO"/>
    <s v="Not a Customer"/>
    <s v="No growth Potential"/>
    <s v="Roman Nacha"/>
    <x v="0"/>
    <x v="9"/>
    <n v="270429"/>
    <d v="2022-03-09T00:00:00"/>
    <n v="0"/>
    <d v="2022-02-11T00:00:00"/>
    <x v="0"/>
    <m/>
    <m/>
    <m/>
  </r>
  <r>
    <s v="Agencia Best"/>
    <s v="Not a Customer"/>
    <s v="No growth Potential"/>
    <s v="Roman Nacha"/>
    <x v="0"/>
    <x v="9"/>
    <n v="63020"/>
    <d v="2022-12-06T00:00:00"/>
    <n v="0"/>
    <d v="2022-02-07T00:00:00"/>
    <x v="0"/>
    <m/>
    <m/>
    <m/>
  </r>
  <r>
    <s v="Software Estrategico"/>
    <s v="Not a Customer"/>
    <s v="No growth Potential"/>
    <s v="Roman Nacha"/>
    <x v="0"/>
    <x v="157"/>
    <n v="71125"/>
    <s v="24-03-2022"/>
    <n v="0"/>
    <d v="2022-02-06T00:00:00"/>
    <x v="0"/>
    <m/>
    <m/>
    <m/>
  </r>
  <r>
    <s v="ACCIÓ - Agència per la Competitivitat de l'Empresa"/>
    <s v="Not a Customer"/>
    <s v="No growth Potential"/>
    <s v="Roman Nacha"/>
    <x v="0"/>
    <x v="9"/>
    <n v="48820"/>
    <d v="2023-11-01T00:00:00"/>
    <n v="0"/>
    <d v="2023-02-03T00:00:00"/>
    <x v="2"/>
    <m/>
    <m/>
    <m/>
  </r>
  <r>
    <s v="British Council"/>
    <s v="Not a Customer"/>
    <s v="No growth Potential"/>
    <s v="Roman Nacha"/>
    <x v="0"/>
    <x v="9"/>
    <n v="118761"/>
    <s v="24-08-2022"/>
    <n v="0"/>
    <d v="2022-02-11T00:00:00"/>
    <x v="0"/>
    <m/>
    <m/>
    <m/>
  </r>
  <r>
    <s v="TABLEROS DE FIBRAS"/>
    <s v="Not a Customer"/>
    <s v="No growth Potential"/>
    <s v="Roman Nacha"/>
    <x v="0"/>
    <x v="119"/>
    <n v="74208"/>
    <d v="2022-03-10T00:00:00"/>
    <n v="0"/>
    <d v="2022-02-11T00:00:00"/>
    <x v="0"/>
    <m/>
    <m/>
    <m/>
  </r>
  <r>
    <s v="Lindt Spain"/>
    <s v="Not a Customer"/>
    <s v="No growth Potential"/>
    <s v="Roman Nacha"/>
    <x v="0"/>
    <x v="9"/>
    <n v="62337"/>
    <s v="24-07-2022"/>
    <n v="0"/>
    <d v="2022-02-09T00:00:00"/>
    <x v="0"/>
    <m/>
    <m/>
    <m/>
  </r>
  <r>
    <s v="World Duty Free Group Spain"/>
    <s v="Not a Customer"/>
    <s v="No growth Potential"/>
    <s v="Roman Nacha"/>
    <x v="0"/>
    <x v="3"/>
    <n v="106208"/>
    <s v="23-12-2021"/>
    <n v="0"/>
    <d v="2022-01-02T00:00:00"/>
    <x v="0"/>
    <m/>
    <m/>
    <m/>
  </r>
  <r>
    <s v="Aon Gil Y Carvajal S.A."/>
    <s v="Not a Customer"/>
    <s v="No growth Potential"/>
    <s v="Roman Nacha"/>
    <x v="0"/>
    <x v="3"/>
    <n v="122068"/>
    <s v="22-11-2022"/>
    <n v="0"/>
    <d v="2022-02-12T00:00:00"/>
    <x v="0"/>
    <m/>
    <m/>
    <m/>
  </r>
  <r>
    <s v="Castro Electronica"/>
    <s v="Not a Customer"/>
    <s v="No growth Potential"/>
    <s v="Roman Nacha"/>
    <x v="1"/>
    <x v="9"/>
    <n v="112085"/>
    <s v="23-01-2022"/>
    <n v="0"/>
    <d v="2022-02-02T00:00:00"/>
    <x v="0"/>
    <m/>
    <m/>
    <m/>
  </r>
  <r>
    <s v="EsDemarca"/>
    <s v="Not a Customer"/>
    <s v="No growth Potential"/>
    <s v="Roman Nacha"/>
    <x v="0"/>
    <x v="9"/>
    <n v="189857"/>
    <s v="23-05-2022"/>
    <n v="0"/>
    <d v="2022-02-06T00:00:00"/>
    <x v="0"/>
    <m/>
    <m/>
    <m/>
  </r>
  <r>
    <s v="Mr Informatica"/>
    <s v="Not a Customer"/>
    <s v="No growth Potential"/>
    <s v="Roman Nacha"/>
    <x v="1"/>
    <x v="9"/>
    <n v="120677"/>
    <s v="23-08-2022"/>
    <n v="0"/>
    <d v="2022-02-10T00:00:00"/>
    <x v="0"/>
    <m/>
    <m/>
    <m/>
  </r>
  <r>
    <s v="Colorize Media"/>
    <s v="Not a Customer"/>
    <s v="No growth Potential"/>
    <s v="Roman Nacha"/>
    <x v="1"/>
    <x v="158"/>
    <n v="235793"/>
    <s v="23-01-2023"/>
    <n v="0"/>
    <d v="2023-02-02T00:00:00"/>
    <x v="2"/>
    <m/>
    <m/>
    <m/>
  </r>
  <r>
    <s v="GPS Imagen y Comunicación"/>
    <s v="Not a Customer"/>
    <s v="No growth Potential"/>
    <s v="Roman Nacha"/>
    <x v="0"/>
    <x v="9"/>
    <n v="87037"/>
    <s v="23-04-2022"/>
    <n v="0"/>
    <d v="2022-02-07T00:00:00"/>
    <x v="0"/>
    <m/>
    <m/>
    <m/>
  </r>
  <r>
    <s v="Nibble Group"/>
    <s v="Not a Customer"/>
    <s v="No growth Potential"/>
    <s v="Roman Nacha"/>
    <x v="0"/>
    <x v="9"/>
    <n v="138786"/>
    <s v="23-09-2022"/>
    <n v="0"/>
    <d v="2022-02-11T00:00:00"/>
    <x v="0"/>
    <m/>
    <m/>
    <m/>
  </r>
  <r>
    <s v="MAWERSA S.A."/>
    <s v="Not a Customer"/>
    <s v="No growth Potential"/>
    <s v="Roman Nacha"/>
    <x v="0"/>
    <x v="3"/>
    <n v="115160"/>
    <s v="23-09-2022"/>
    <n v="0"/>
    <d v="2022-02-11T00:00:00"/>
    <x v="0"/>
    <m/>
    <m/>
    <m/>
  </r>
  <r>
    <s v="Sage Spain"/>
    <s v="Not a Customer"/>
    <s v="No growth Potential"/>
    <s v="Roman Nacha"/>
    <x v="0"/>
    <x v="9"/>
    <n v="169608"/>
    <d v="2022-03-01T00:00:00"/>
    <n v="0"/>
    <d v="2022-02-02T00:00:00"/>
    <x v="0"/>
    <m/>
    <m/>
    <m/>
  </r>
  <r>
    <s v="VIAS Y CONSTRUCCIONES"/>
    <s v="Not a Customer"/>
    <s v="No growth Potential"/>
    <s v="Roman Nacha"/>
    <x v="0"/>
    <x v="3"/>
    <n v="189835"/>
    <s v="23-09-2022"/>
    <n v="0"/>
    <d v="2022-02-11T00:00:00"/>
    <x v="0"/>
    <m/>
    <m/>
    <m/>
  </r>
  <r>
    <s v="APWG:EU"/>
    <s v="Not a Customer"/>
    <s v="No growth Potential"/>
    <s v="Roman Nacha"/>
    <x v="0"/>
    <x v="0"/>
    <n v="219470"/>
    <s v="23-10-2022"/>
    <n v="0"/>
    <d v="2022-02-11T00:00:00"/>
    <x v="0"/>
    <m/>
    <m/>
    <m/>
  </r>
  <r>
    <s v="Carmina Shoemaker"/>
    <s v="Not a Customer"/>
    <s v="No growth Potential"/>
    <s v="Roman Nacha"/>
    <x v="0"/>
    <x v="159"/>
    <n v="134196"/>
    <d v="2021-04-12T00:00:00"/>
    <n v="0"/>
    <d v="2022-02-02T00:00:00"/>
    <x v="0"/>
    <m/>
    <m/>
    <m/>
  </r>
  <r>
    <s v="Aramark Servicios De Catering S.L."/>
    <s v="Not a Customer"/>
    <s v="No growth Potential"/>
    <s v="Roman Nacha"/>
    <x v="0"/>
    <x v="0"/>
    <n v="132539"/>
    <d v="2022-10-02T00:00:00"/>
    <n v="0"/>
    <d v="2022-02-03T00:00:00"/>
    <x v="0"/>
    <m/>
    <m/>
    <m/>
  </r>
  <r>
    <s v="Divisa iT"/>
    <s v="Not a Customer"/>
    <s v="No growth Potential"/>
    <s v="Roman Nacha"/>
    <x v="0"/>
    <x v="9"/>
    <n v="108925"/>
    <d v="2022-03-05T00:00:00"/>
    <n v="0"/>
    <d v="2022-02-06T00:00:00"/>
    <x v="0"/>
    <m/>
    <m/>
    <m/>
  </r>
  <r>
    <s v="SISTEMAS LORENTE &amp; ARÁN S.L."/>
    <s v="Not a Customer"/>
    <s v="No growth Potential"/>
    <s v="Roman Nacha"/>
    <x v="0"/>
    <x v="160"/>
    <n v="142085"/>
    <s v="23-10-2022"/>
    <n v="0"/>
    <d v="2022-02-11T00:00:00"/>
    <x v="0"/>
    <m/>
    <m/>
    <m/>
  </r>
  <r>
    <s v="Kiabi.es"/>
    <s v="Not a Customer"/>
    <s v="No growth Potential"/>
    <s v="Roman Nacha"/>
    <x v="0"/>
    <x v="128"/>
    <n v="115580"/>
    <s v="22-12-2021"/>
    <n v="0"/>
    <d v="2022-02-03T00:00:00"/>
    <x v="0"/>
    <m/>
    <m/>
    <m/>
  </r>
  <r>
    <s v="Port of Algeciras"/>
    <s v="Not a Customer"/>
    <s v="No growth Potential"/>
    <s v="Roman Nacha"/>
    <x v="0"/>
    <x v="161"/>
    <n v="32000"/>
    <s v="23-03-2023"/>
    <n v="0"/>
    <d v="2023-02-04T00:00:00"/>
    <x v="2"/>
    <m/>
    <m/>
    <m/>
  </r>
  <r>
    <s v="Ailanthus Advance"/>
    <s v="Not a Customer"/>
    <s v="No growth Potential"/>
    <s v="Roman Nacha"/>
    <x v="0"/>
    <x v="9"/>
    <n v="74045"/>
    <s v="22-01-2022"/>
    <n v="0"/>
    <d v="2022-02-04T00:00:00"/>
    <x v="0"/>
    <m/>
    <m/>
    <m/>
  </r>
  <r>
    <s v="Quenti Tech"/>
    <s v="Not a Customer"/>
    <s v="No growth Potential"/>
    <s v="Roman Nacha"/>
    <x v="0"/>
    <x v="9"/>
    <n v="104988"/>
    <s v="23-10-2022"/>
    <n v="0"/>
    <d v="2022-02-11T00:00:00"/>
    <x v="0"/>
    <m/>
    <m/>
    <m/>
  </r>
  <r>
    <s v="A&amp;G Banca Privada"/>
    <s v="Not a Customer"/>
    <s v="No growth Potential"/>
    <s v="Roman Nacha"/>
    <x v="0"/>
    <x v="9"/>
    <n v="235733"/>
    <d v="2022-03-04T00:00:00"/>
    <n v="0"/>
    <d v="2022-02-06T00:00:00"/>
    <x v="0"/>
    <m/>
    <m/>
    <m/>
  </r>
  <r>
    <s v="OWENS CORNING FIBERGLAS ESPA A S.L."/>
    <s v="Not a Customer"/>
    <s v="No growth Potential"/>
    <s v="Roman Nacha"/>
    <x v="0"/>
    <x v="9"/>
    <n v="204921"/>
    <s v="13-09-2022"/>
    <n v="0"/>
    <d v="2022-02-11T00:00:00"/>
    <x v="0"/>
    <m/>
    <m/>
    <m/>
  </r>
  <r>
    <s v="Aristocrazy Grupo Suárez"/>
    <s v="Not a Customer"/>
    <s v="No growth Potential"/>
    <s v="Roman Nacha"/>
    <x v="0"/>
    <x v="9"/>
    <n v="88858"/>
    <s v="24-07-2022"/>
    <n v="0"/>
    <d v="2022-02-09T00:00:00"/>
    <x v="0"/>
    <m/>
    <m/>
    <m/>
  </r>
  <r>
    <s v="APM"/>
    <s v="Not a Customer"/>
    <s v="No growth Potential"/>
    <s v="Roman Nacha"/>
    <x v="1"/>
    <x v="9"/>
    <n v="108983"/>
    <d v="2022-03-10T00:00:00"/>
    <n v="0"/>
    <d v="2022-02-11T00:00:00"/>
    <x v="0"/>
    <m/>
    <m/>
    <m/>
  </r>
  <r>
    <s v="Distribuciones Froiz"/>
    <s v="Not a Customer"/>
    <s v="No growth Potential"/>
    <s v="Roman Nacha"/>
    <x v="0"/>
    <x v="162"/>
    <n v="75881"/>
    <s v="24-08-2022"/>
    <n v="0"/>
    <d v="2022-02-11T00:00:00"/>
    <x v="0"/>
    <m/>
    <m/>
    <m/>
  </r>
  <r>
    <s v="Bridgestone S.A"/>
    <s v="Not a Customer"/>
    <s v="No growth Potential"/>
    <s v="Roman Nacha"/>
    <x v="0"/>
    <x v="106"/>
    <n v="120013"/>
    <s v="23-09-2022"/>
    <n v="0"/>
    <d v="2022-02-11T00:00:00"/>
    <x v="0"/>
    <m/>
    <m/>
    <m/>
  </r>
  <r>
    <s v="Area Metropolitana de Barcelona"/>
    <s v="Not a Customer"/>
    <s v="No growth Potential"/>
    <s v="Roman Nacha"/>
    <x v="0"/>
    <x v="9"/>
    <n v="124126"/>
    <s v="21-02-2022"/>
    <n v="0"/>
    <d v="2022-02-04T00:00:00"/>
    <x v="0"/>
    <m/>
    <m/>
    <m/>
  </r>
  <r>
    <s v="Ayuntamiento de Ribarroja del Túria"/>
    <s v="Not a Customer"/>
    <s v="No growth Potential"/>
    <s v="Roman Nacha"/>
    <x v="0"/>
    <x v="163"/>
    <n v="138692"/>
    <d v="2022-03-04T00:00:00"/>
    <n v="0"/>
    <d v="2022-02-06T00:00:00"/>
    <x v="0"/>
    <m/>
    <m/>
    <m/>
  </r>
  <r>
    <s v="Perfume's Club"/>
    <s v="Not a Customer"/>
    <s v="No growth Potential"/>
    <s v="Roman Nacha"/>
    <x v="0"/>
    <x v="103"/>
    <n v="147362"/>
    <s v="13-10-2022"/>
    <n v="0"/>
    <d v="2022-02-11T00:00:00"/>
    <x v="0"/>
    <m/>
    <m/>
    <m/>
  </r>
  <r>
    <s v="cabify"/>
    <s v="Not a Customer"/>
    <s v="No growth Potential"/>
    <s v="Roman Nacha"/>
    <x v="0"/>
    <x v="9"/>
    <n v="106526"/>
    <s v="24-11-2021"/>
    <n v="0"/>
    <d v="2022-02-02T00:00:00"/>
    <x v="0"/>
    <m/>
    <m/>
    <m/>
  </r>
  <r>
    <s v="StockCrowd"/>
    <s v="Not a Customer"/>
    <s v="No growth Potential"/>
    <s v="Roman Nacha"/>
    <x v="0"/>
    <x v="0"/>
    <n v="70969"/>
    <s v="23-09-2022"/>
    <n v="0"/>
    <d v="2022-02-11T00:00:00"/>
    <x v="0"/>
    <m/>
    <m/>
    <m/>
  </r>
  <r>
    <s v="IQ-Pass"/>
    <s v="Not a Customer"/>
    <s v="No growth Potential"/>
    <s v="Roman Nacha"/>
    <x v="0"/>
    <x v="9"/>
    <n v="100034"/>
    <s v="22-04-2022"/>
    <n v="0"/>
    <d v="2022-02-05T00:00:00"/>
    <x v="0"/>
    <m/>
    <m/>
    <m/>
  </r>
  <r>
    <s v="GoNetFPI"/>
    <s v="Not a Customer"/>
    <s v="No growth Potential"/>
    <s v="Roman Nacha"/>
    <x v="0"/>
    <x v="9"/>
    <n v="101400"/>
    <s v="23-09-2022"/>
    <n v="0"/>
    <d v="2022-02-11T00:00:00"/>
    <x v="0"/>
    <m/>
    <m/>
    <m/>
  </r>
  <r>
    <s v="Barrabes"/>
    <s v="Not a Customer"/>
    <s v="No growth Potential"/>
    <s v="Roman Nacha"/>
    <x v="0"/>
    <x v="9"/>
    <n v="67715"/>
    <s v="24-11-2021"/>
    <n v="0"/>
    <d v="2022-02-02T00:00:00"/>
    <x v="0"/>
    <m/>
    <m/>
    <m/>
  </r>
  <r>
    <s v="Canal de Isabel II SA"/>
    <s v="Not a Customer"/>
    <s v="No growth Potential"/>
    <s v="Roman Nacha"/>
    <x v="0"/>
    <x v="3"/>
    <n v="80523"/>
    <s v="23-01-2022"/>
    <n v="0"/>
    <d v="2022-02-02T00:00:00"/>
    <x v="0"/>
    <m/>
    <m/>
    <m/>
  </r>
  <r>
    <s v="Round Earth Consulting"/>
    <s v="Not a Customer"/>
    <s v="No growth Potential"/>
    <s v="Roman Nacha"/>
    <x v="0"/>
    <x v="9"/>
    <n v="67742"/>
    <s v="13-07-2022"/>
    <n v="0"/>
    <d v="2022-02-08T00:00:00"/>
    <x v="0"/>
    <m/>
    <m/>
    <m/>
  </r>
  <r>
    <s v="Druni"/>
    <s v="Not a Customer"/>
    <s v="No growth Potential"/>
    <s v="Roman Nacha"/>
    <x v="0"/>
    <x v="164"/>
    <n v="96217"/>
    <s v="23-10-2022"/>
    <n v="0"/>
    <d v="2022-02-11T00:00:00"/>
    <x v="0"/>
    <m/>
    <m/>
    <m/>
  </r>
  <r>
    <s v="Mayoral Moda Infantil SA"/>
    <s v="Active Customer"/>
    <s v="High Growth potential"/>
    <s v="Roman Nacha"/>
    <x v="0"/>
    <x v="36"/>
    <n v="90293"/>
    <d v="2021-12-12T00:00:00"/>
    <n v="6450"/>
    <s v="20-02-2022"/>
    <x v="0"/>
    <m/>
    <m/>
    <m/>
  </r>
  <r>
    <s v="ok rent a car"/>
    <s v="Not a Customer"/>
    <s v="No growth Potential"/>
    <s v="Roman Nacha"/>
    <x v="0"/>
    <x v="9"/>
    <n v="270429"/>
    <s v="24-07-2022"/>
    <n v="0"/>
    <d v="2022-02-09T00:00:00"/>
    <x v="0"/>
    <m/>
    <m/>
    <m/>
  </r>
  <r>
    <s v="HombreCosmo"/>
    <s v="Not a Customer"/>
    <s v="No growth Potential"/>
    <s v="Roman Nacha"/>
    <x v="0"/>
    <x v="9"/>
    <n v="63020"/>
    <s v="23-09-2022"/>
    <n v="0"/>
    <d v="2022-02-11T00:00:00"/>
    <x v="0"/>
    <m/>
    <m/>
    <m/>
  </r>
  <r>
    <s v="Tiendeo"/>
    <s v="Not a Customer"/>
    <s v="No growth Potential"/>
    <s v="Roman Nacha"/>
    <x v="0"/>
    <x v="0"/>
    <n v="71125"/>
    <s v="23-10-2022"/>
    <n v="0"/>
    <d v="2022-02-11T00:00:00"/>
    <x v="0"/>
    <m/>
    <m/>
    <m/>
  </r>
  <r>
    <s v="Planeta Huerto"/>
    <s v="Not a Customer"/>
    <s v="No growth Potential"/>
    <s v="Roman Nacha"/>
    <x v="0"/>
    <x v="9"/>
    <n v="48820"/>
    <d v="2022-01-01T00:00:00"/>
    <n v="0"/>
    <d v="2022-02-03T00:00:00"/>
    <x v="0"/>
    <m/>
    <m/>
    <m/>
  </r>
  <r>
    <s v="Pisamonas"/>
    <s v="Not a Customer"/>
    <s v="No growth Potential"/>
    <s v="Roman Nacha"/>
    <x v="0"/>
    <x v="165"/>
    <n v="118761"/>
    <d v="2022-03-03T00:00:00"/>
    <n v="0"/>
    <d v="2022-02-04T00:00:00"/>
    <x v="0"/>
    <m/>
    <m/>
    <m/>
  </r>
  <r>
    <s v="Givaudan"/>
    <s v="Not a Customer"/>
    <s v="No growth Potential"/>
    <s v="Roman Nacha"/>
    <x v="0"/>
    <x v="9"/>
    <n v="74208"/>
    <d v="2022-01-02T00:00:00"/>
    <n v="0"/>
    <d v="2022-02-04T00:00:00"/>
    <x v="0"/>
    <m/>
    <m/>
    <m/>
  </r>
  <r>
    <s v="TRAVENTIA"/>
    <s v="Active Customer"/>
    <s v="High Growth potential"/>
    <s v="Roman Nacha"/>
    <x v="0"/>
    <x v="3"/>
    <n v="62337"/>
    <s v="29-10-2022"/>
    <n v="7792"/>
    <d v="2022-08-11T00:00:00"/>
    <x v="3"/>
    <m/>
    <m/>
    <m/>
  </r>
  <r>
    <s v="APTOIDE S.A."/>
    <s v="Not a Customer"/>
    <s v="No growth Potential"/>
    <s v="Roman Nacha"/>
    <x v="1"/>
    <x v="63"/>
    <n v="143588"/>
    <d v="2022-03-10T00:00:00"/>
    <n v="0"/>
    <d v="2022-02-11T00:00:00"/>
    <x v="0"/>
    <m/>
    <m/>
    <m/>
  </r>
  <r>
    <s v="PANGEA"/>
    <s v="Not a Customer"/>
    <s v="No growth Potential"/>
    <s v="Roman Nacha"/>
    <x v="0"/>
    <x v="9"/>
    <n v="61002"/>
    <s v="23-10-2022"/>
    <n v="0"/>
    <d v="2022-02-11T00:00:00"/>
    <x v="0"/>
    <m/>
    <m/>
    <m/>
  </r>
  <r>
    <s v="Ibericar"/>
    <s v="Not a Customer"/>
    <s v="No growth Potential"/>
    <s v="Roman Nacha"/>
    <x v="0"/>
    <x v="9"/>
    <n v="109980"/>
    <d v="2022-12-06T00:00:00"/>
    <n v="0"/>
    <d v="2022-02-07T00:00:00"/>
    <x v="0"/>
    <m/>
    <m/>
    <m/>
  </r>
  <r>
    <s v="G's España"/>
    <s v="Not a Customer"/>
    <s v="No growth Potential"/>
    <s v="Roman Nacha"/>
    <x v="0"/>
    <x v="166"/>
    <n v="106526"/>
    <s v="23-06-2022"/>
    <n v="0"/>
    <d v="2022-02-08T00:00:00"/>
    <x v="0"/>
    <m/>
    <m/>
    <m/>
  </r>
  <r>
    <s v="Loqr"/>
    <s v="Not a Customer"/>
    <s v="No growth Potential"/>
    <s v="Roman Nacha"/>
    <x v="1"/>
    <x v="59"/>
    <n v="70969"/>
    <s v="23-09-2022"/>
    <n v="0"/>
    <d v="2022-02-11T00:00:00"/>
    <x v="0"/>
    <m/>
    <m/>
    <m/>
  </r>
  <r>
    <s v="Inesdi"/>
    <s v="Not a Customer"/>
    <s v="No growth Potential"/>
    <s v="Roman Nacha"/>
    <x v="0"/>
    <x v="9"/>
    <n v="100034"/>
    <s v="13-10-2022"/>
    <n v="0"/>
    <d v="2022-02-11T00:00:00"/>
    <x v="0"/>
    <m/>
    <m/>
    <m/>
  </r>
  <r>
    <s v="PANAREHA"/>
    <s v="Not a Customer"/>
    <s v="No growth Potential"/>
    <s v="Roman Nacha"/>
    <x v="1"/>
    <x v="61"/>
    <n v="107069"/>
    <s v="13-09-2022"/>
    <n v="0"/>
    <d v="2022-02-11T00:00:00"/>
    <x v="0"/>
    <m/>
    <m/>
    <m/>
  </r>
  <r>
    <s v="SUNSUNDEGUI"/>
    <s v="Not a Customer"/>
    <s v="No growth Potential"/>
    <s v="Roman Nacha"/>
    <x v="0"/>
    <x v="167"/>
    <n v="143517"/>
    <d v="2022-03-09T00:00:00"/>
    <n v="0"/>
    <d v="2022-02-11T00:00:00"/>
    <x v="0"/>
    <m/>
    <m/>
    <m/>
  </r>
  <r>
    <s v="Queralto Ortopedia"/>
    <s v="Not a Customer"/>
    <s v="No growth Potential"/>
    <s v="Roman Nacha"/>
    <x v="0"/>
    <x v="9"/>
    <n v="58504"/>
    <d v="2022-03-03T00:00:00"/>
    <n v="0"/>
    <d v="2022-02-05T00:00:00"/>
    <x v="0"/>
    <m/>
    <m/>
    <m/>
  </r>
  <r>
    <s v="TEXTURA INTERIORS"/>
    <s v="Not a Customer"/>
    <s v="No growth Potential"/>
    <s v="Roman Nacha"/>
    <x v="0"/>
    <x v="9"/>
    <n v="95966"/>
    <s v="23-10-2022"/>
    <n v="0"/>
    <d v="2022-02-11T00:00:00"/>
    <x v="0"/>
    <m/>
    <m/>
    <m/>
  </r>
  <r>
    <s v="bodas.net (grupo intercom)"/>
    <s v="Active Customer"/>
    <s v="Medium Growth"/>
    <s v="Roman Nacha"/>
    <x v="0"/>
    <x v="168"/>
    <n v="54725"/>
    <d v="2022-03-04T00:00:00"/>
    <n v="3040"/>
    <s v="23-04-2022"/>
    <x v="4"/>
    <m/>
    <m/>
    <m/>
  </r>
  <r>
    <s v="Wotrant SLU"/>
    <s v="Not a Customer"/>
    <s v="No growth Potential"/>
    <s v="Roman Nacha"/>
    <x v="0"/>
    <x v="9"/>
    <n v="147868"/>
    <s v="22-04-2022"/>
    <n v="0"/>
    <d v="2022-02-05T00:00:00"/>
    <x v="0"/>
    <m/>
    <m/>
    <m/>
  </r>
  <r>
    <s v="Deliberry"/>
    <s v="Not a Customer"/>
    <s v="No growth Potential"/>
    <s v="Roman Nacha"/>
    <x v="0"/>
    <x v="9"/>
    <n v="112714"/>
    <d v="2022-03-09T00:00:00"/>
    <n v="0"/>
    <d v="2022-02-11T00:00:00"/>
    <x v="0"/>
    <m/>
    <m/>
    <m/>
  </r>
  <r>
    <s v="PAGINADOTCOM SA"/>
    <s v="Active Customer"/>
    <s v="High Growth potential"/>
    <s v="Roman Nacha"/>
    <x v="1"/>
    <x v="169"/>
    <n v="74208"/>
    <s v="31-10-2022"/>
    <n v="18552"/>
    <s v="20-11-2022"/>
    <x v="1"/>
    <m/>
    <m/>
    <m/>
  </r>
  <r>
    <s v="Balms Galicia"/>
    <s v="Not a Customer"/>
    <s v="No growth Potential"/>
    <s v="Roman Nacha"/>
    <x v="0"/>
    <x v="9"/>
    <n v="90068"/>
    <s v="24-11-2021"/>
    <n v="0"/>
    <d v="2022-02-02T00:00:00"/>
    <x v="0"/>
    <m/>
    <m/>
    <m/>
  </r>
  <r>
    <s v="Hijos de Luis Rodríguez Supermercados Masymas"/>
    <s v="Not a Customer"/>
    <s v="No growth Potential"/>
    <s v="Roman Nacha"/>
    <x v="0"/>
    <x v="94"/>
    <n v="80085"/>
    <s v="23-10-2022"/>
    <n v="0"/>
    <d v="2022-02-11T00:00:00"/>
    <x v="0"/>
    <m/>
    <m/>
    <m/>
  </r>
  <r>
    <s v="NEMERTES"/>
    <s v="Not a Customer"/>
    <s v="No growth Potential"/>
    <s v="Roman Nacha"/>
    <x v="0"/>
    <x v="116"/>
    <n v="157857"/>
    <s v="23-09-2022"/>
    <n v="0"/>
    <d v="2022-02-11T00:00:00"/>
    <x v="0"/>
    <m/>
    <m/>
    <m/>
  </r>
  <r>
    <s v="Mossos d'Esquadra"/>
    <s v="Not a Customer"/>
    <s v="No growth Potential"/>
    <s v="Roman Nacha"/>
    <x v="0"/>
    <x v="9"/>
    <n v="88677"/>
    <s v="13-01-2023"/>
    <n v="0"/>
    <d v="2023-02-02T00:00:00"/>
    <x v="2"/>
    <m/>
    <m/>
    <m/>
  </r>
  <r>
    <s v="Correos Express"/>
    <s v="Not a Customer"/>
    <s v="No growth Potential"/>
    <s v="Roman Nacha"/>
    <x v="0"/>
    <x v="170"/>
    <n v="203793"/>
    <s v="23-09-2022"/>
    <n v="0"/>
    <d v="2022-02-11T00:00:00"/>
    <x v="0"/>
    <m/>
    <m/>
    <m/>
  </r>
  <r>
    <s v="Pixelxen SL"/>
    <s v="Not a Customer"/>
    <s v="No growth Potential"/>
    <s v="Roman Nacha"/>
    <x v="0"/>
    <x v="171"/>
    <n v="55037"/>
    <d v="2022-03-10T00:00:00"/>
    <n v="0"/>
    <d v="2022-02-11T00:00:00"/>
    <x v="0"/>
    <m/>
    <m/>
    <m/>
  </r>
  <r>
    <s v="JTSL - Soluções Técnicas Manutenção Metalomecânica SA"/>
    <s v="Not a Customer"/>
    <s v="No growth Potential"/>
    <s v="Roman Nacha"/>
    <x v="1"/>
    <x v="172"/>
    <n v="106786"/>
    <s v="23-09-2021"/>
    <n v="0"/>
    <d v="2021-02-12T00:00:00"/>
    <x v="5"/>
    <m/>
    <m/>
    <m/>
  </r>
  <r>
    <s v="Midas España"/>
    <s v="Not a Customer"/>
    <s v="No growth Potential"/>
    <s v="Roman Nacha"/>
    <x v="0"/>
    <x v="3"/>
    <n v="83160"/>
    <d v="2022-01-02T00:00:00"/>
    <n v="0"/>
    <d v="2022-02-04T00:00:00"/>
    <x v="0"/>
    <m/>
    <m/>
    <m/>
  </r>
  <r>
    <s v="OSPS"/>
    <s v="Not a Customer"/>
    <s v="No growth Potential"/>
    <s v="Roman Nacha"/>
    <x v="0"/>
    <x v="9"/>
    <n v="137608"/>
    <s v="23-10-2022"/>
    <n v="0"/>
    <d v="2022-02-11T00:00:00"/>
    <x v="0"/>
    <m/>
    <m/>
    <m/>
  </r>
  <r>
    <s v="Grupo Comdifil"/>
    <s v="Not a Customer"/>
    <s v="No growth Potential"/>
    <s v="Roman Nacha"/>
    <x v="0"/>
    <x v="9"/>
    <n v="157835"/>
    <s v="13-09-2022"/>
    <n v="0"/>
    <d v="2022-02-11T00:00:00"/>
    <x v="0"/>
    <m/>
    <m/>
    <m/>
  </r>
  <r>
    <s v="Volcano Teide"/>
    <s v="Active Customer"/>
    <s v="High Growth potential"/>
    <s v="Roman Nacha"/>
    <x v="0"/>
    <x v="9"/>
    <n v="187470"/>
    <s v="28-03-2022"/>
    <n v="17043"/>
    <s v="17-05-2022"/>
    <x v="4"/>
    <m/>
    <m/>
    <m/>
  </r>
  <r>
    <s v="Viesgo"/>
    <s v="Not a Customer"/>
    <s v="No growth Potential"/>
    <s v="Roman Nacha"/>
    <x v="0"/>
    <x v="3"/>
    <n v="102196"/>
    <s v="23-09-2022"/>
    <n v="0"/>
    <d v="2022-02-11T00:00:00"/>
    <x v="0"/>
    <m/>
    <m/>
    <m/>
  </r>
  <r>
    <s v="MAGNANNI"/>
    <s v="Not a Customer"/>
    <s v="No growth Potential"/>
    <s v="Roman Nacha"/>
    <x v="0"/>
    <x v="9"/>
    <n v="100539"/>
    <s v="13-10-2022"/>
    <n v="0"/>
    <d v="2022-02-11T00:00:00"/>
    <x v="0"/>
    <m/>
    <m/>
    <m/>
  </r>
  <r>
    <s v="Miquel Rius"/>
    <s v="Not a Customer"/>
    <s v="No growth Potential"/>
    <s v="Roman Nacha"/>
    <x v="0"/>
    <x v="173"/>
    <n v="76925"/>
    <s v="13-10-2022"/>
    <n v="0"/>
    <d v="2022-02-11T00:00:00"/>
    <x v="0"/>
    <m/>
    <m/>
    <m/>
  </r>
  <r>
    <s v="Instituto Médico Estética"/>
    <s v="Not a Customer"/>
    <s v="No growth Potential"/>
    <s v="Roman Nacha"/>
    <x v="0"/>
    <x v="3"/>
    <n v="110085"/>
    <d v="2021-03-12T00:00:00"/>
    <n v="0"/>
    <d v="2022-01-02T00:00:00"/>
    <x v="0"/>
    <m/>
    <m/>
    <m/>
  </r>
  <r>
    <s v="Minsait"/>
    <s v="Not a Customer"/>
    <s v="No growth Potential"/>
    <s v="Roman Nacha"/>
    <x v="0"/>
    <x v="9"/>
    <n v="83580"/>
    <s v="22-04-2022"/>
    <n v="0"/>
    <d v="2022-02-05T00:00:00"/>
    <x v="0"/>
    <m/>
    <m/>
    <m/>
  </r>
  <r>
    <s v="Verdecora"/>
    <s v="Not a Customer"/>
    <s v="No growth Potential"/>
    <s v="Roman Nacha"/>
    <x v="0"/>
    <x v="9"/>
    <m/>
    <s v="23-08-2022"/>
    <n v="0"/>
    <d v="2022-02-09T00:00:00"/>
    <x v="0"/>
    <m/>
    <m/>
    <m/>
  </r>
  <r>
    <s v="Pladur Gypsum"/>
    <s v="Not a Customer"/>
    <s v="No growth Potential"/>
    <s v="Roman Nacha"/>
    <x v="0"/>
    <x v="3"/>
    <n v="42045"/>
    <s v="20-02-2022"/>
    <n v="0"/>
    <d v="2022-02-03T00:00:00"/>
    <x v="0"/>
    <m/>
    <m/>
    <m/>
  </r>
  <r>
    <s v="Juguetilandia"/>
    <s v="Not a Customer"/>
    <s v="No growth Potential"/>
    <s v="Roman Nacha"/>
    <x v="0"/>
    <x v="9"/>
    <n v="72988"/>
    <s v="14-07-2022"/>
    <n v="0"/>
    <d v="2022-02-09T00:00:00"/>
    <x v="0"/>
    <m/>
    <m/>
    <m/>
  </r>
  <r>
    <s v="Neo Mountain"/>
    <s v="Not a Customer"/>
    <s v="No growth Potential"/>
    <s v="Roman Nacha"/>
    <x v="0"/>
    <x v="9"/>
    <n v="203733"/>
    <s v="22-09-2022"/>
    <n v="0"/>
    <d v="2022-02-10T00:00:00"/>
    <x v="0"/>
    <m/>
    <m/>
    <m/>
  </r>
  <r>
    <s v="Banco Cooperative Espanol"/>
    <s v="Not a Customer"/>
    <s v="No growth Potential"/>
    <s v="Roman Nacha"/>
    <x v="0"/>
    <x v="3"/>
    <n v="172921"/>
    <d v="2022-03-01T00:00:00"/>
    <n v="0"/>
    <d v="2022-02-02T00:00:00"/>
    <x v="0"/>
    <m/>
    <m/>
    <m/>
  </r>
  <r>
    <s v="Megasur"/>
    <s v="Not a Customer"/>
    <s v="No growth Potential"/>
    <s v="Roman Nacha"/>
    <x v="0"/>
    <x v="174"/>
    <n v="56858"/>
    <d v="2022-11-02T00:00:00"/>
    <n v="0"/>
    <d v="2022-02-04T00:00:00"/>
    <x v="0"/>
    <m/>
    <m/>
    <m/>
  </r>
  <r>
    <s v="Restaurantes.com"/>
    <s v="Not a Customer"/>
    <s v="No growth Potential"/>
    <s v="Roman Nacha"/>
    <x v="0"/>
    <x v="9"/>
    <n v="76983"/>
    <d v="2022-12-04T00:00:00"/>
    <n v="0"/>
    <d v="2022-02-05T00:00:00"/>
    <x v="0"/>
    <m/>
    <m/>
    <m/>
  </r>
  <r>
    <s v="Accelya Group"/>
    <s v="Not a Customer"/>
    <s v="No growth Potential"/>
    <s v="Roman Nacha"/>
    <x v="0"/>
    <x v="0"/>
    <n v="43881"/>
    <d v="2022-03-05T00:00:00"/>
    <n v="0"/>
    <d v="2022-02-07T00:00:00"/>
    <x v="0"/>
    <m/>
    <m/>
    <m/>
  </r>
  <r>
    <s v="Dineo"/>
    <s v="Not a Customer"/>
    <s v="No growth Potential"/>
    <s v="Roman Nacha"/>
    <x v="0"/>
    <x v="3"/>
    <n v="88013"/>
    <d v="2022-03-10T00:00:00"/>
    <n v="0"/>
    <d v="2022-02-11T00:00:00"/>
    <x v="0"/>
    <m/>
    <m/>
    <m/>
  </r>
  <r>
    <s v="ALVARO MORENO SL"/>
    <s v="Not a Customer"/>
    <s v="No growth Potential"/>
    <s v="Roman Nacha"/>
    <x v="0"/>
    <x v="175"/>
    <n v="92126"/>
    <s v="13-09-2022"/>
    <n v="0"/>
    <d v="2022-02-11T00:00:00"/>
    <x v="0"/>
    <m/>
    <m/>
    <m/>
  </r>
  <r>
    <s v="DVBlab Communiocation SL"/>
    <s v="Not a Customer"/>
    <s v="No growth Potential"/>
    <s v="Roman Nacha"/>
    <x v="0"/>
    <x v="9"/>
    <n v="106692"/>
    <d v="2022-12-04T00:00:00"/>
    <n v="0"/>
    <d v="2022-02-05T00:00:00"/>
    <x v="0"/>
    <m/>
    <m/>
    <m/>
  </r>
  <r>
    <s v="Scalpers"/>
    <s v="Not a Customer"/>
    <s v="No growth Potential"/>
    <s v="Roman Nacha"/>
    <x v="0"/>
    <x v="100"/>
    <n v="133858"/>
    <s v="20-02-2022"/>
    <n v="0"/>
    <d v="2022-02-03T00:00:00"/>
    <x v="0"/>
    <m/>
    <m/>
    <m/>
  </r>
  <r>
    <s v="Nice Things"/>
    <s v="Not a Customer"/>
    <s v="No growth Potential"/>
    <s v="Roman Nacha"/>
    <x v="0"/>
    <x v="9"/>
    <n v="368455"/>
    <s v="24-08-2022"/>
    <n v="0"/>
    <d v="2022-02-11T00:00:00"/>
    <x v="0"/>
    <m/>
    <m/>
    <m/>
  </r>
  <r>
    <s v="Rosa Clará"/>
    <s v="Not a Customer"/>
    <s v="No growth Potential"/>
    <s v="Roman Nacha"/>
    <x v="0"/>
    <x v="3"/>
    <n v="107211"/>
    <s v="22-01-2022"/>
    <n v="0"/>
    <d v="2022-02-04T00:00:00"/>
    <x v="0"/>
    <m/>
    <m/>
    <m/>
  </r>
  <r>
    <s v="Promod Spain"/>
    <s v="Not a Customer"/>
    <s v="No growth Potential"/>
    <s v="Roman Nacha"/>
    <x v="0"/>
    <x v="9"/>
    <n v="115087"/>
    <d v="2022-02-09T00:00:00"/>
    <n v="0"/>
    <d v="2022-02-10T00:00:00"/>
    <x v="0"/>
    <m/>
    <m/>
    <m/>
  </r>
  <r>
    <s v="Funidelia"/>
    <s v="Active Customer"/>
    <s v="High Growth potential"/>
    <s v="Roman Nacha"/>
    <x v="0"/>
    <x v="176"/>
    <n v="104166"/>
    <d v="2022-07-09T00:00:00"/>
    <n v="26041"/>
    <s v="17-09-2022"/>
    <x v="3"/>
    <m/>
    <m/>
    <m/>
  </r>
  <r>
    <s v="Imesapi"/>
    <s v="Not a Customer"/>
    <s v="No growth Potential"/>
    <s v="Roman Nacha"/>
    <x v="0"/>
    <x v="3"/>
    <n v="143497"/>
    <d v="2022-02-04T00:00:00"/>
    <n v="0"/>
    <d v="2022-02-05T00:00:00"/>
    <x v="0"/>
    <m/>
    <m/>
    <m/>
  </r>
  <r>
    <s v="megasur"/>
    <s v="Not a Customer"/>
    <s v="No growth Potential"/>
    <s v="Roman Nacha"/>
    <x v="0"/>
    <x v="9"/>
    <n v="127427"/>
    <d v="2022-11-02T00:00:00"/>
    <n v="0"/>
    <d v="2022-02-04T00:00:00"/>
    <x v="0"/>
    <m/>
    <m/>
    <m/>
  </r>
  <r>
    <s v="Superficies de Alimentación"/>
    <s v="Not a Customer"/>
    <s v="No growth Potential"/>
    <s v="Roman Nacha"/>
    <x v="0"/>
    <x v="68"/>
    <n v="355370"/>
    <d v="2021-12-11T00:00:00"/>
    <n v="0"/>
    <d v="2021-02-12T00:00:00"/>
    <x v="5"/>
    <m/>
    <m/>
    <m/>
  </r>
  <r>
    <s v="BRICOMART"/>
    <s v="Not a Customer"/>
    <s v="No growth Potential"/>
    <s v="Roman Nacha"/>
    <x v="0"/>
    <x v="177"/>
    <n v="191190"/>
    <s v="23-09-2022"/>
    <n v="0"/>
    <d v="2022-02-11T00:00:00"/>
    <x v="0"/>
    <m/>
    <m/>
    <m/>
  </r>
  <r>
    <s v="MADISON"/>
    <s v="Not a Customer"/>
    <s v="No growth Potential"/>
    <s v="Roman Nacha"/>
    <x v="0"/>
    <x v="9"/>
    <n v="209817"/>
    <d v="2022-03-09T00:00:00"/>
    <n v="0"/>
    <d v="2022-02-11T00:00:00"/>
    <x v="0"/>
    <m/>
    <m/>
    <m/>
  </r>
  <r>
    <s v="Sareb...."/>
    <s v="Not a Customer"/>
    <s v="No growth Potential"/>
    <s v="Roman Nacha"/>
    <x v="0"/>
    <x v="3"/>
    <n v="49625"/>
    <s v="14-12-2021"/>
    <n v="0"/>
    <d v="2022-02-02T00:00:00"/>
    <x v="0"/>
    <m/>
    <m/>
    <m/>
  </r>
  <r>
    <s v="Sociedad de Prevención de Fremap"/>
    <s v="Not a Customer"/>
    <s v="No growth Potential"/>
    <s v="Roman Nacha"/>
    <x v="0"/>
    <x v="178"/>
    <n v="101488"/>
    <d v="2022-03-05T00:00:00"/>
    <n v="0"/>
    <d v="2022-02-07T00:00:00"/>
    <x v="0"/>
    <m/>
    <m/>
    <m/>
  </r>
  <r>
    <s v="Bodegas Torres"/>
    <s v="Not a Customer"/>
    <s v="No growth Potential"/>
    <s v="Roman Nacha"/>
    <x v="0"/>
    <x v="9"/>
    <n v="101400"/>
    <s v="24-03-2022"/>
    <n v="0"/>
    <d v="2022-02-06T00:00:00"/>
    <x v="0"/>
    <m/>
    <m/>
    <m/>
  </r>
  <r>
    <s v="Transportes Municipales de Barcelona"/>
    <s v="Not a Customer"/>
    <s v="No growth Potential"/>
    <s v="Roman Nacha"/>
    <x v="0"/>
    <x v="0"/>
    <n v="67715"/>
    <s v="22-12-2021"/>
    <n v="0"/>
    <d v="2022-02-03T00:00:00"/>
    <x v="0"/>
    <m/>
    <m/>
    <m/>
  </r>
  <r>
    <s v="chicfy"/>
    <s v="Not a Customer"/>
    <s v="No growth Potential"/>
    <s v="Roman Nacha"/>
    <x v="0"/>
    <x v="3"/>
    <n v="80523"/>
    <s v="13-09-2022"/>
    <n v="0"/>
    <d v="2022-02-11T00:00:00"/>
    <x v="0"/>
    <m/>
    <m/>
    <m/>
  </r>
  <r>
    <s v="CICE Professional School of New Technologies"/>
    <s v="Not a Customer"/>
    <s v="No growth Potential"/>
    <s v="Roman Nacha"/>
    <x v="0"/>
    <x v="9"/>
    <n v="67742"/>
    <s v="23-03-2023"/>
    <n v="0"/>
    <d v="2023-02-04T00:00:00"/>
    <x v="2"/>
    <m/>
    <m/>
    <m/>
  </r>
  <r>
    <s v="L'Agabe"/>
    <s v="Not a Customer"/>
    <s v="No growth Potential"/>
    <s v="Roman Nacha"/>
    <x v="0"/>
    <x v="116"/>
    <n v="96217"/>
    <s v="21-02-2022"/>
    <n v="0"/>
    <d v="2022-02-05T00:00:00"/>
    <x v="0"/>
    <m/>
    <m/>
    <m/>
  </r>
  <r>
    <s v="NORTHGATE ESPANA RENTING FLEXIBLE S.A."/>
    <s v="Not a Customer"/>
    <s v="No growth Potential"/>
    <s v="Roman Nacha"/>
    <x v="0"/>
    <x v="179"/>
    <n v="90293"/>
    <s v="13-10-2022"/>
    <n v="0"/>
    <d v="2022-02-11T00:00:00"/>
    <x v="0"/>
    <m/>
    <m/>
    <m/>
  </r>
  <r>
    <s v="Unicaja Banco"/>
    <s v="Not a Customer"/>
    <s v="No growth Potential"/>
    <s v="Roman Nacha"/>
    <x v="0"/>
    <x v="36"/>
    <n v="270429"/>
    <d v="2022-02-04T00:00:00"/>
    <n v="0"/>
    <d v="2022-02-05T00:00:00"/>
    <x v="0"/>
    <m/>
    <m/>
    <m/>
  </r>
  <r>
    <s v="Eckes-Granini Ibérica S.A Granini"/>
    <s v="Not a Customer"/>
    <s v="No growth Potential"/>
    <s v="Roman Nacha"/>
    <x v="0"/>
    <x v="0"/>
    <n v="63020"/>
    <s v="24-07-2022"/>
    <n v="0"/>
    <d v="2022-02-09T00:00:00"/>
    <x v="0"/>
    <m/>
    <m/>
    <m/>
  </r>
  <r>
    <s v="Estilia Sport"/>
    <s v="Not a Customer"/>
    <s v="No growth Potential"/>
    <s v="Roman Nacha"/>
    <x v="0"/>
    <x v="9"/>
    <n v="71125"/>
    <d v="2022-02-06T00:00:00"/>
    <n v="0"/>
    <d v="2022-02-07T00:00:00"/>
    <x v="0"/>
    <m/>
    <m/>
    <m/>
  </r>
  <r>
    <s v="EIT Tecnologías de la información S.A."/>
    <s v="Not a Customer"/>
    <s v="No growth Potential"/>
    <s v="Roman Nacha"/>
    <x v="0"/>
    <x v="3"/>
    <n v="48820"/>
    <d v="2022-04-12T00:00:00"/>
    <n v="0"/>
    <d v="2023-02-02T00:00:00"/>
    <x v="2"/>
    <m/>
    <m/>
    <m/>
  </r>
  <r>
    <s v="DIA Corporate"/>
    <s v="Not a Customer"/>
    <s v="No growth Potential"/>
    <s v="Roman Nacha"/>
    <x v="0"/>
    <x v="73"/>
    <n v="118761"/>
    <s v="13-09-2022"/>
    <n v="0"/>
    <d v="2022-02-11T00:00:00"/>
    <x v="0"/>
    <m/>
    <m/>
    <m/>
  </r>
  <r>
    <s v="By Hours"/>
    <s v="Not a Customer"/>
    <s v="No growth Potential"/>
    <s v="Roman Nacha"/>
    <x v="0"/>
    <x v="9"/>
    <n v="74208"/>
    <s v="13-09-2022"/>
    <n v="0"/>
    <d v="2022-02-11T00:00:00"/>
    <x v="0"/>
    <m/>
    <m/>
    <m/>
  </r>
  <r>
    <s v="Worten España"/>
    <s v="Not a Customer"/>
    <s v="No growth Potential"/>
    <s v="Roman Nacha"/>
    <x v="0"/>
    <x v="9"/>
    <n v="62337"/>
    <d v="2022-03-10T00:00:00"/>
    <n v="0"/>
    <d v="2022-02-11T00:00:00"/>
    <x v="0"/>
    <m/>
    <m/>
    <m/>
  </r>
  <r>
    <s v="El Caballo"/>
    <s v="Not a Customer"/>
    <s v="No growth Potential"/>
    <s v="Roman Nacha"/>
    <x v="0"/>
    <x v="100"/>
    <n v="106208"/>
    <s v="22-04-2022"/>
    <n v="0"/>
    <d v="2022-02-05T00:00:00"/>
    <x v="0"/>
    <m/>
    <m/>
    <m/>
  </r>
  <r>
    <s v="Agencia Espanola De Proteccion De Datos"/>
    <s v="Active Customer"/>
    <s v="High Growth potential"/>
    <s v="Roman Nacha"/>
    <x v="0"/>
    <x v="3"/>
    <n v="122068"/>
    <d v="2022-05-05T00:00:00"/>
    <n v="20345"/>
    <s v="14-07-2022"/>
    <x v="3"/>
    <m/>
    <m/>
    <m/>
  </r>
  <r>
    <s v="Gesacan"/>
    <s v="Not a Customer"/>
    <s v="No growth Potential"/>
    <s v="Roman Nacha"/>
    <x v="0"/>
    <x v="9"/>
    <n v="112085"/>
    <s v="21-02-2022"/>
    <n v="0"/>
    <d v="2022-02-04T00:00:00"/>
    <x v="0"/>
    <m/>
    <m/>
    <m/>
  </r>
  <r>
    <s v="ImmersivePro"/>
    <s v="Not a Customer"/>
    <s v="No growth Potential"/>
    <s v="Roman Nacha"/>
    <x v="0"/>
    <x v="3"/>
    <n v="189857"/>
    <s v="13-09-2022"/>
    <n v="0"/>
    <d v="2022-02-11T00:00:00"/>
    <x v="0"/>
    <m/>
    <m/>
    <m/>
  </r>
  <r>
    <s v="LA TIENDA HOME"/>
    <s v="Not a Customer"/>
    <s v="No growth Potential"/>
    <s v="Roman Nacha"/>
    <x v="0"/>
    <x v="116"/>
    <n v="120677"/>
    <s v="23-10-2022"/>
    <n v="0"/>
    <d v="2022-02-11T00:00:00"/>
    <x v="0"/>
    <m/>
    <m/>
    <m/>
  </r>
  <r>
    <s v="OBZ"/>
    <s v="Not a Customer"/>
    <s v="No growth Potential"/>
    <s v="Roman Nacha"/>
    <x v="0"/>
    <x v="9"/>
    <n v="235793"/>
    <s v="13-10-2022"/>
    <n v="0"/>
    <d v="2022-02-11T00:00:00"/>
    <x v="0"/>
    <m/>
    <m/>
    <m/>
  </r>
  <r>
    <s v="Dosfarma"/>
    <s v="Not a Customer"/>
    <s v="No growth Potential"/>
    <s v="Roman Nacha"/>
    <x v="0"/>
    <x v="9"/>
    <n v="87037"/>
    <s v="21-02-2022"/>
    <n v="0"/>
    <d v="2022-02-05T00:00:00"/>
    <x v="0"/>
    <m/>
    <m/>
    <m/>
  </r>
  <r>
    <s v="COMERCIAL QUIMICA MASSO SA"/>
    <s v="Not a Customer"/>
    <s v="No growth Potential"/>
    <s v="Roman Nacha"/>
    <x v="0"/>
    <x v="9"/>
    <n v="138786"/>
    <d v="2022-03-09T00:00:00"/>
    <n v="0"/>
    <d v="2022-02-11T00:00:00"/>
    <x v="0"/>
    <m/>
    <m/>
    <m/>
  </r>
  <r>
    <s v="Adwen"/>
    <s v="Not a Customer"/>
    <s v="No growth Potential"/>
    <s v="Roman Nacha"/>
    <x v="0"/>
    <x v="9"/>
    <n v="115160"/>
    <s v="23-10-2022"/>
    <n v="0"/>
    <d v="2022-02-11T00:00:00"/>
    <x v="0"/>
    <m/>
    <m/>
    <m/>
  </r>
  <r>
    <s v="University of Helsinki Department of Computer Science"/>
    <s v="Not a Customer"/>
    <s v="No growth Potential"/>
    <s v="Roman Nacha"/>
    <x v="6"/>
    <x v="180"/>
    <n v="169608"/>
    <s v="24-03-2022"/>
    <n v="0"/>
    <d v="2022-03-05T00:00:00"/>
    <x v="0"/>
    <m/>
    <m/>
    <m/>
  </r>
  <r>
    <s v="Juvasa S.L."/>
    <s v="Not a Customer"/>
    <s v="No growth Potential"/>
    <s v="Roman Nacha"/>
    <x v="0"/>
    <x v="181"/>
    <n v="189835"/>
    <d v="2022-11-02T00:00:00"/>
    <n v="0"/>
    <d v="2022-02-04T00:00:00"/>
    <x v="0"/>
    <m/>
    <m/>
    <m/>
  </r>
  <r>
    <s v="Casas Real"/>
    <s v="Not a Customer"/>
    <s v="No growth Potential"/>
    <s v="Roman Nacha"/>
    <x v="0"/>
    <x v="9"/>
    <n v="219470"/>
    <s v="23-01-2022"/>
    <n v="0"/>
    <d v="2022-02-02T00:00:00"/>
    <x v="0"/>
    <m/>
    <m/>
    <m/>
  </r>
  <r>
    <s v="VISION TECH LAB"/>
    <s v="Not a Customer"/>
    <s v="No growth Potential"/>
    <s v="Roman Nacha"/>
    <x v="1"/>
    <x v="101"/>
    <n v="134196"/>
    <s v="23-09-2022"/>
    <n v="0"/>
    <d v="2022-02-11T00:00:00"/>
    <x v="0"/>
    <m/>
    <m/>
    <m/>
  </r>
  <r>
    <s v="OCIOHOTELES"/>
    <s v="Not a Customer"/>
    <s v="No growth Potential"/>
    <s v="Roman Nacha"/>
    <x v="0"/>
    <x v="48"/>
    <n v="132539"/>
    <s v="13-09-2022"/>
    <n v="0"/>
    <d v="2022-02-11T00:00:00"/>
    <x v="0"/>
    <m/>
    <m/>
    <m/>
  </r>
  <r>
    <s v="ASTELLAS S.A."/>
    <s v="Not a Customer"/>
    <s v="No growth Potential"/>
    <s v="Roman Nacha"/>
    <x v="0"/>
    <x v="3"/>
    <n v="108925"/>
    <s v="23-09-2022"/>
    <n v="0"/>
    <d v="2022-02-11T00:00:00"/>
    <x v="0"/>
    <m/>
    <m/>
    <m/>
  </r>
  <r>
    <s v="Be Live Hotels"/>
    <s v="Not a Customer"/>
    <s v="No growth Potential"/>
    <s v="Roman Nacha"/>
    <x v="0"/>
    <x v="182"/>
    <n v="142085"/>
    <s v="13-09-2022"/>
    <n v="0"/>
    <d v="2022-02-11T00:00:00"/>
    <x v="0"/>
    <m/>
    <m/>
    <m/>
  </r>
  <r>
    <s v="Badi"/>
    <s v="Not a Customer"/>
    <s v="No growth Potential"/>
    <s v="Roman Nacha"/>
    <x v="0"/>
    <x v="9"/>
    <n v="115580"/>
    <s v="14-12-2021"/>
    <n v="0"/>
    <d v="2022-02-02T00:00:00"/>
    <x v="0"/>
    <m/>
    <m/>
    <m/>
  </r>
  <r>
    <s v="Domopor"/>
    <s v="Not a Customer"/>
    <s v="No growth Potential"/>
    <s v="Roman Nacha"/>
    <x v="1"/>
    <x v="9"/>
    <n v="32000"/>
    <s v="23-10-2022"/>
    <n v="0"/>
    <d v="2022-02-11T00:00:00"/>
    <x v="0"/>
    <m/>
    <m/>
    <m/>
  </r>
  <r>
    <s v="CSUC"/>
    <s v="Not a Customer"/>
    <s v="No growth Potential"/>
    <s v="Roman Nacha"/>
    <x v="0"/>
    <x v="0"/>
    <n v="74045"/>
    <s v="23-09-2022"/>
    <n v="0"/>
    <d v="2022-02-11T00:00:00"/>
    <x v="0"/>
    <m/>
    <m/>
    <m/>
  </r>
  <r>
    <s v="Barcelona de Serveis Municipals S.A"/>
    <s v="Not a Customer"/>
    <s v="No growth Potential"/>
    <s v="Roman Nacha"/>
    <x v="0"/>
    <x v="0"/>
    <n v="104988"/>
    <s v="24-11-2021"/>
    <n v="0"/>
    <d v="2022-02-02T00:00:00"/>
    <x v="0"/>
    <m/>
    <m/>
    <m/>
  </r>
  <r>
    <s v="Guillaume Rostand"/>
    <s v="Not a Customer"/>
    <s v="No growth Potential"/>
    <s v="Roman Nacha"/>
    <x v="0"/>
    <x v="0"/>
    <n v="235733"/>
    <s v="23-05-2022"/>
    <n v="0"/>
    <d v="2022-02-06T00:00:00"/>
    <x v="0"/>
    <m/>
    <m/>
    <m/>
  </r>
  <r>
    <s v="SuperSol Supermercados"/>
    <s v="Not a Customer"/>
    <s v="No growth Potential"/>
    <s v="Roman Nacha"/>
    <x v="0"/>
    <x v="3"/>
    <n v="204921"/>
    <d v="2021-12-06T00:00:00"/>
    <n v="0"/>
    <d v="2021-01-08T00:00:00"/>
    <x v="5"/>
    <m/>
    <m/>
    <m/>
  </r>
  <r>
    <s v="Zeltia S.A."/>
    <s v="Not a Customer"/>
    <s v="No growth Potential"/>
    <s v="Roman Nacha"/>
    <x v="0"/>
    <x v="3"/>
    <n v="88858"/>
    <d v="2022-03-05T00:00:00"/>
    <n v="0"/>
    <d v="2022-02-06T00:00:00"/>
    <x v="0"/>
    <m/>
    <m/>
    <m/>
  </r>
  <r>
    <s v="Fenix Directo"/>
    <s v="Not a Customer"/>
    <s v="No growth Potential"/>
    <s v="Roman Nacha"/>
    <x v="0"/>
    <x v="3"/>
    <n v="108983"/>
    <s v="13-09-2022"/>
    <n v="0"/>
    <d v="2022-02-11T00:00:00"/>
    <x v="0"/>
    <m/>
    <m/>
    <m/>
  </r>
  <r>
    <s v="Nextel"/>
    <s v="Not a Customer"/>
    <s v="No growth Potential"/>
    <s v="Roman Nacha"/>
    <x v="0"/>
    <x v="9"/>
    <n v="75881"/>
    <d v="2022-03-10T00:00:00"/>
    <n v="0"/>
    <d v="2022-02-11T00:00:00"/>
    <x v="0"/>
    <m/>
    <m/>
    <m/>
  </r>
  <r>
    <s v="Aviva Grupo Corporativo S.L."/>
    <s v="Not a Customer"/>
    <s v="No growth Potential"/>
    <s v="Roman Nacha"/>
    <x v="0"/>
    <x v="3"/>
    <n v="120013"/>
    <s v="21-02-2022"/>
    <n v="0"/>
    <d v="2022-02-05T00:00:00"/>
    <x v="0"/>
    <m/>
    <m/>
    <m/>
  </r>
  <r>
    <s v="Ubesol S. L."/>
    <s v="Not a Customer"/>
    <s v="No growth Potential"/>
    <s v="Roman Nacha"/>
    <x v="0"/>
    <x v="9"/>
    <n v="124126"/>
    <d v="2022-03-10T00:00:00"/>
    <n v="0"/>
    <d v="2022-02-11T00:00:00"/>
    <x v="0"/>
    <m/>
    <m/>
    <m/>
  </r>
  <r>
    <s v="Areas"/>
    <s v="Not a Customer"/>
    <s v="No growth Potential"/>
    <s v="Roman Nacha"/>
    <x v="0"/>
    <x v="9"/>
    <n v="138692"/>
    <d v="2022-01-02T00:00:00"/>
    <n v="0"/>
    <d v="2022-02-04T00:00:00"/>
    <x v="0"/>
    <m/>
    <m/>
    <m/>
  </r>
  <r>
    <s v="BANCO CETELEM S.A"/>
    <s v="Active Customer"/>
    <s v="High Growth potential"/>
    <s v="Roman Nacha"/>
    <x v="0"/>
    <x v="3"/>
    <n v="147362"/>
    <s v="19-10-2022"/>
    <n v="73681"/>
    <d v="2022-08-11T00:00:00"/>
    <x v="3"/>
    <m/>
    <m/>
    <m/>
  </r>
  <r>
    <s v="Oxygen"/>
    <s v="Not a Customer"/>
    <s v="No growth Potential"/>
    <s v="Roman Nacha"/>
    <x v="0"/>
    <x v="9"/>
    <n v="106526"/>
    <d v="2022-03-10T00:00:00"/>
    <n v="0"/>
    <d v="2022-02-11T00:00:00"/>
    <x v="0"/>
    <m/>
    <m/>
    <m/>
  </r>
  <r>
    <s v="Waynabox"/>
    <s v="Not a Customer"/>
    <s v="No growth Potential"/>
    <s v="Roman Nacha"/>
    <x v="0"/>
    <x v="9"/>
    <n v="70969"/>
    <s v="24-11-2021"/>
    <n v="0"/>
    <d v="2022-02-02T00:00:00"/>
    <x v="0"/>
    <m/>
    <m/>
    <m/>
  </r>
  <r>
    <s v="Cargill S.L.U"/>
    <s v="Not a Customer"/>
    <s v="No growth Potential"/>
    <s v="Roman Nacha"/>
    <x v="0"/>
    <x v="183"/>
    <n v="100034"/>
    <s v="13-01-2022"/>
    <n v="0"/>
    <d v="2022-02-02T00:00:00"/>
    <x v="0"/>
    <m/>
    <m/>
    <m/>
  </r>
  <r>
    <s v="Voxelscope"/>
    <s v="Not a Customer"/>
    <s v="No growth Potential"/>
    <s v="Roman Nacha"/>
    <x v="1"/>
    <x v="86"/>
    <n v="188003"/>
    <s v="13-10-2022"/>
    <n v="0"/>
    <d v="2022-02-11T00:00:00"/>
    <x v="0"/>
    <m/>
    <m/>
    <m/>
  </r>
  <r>
    <s v="Fontestad"/>
    <s v="Not a Customer"/>
    <s v="No growth Potential"/>
    <s v="Roman Nacha"/>
    <x v="0"/>
    <x v="184"/>
    <n v="45786"/>
    <s v="13-07-2022"/>
    <n v="0"/>
    <d v="2022-02-08T00:00:00"/>
    <x v="0"/>
    <m/>
    <m/>
    <m/>
  </r>
  <r>
    <s v="SEITECH Software"/>
    <s v="Not a Customer"/>
    <s v="No growth Potential"/>
    <s v="Roman Nacha"/>
    <x v="0"/>
    <x v="0"/>
    <n v="151866"/>
    <s v="23-01-2023"/>
    <n v="0"/>
    <d v="2023-02-02T00:00:00"/>
    <x v="2"/>
    <m/>
    <m/>
    <m/>
  </r>
  <r>
    <s v="Quental"/>
    <s v="Not a Customer"/>
    <s v="No growth Potential"/>
    <s v="Roman Nacha"/>
    <x v="0"/>
    <x v="3"/>
    <n v="74217"/>
    <s v="23-05-2022"/>
    <n v="0"/>
    <d v="2022-02-06T00:00:00"/>
    <x v="0"/>
    <m/>
    <m/>
    <m/>
  </r>
  <r>
    <s v="Digital Ink"/>
    <s v="Not a Customer"/>
    <s v="No growth Potential"/>
    <s v="Roman Nacha"/>
    <x v="0"/>
    <x v="0"/>
    <n v="34768"/>
    <d v="2022-03-05T00:00:00"/>
    <n v="0"/>
    <d v="2022-02-06T00:00:00"/>
    <x v="0"/>
    <m/>
    <m/>
    <m/>
  </r>
  <r>
    <s v="?Falck SCI S.A."/>
    <s v="Not a Customer"/>
    <s v="No growth Potential"/>
    <s v="Roman Nacha"/>
    <x v="0"/>
    <x v="51"/>
    <m/>
    <s v="20-02-2022"/>
    <n v="0"/>
    <d v="2022-02-03T00:00:00"/>
    <x v="0"/>
    <m/>
    <m/>
    <m/>
  </r>
  <r>
    <s v="Sercotel"/>
    <s v="Not a Customer"/>
    <s v="No growth Potential"/>
    <s v="Roman Nacha"/>
    <x v="0"/>
    <x v="0"/>
    <n v="76867"/>
    <s v="23-10-2022"/>
    <n v="0"/>
    <d v="2022-02-11T00:00:00"/>
    <x v="0"/>
    <m/>
    <m/>
    <m/>
  </r>
  <r>
    <s v="CLINICA CEMTRO"/>
    <s v="Not a Customer"/>
    <s v="No growth Potential"/>
    <s v="Roman Nacha"/>
    <x v="0"/>
    <x v="3"/>
    <n v="127431"/>
    <s v="24-08-2022"/>
    <n v="0"/>
    <d v="2022-02-11T00:00:00"/>
    <x v="0"/>
    <m/>
    <m/>
    <m/>
  </r>
  <r>
    <s v="Dtakers"/>
    <s v="Not a Customer"/>
    <s v="No growth Potential"/>
    <s v="Roman Nacha"/>
    <x v="0"/>
    <x v="3"/>
    <n v="118228"/>
    <s v="31-01-2022"/>
    <n v="0"/>
    <d v="2022-02-03T00:00:00"/>
    <x v="0"/>
    <m/>
    <m/>
    <m/>
  </r>
  <r>
    <s v="Camper S.L."/>
    <s v="Not a Customer"/>
    <s v="No growth Potential"/>
    <s v="Roman Nacha"/>
    <x v="0"/>
    <x v="185"/>
    <m/>
    <s v="24-12-2021"/>
    <n v="0"/>
    <d v="2022-02-02T00:00:00"/>
    <x v="0"/>
    <m/>
    <m/>
    <m/>
  </r>
  <r>
    <s v="ASIENTOS DE GALICIA S L"/>
    <s v="Not a Customer"/>
    <s v="No growth Potential"/>
    <s v="Roman Nacha"/>
    <x v="0"/>
    <x v="186"/>
    <n v="114481"/>
    <s v="13-10-2022"/>
    <n v="0"/>
    <d v="2022-02-11T00:00:00"/>
    <x v="0"/>
    <m/>
    <m/>
    <m/>
  </r>
  <r>
    <s v="AbbVie Spain S.L.U."/>
    <s v="Not a Customer"/>
    <s v="No growth Potential"/>
    <s v="Roman Nacha"/>
    <x v="0"/>
    <x v="3"/>
    <n v="58207"/>
    <s v="24-07-2022"/>
    <n v="0"/>
    <d v="2022-02-10T00:00:00"/>
    <x v="0"/>
    <m/>
    <m/>
    <m/>
  </r>
  <r>
    <s v="RibeSalat"/>
    <s v="Not a Customer"/>
    <s v="No growth Potential"/>
    <s v="Roman Nacha"/>
    <x v="0"/>
    <x v="0"/>
    <n v="142316"/>
    <s v="23-05-2022"/>
    <n v="0"/>
    <d v="2022-02-06T00:00:00"/>
    <x v="0"/>
    <m/>
    <m/>
    <m/>
  </r>
  <r>
    <s v="Mecalux SA"/>
    <s v="Active Customer"/>
    <s v="High Growth potential"/>
    <s v="Roman Nacha"/>
    <x v="0"/>
    <x v="187"/>
    <n v="86450"/>
    <s v="26-03-2022"/>
    <n v="43225"/>
    <d v="2022-05-04T00:00:00"/>
    <x v="4"/>
    <m/>
    <m/>
    <m/>
  </r>
  <r>
    <s v="Deloitte Asesores Tributarios S.L."/>
    <s v="Not a Customer"/>
    <s v="No growth Potential"/>
    <s v="Roman Nacha"/>
    <x v="0"/>
    <x v="3"/>
    <n v="45785"/>
    <d v="2022-12-01T00:00:00"/>
    <n v="0"/>
    <d v="2022-01-02T00:00:00"/>
    <x v="0"/>
    <m/>
    <m/>
    <m/>
  </r>
  <r>
    <s v="N2S"/>
    <s v="Not a Customer"/>
    <s v="No growth Potential"/>
    <s v="Roman Nacha"/>
    <x v="0"/>
    <x v="3"/>
    <n v="62387"/>
    <s v="13-09-2022"/>
    <n v="0"/>
    <d v="2022-02-11T00:00:00"/>
    <x v="0"/>
    <m/>
    <m/>
    <m/>
  </r>
  <r>
    <s v="CARGLASS BV Sucursal en Espana"/>
    <s v="Not a Customer"/>
    <s v="No growth Potential"/>
    <s v="Roman Nacha"/>
    <x v="0"/>
    <x v="188"/>
    <n v="106557"/>
    <d v="2021-03-07T00:00:00"/>
    <n v="0"/>
    <d v="2021-01-09T00:00:00"/>
    <x v="5"/>
    <m/>
    <m/>
    <m/>
  </r>
  <r>
    <s v="Indra Elecciones de Septiembre"/>
    <s v="Not a Customer"/>
    <s v="No growth Potential"/>
    <s v="Roman Nacha"/>
    <x v="0"/>
    <x v="3"/>
    <n v="105996"/>
    <s v="23-03-2022"/>
    <n v="0"/>
    <d v="2022-02-05T00:00:00"/>
    <x v="0"/>
    <m/>
    <m/>
    <m/>
  </r>
  <r>
    <s v="Mota-Egil Group"/>
    <s v="Not a Customer"/>
    <s v="No growth Potential"/>
    <s v="Roman Nacha"/>
    <x v="1"/>
    <x v="9"/>
    <n v="71497"/>
    <d v="2022-11-02T00:00:00"/>
    <n v="0"/>
    <d v="2022-02-04T00:00:00"/>
    <x v="0"/>
    <m/>
    <m/>
    <m/>
  </r>
  <r>
    <s v="City time"/>
    <s v="Not a Customer"/>
    <s v="No growth Potential"/>
    <s v="Roman Nacha"/>
    <x v="0"/>
    <x v="9"/>
    <n v="95892"/>
    <s v="13-10-2022"/>
    <n v="0"/>
    <d v="2022-02-11T00:00:00"/>
    <x v="0"/>
    <m/>
    <m/>
    <m/>
  </r>
  <r>
    <s v="IMQ"/>
    <s v="Not a Customer"/>
    <s v="No growth Potential"/>
    <s v="Roman Nacha"/>
    <x v="0"/>
    <x v="25"/>
    <m/>
    <s v="23-10-2022"/>
    <n v="0"/>
    <d v="2022-02-11T00:00:00"/>
    <x v="0"/>
    <m/>
    <m/>
    <m/>
  </r>
  <r>
    <s v="Hutchinson Port Best"/>
    <s v="Not a Customer"/>
    <s v="No growth Potential"/>
    <s v="Roman Nacha"/>
    <x v="0"/>
    <x v="9"/>
    <n v="35978"/>
    <s v="13-10-2022"/>
    <n v="0"/>
    <d v="2022-02-11T00:00:00"/>
    <x v="0"/>
    <m/>
    <m/>
    <m/>
  </r>
  <r>
    <s v="WeTek"/>
    <s v="Not a Customer"/>
    <s v="No growth Potential"/>
    <s v="Roman Nacha"/>
    <x v="1"/>
    <x v="101"/>
    <n v="475854"/>
    <s v="23-10-2022"/>
    <n v="0"/>
    <d v="2022-02-11T00:00:00"/>
    <x v="0"/>
    <m/>
    <m/>
    <m/>
  </r>
  <r>
    <s v="Giesecke+Devrient Spain"/>
    <s v="Not a Customer"/>
    <s v="No growth Potential"/>
    <s v="Roman Nacha"/>
    <x v="0"/>
    <x v="9"/>
    <n v="300192"/>
    <s v="22-09-2021"/>
    <n v="0"/>
    <d v="2021-02-10T00:00:00"/>
    <x v="5"/>
    <m/>
    <m/>
    <m/>
  </r>
  <r>
    <s v="Free Technologies Excom SL"/>
    <s v="Not a Customer"/>
    <s v="No growth Potential"/>
    <s v="Roman Nacha"/>
    <x v="0"/>
    <x v="189"/>
    <n v="130594"/>
    <d v="2022-03-10T00:00:00"/>
    <n v="0"/>
    <d v="2022-02-11T00:00:00"/>
    <x v="0"/>
    <m/>
    <m/>
    <m/>
  </r>
  <r>
    <s v="Tuc Tuc"/>
    <s v="Not a Customer"/>
    <s v="No growth Potential"/>
    <s v="Roman Nacha"/>
    <x v="0"/>
    <x v="9"/>
    <n v="65897"/>
    <s v="24-08-2022"/>
    <n v="0"/>
    <d v="2022-02-11T00:00:00"/>
    <x v="0"/>
    <m/>
    <m/>
    <m/>
  </r>
  <r>
    <s v="PRISMICA S.L."/>
    <s v="Not a Customer"/>
    <s v="No growth Potential"/>
    <s v="Roman Nacha"/>
    <x v="0"/>
    <x v="51"/>
    <n v="36896"/>
    <s v="23-09-2022"/>
    <n v="0"/>
    <d v="2022-02-11T00:00:00"/>
    <x v="0"/>
    <m/>
    <m/>
    <m/>
  </r>
  <r>
    <s v="Mytheresa"/>
    <s v="Not a Customer"/>
    <s v="No growth Potential"/>
    <s v="Roman Nacha"/>
    <x v="0"/>
    <x v="9"/>
    <n v="71126"/>
    <s v="24-07-2022"/>
    <n v="0"/>
    <d v="2022-02-09T00:00:00"/>
    <x v="0"/>
    <m/>
    <m/>
    <m/>
  </r>
  <r>
    <s v="Losan"/>
    <s v="Not a Customer"/>
    <s v="No growth Potential"/>
    <s v="Roman Nacha"/>
    <x v="0"/>
    <x v="9"/>
    <n v="30000000"/>
    <d v="2022-03-03T00:00:00"/>
    <n v="0"/>
    <d v="2022-02-04T00:00:00"/>
    <x v="0"/>
    <m/>
    <m/>
    <m/>
  </r>
  <r>
    <s v="Zatro"/>
    <s v="Not a Customer"/>
    <s v="No growth Potential"/>
    <s v="Roman Nacha"/>
    <x v="0"/>
    <x v="9"/>
    <n v="143801"/>
    <s v="13-01-2022"/>
    <n v="0"/>
    <d v="2022-02-02T00:00:00"/>
    <x v="0"/>
    <m/>
    <m/>
    <m/>
  </r>
  <r>
    <s v="HOWLANDERS"/>
    <s v="Not a Customer"/>
    <s v="No growth Potential"/>
    <s v="Roman Nacha"/>
    <x v="0"/>
    <x v="51"/>
    <m/>
    <d v="2022-03-10T00:00:00"/>
    <n v="0"/>
    <d v="2022-02-11T00:00:00"/>
    <x v="0"/>
    <m/>
    <m/>
    <m/>
  </r>
  <r>
    <s v="ASISPA"/>
    <s v="Not a Customer"/>
    <s v="No growth Potential"/>
    <s v="Roman Nacha"/>
    <x v="0"/>
    <x v="3"/>
    <n v="146756"/>
    <d v="2022-03-10T00:00:00"/>
    <n v="0"/>
    <d v="2022-02-11T00:00:00"/>
    <x v="0"/>
    <m/>
    <m/>
    <m/>
  </r>
  <r>
    <s v="Regalos JC"/>
    <s v="Not a Customer"/>
    <s v="No growth Potential"/>
    <s v="Roman Nacha"/>
    <x v="0"/>
    <x v="38"/>
    <n v="69888"/>
    <s v="23-03-2022"/>
    <n v="0"/>
    <d v="2022-02-04T00:00:00"/>
    <x v="0"/>
    <m/>
    <m/>
    <m/>
  </r>
  <r>
    <s v="Floraqueen.com"/>
    <s v="Not a Customer"/>
    <s v="No growth Potential"/>
    <s v="Roman Nacha"/>
    <x v="0"/>
    <x v="0"/>
    <n v="123799"/>
    <d v="2022-03-03T00:00:00"/>
    <n v="0"/>
    <d v="2022-02-05T00:00:00"/>
    <x v="0"/>
    <m/>
    <m/>
    <m/>
  </r>
  <r>
    <s v="Roche Diagnostics GmbH"/>
    <s v="Active Customer"/>
    <s v="Medium Growth"/>
    <s v="Kaityu Bonolam"/>
    <x v="7"/>
    <x v="190"/>
    <n v="704276"/>
    <s v="22-07-2022"/>
    <n v="88034"/>
    <s v="20-09-2022"/>
    <x v="3"/>
    <m/>
    <m/>
    <m/>
  </r>
  <r>
    <s v="Deutsche Automobil Treuhand GmbH"/>
    <s v="Active Customer"/>
    <s v="High Growth potential"/>
    <s v="Kaityu Bonolam"/>
    <x v="7"/>
    <x v="191"/>
    <n v="85170"/>
    <s v="14-12-2021"/>
    <n v="5010"/>
    <s v="22-02-2022"/>
    <x v="0"/>
    <m/>
    <m/>
    <m/>
  </r>
  <r>
    <s v="Walbusch Walter Busch GmbH"/>
    <s v="Active Customer"/>
    <s v="High Growth potential"/>
    <s v="Kaityu Bonolam"/>
    <x v="7"/>
    <x v="192"/>
    <n v="136967"/>
    <d v="2022-08-01T00:00:00"/>
    <n v="68484"/>
    <s v="17-02-2022"/>
    <x v="0"/>
    <m/>
    <m/>
    <m/>
  </r>
  <r>
    <s v="Westwing Group GmbH"/>
    <s v="Active Customer"/>
    <s v="High Growth potential"/>
    <s v="Kaityu Bonolam"/>
    <x v="7"/>
    <x v="193"/>
    <n v="28516"/>
    <s v="19-10-2022"/>
    <n v="4753"/>
    <d v="2022-08-11T00:00:00"/>
    <x v="3"/>
    <m/>
    <m/>
    <m/>
  </r>
  <r>
    <s v="World Television (Switzerland) Ltd."/>
    <s v="Active Customer"/>
    <s v="High Growth potential"/>
    <s v="Kaityu Bonolam"/>
    <x v="8"/>
    <x v="194"/>
    <n v="54719"/>
    <d v="2022-07-04T00:00:00"/>
    <n v="4560"/>
    <s v="17-04-2022"/>
    <x v="4"/>
    <m/>
    <m/>
    <m/>
  </r>
  <r>
    <s v="AMP-IT Consulting"/>
    <s v="Not a Customer"/>
    <s v="No growth Potential"/>
    <s v="Kaityu Bonolam"/>
    <x v="7"/>
    <x v="9"/>
    <n v="56377"/>
    <s v="23-10-2022"/>
    <n v="0"/>
    <d v="2022-02-11T00:00:00"/>
    <x v="0"/>
    <m/>
    <m/>
    <m/>
  </r>
  <r>
    <s v="Delticom AG"/>
    <s v="Active Customer"/>
    <s v="High Growth potential"/>
    <s v="Kaityu Bonolam"/>
    <x v="7"/>
    <x v="195"/>
    <n v="72731"/>
    <d v="2022-03-11T00:00:00"/>
    <n v="14546"/>
    <s v="23-11-2022"/>
    <x v="1"/>
    <m/>
    <m/>
    <m/>
  </r>
  <r>
    <s v="e35 Shop"/>
    <s v="Active Customer"/>
    <s v="High Growth potential"/>
    <s v="Kaityu Bonolam"/>
    <x v="9"/>
    <x v="196"/>
    <n v="62221"/>
    <d v="2022-01-10T00:00:00"/>
    <n v="31111"/>
    <s v="20-11-2022"/>
    <x v="1"/>
    <m/>
    <m/>
    <m/>
  </r>
  <r>
    <s v="Global Blue SA"/>
    <s v="Active Customer"/>
    <s v="High Growth potential"/>
    <s v="Kaityu Bonolam"/>
    <x v="10"/>
    <x v="197"/>
    <n v="27912"/>
    <s v="14-03-2022"/>
    <n v="13956"/>
    <s v="23-05-2022"/>
    <x v="4"/>
    <m/>
    <m/>
    <m/>
  </r>
  <r>
    <s v="benuta GmbH"/>
    <s v="Active Customer"/>
    <s v="High Growth potential"/>
    <s v="Kaityu Bonolam"/>
    <x v="7"/>
    <x v="198"/>
    <n v="45775"/>
    <s v="21-05-2022"/>
    <n v="22888"/>
    <s v="20-06-2022"/>
    <x v="4"/>
    <m/>
    <m/>
    <m/>
  </r>
  <r>
    <s v="AOE media GmbH"/>
    <s v="Active Customer"/>
    <s v="High Growth potential"/>
    <s v="Kaityu Bonolam"/>
    <x v="7"/>
    <x v="199"/>
    <n v="94837"/>
    <d v="2022-02-08T00:00:00"/>
    <n v="11855"/>
    <d v="2022-11-09T00:00:00"/>
    <x v="1"/>
    <m/>
    <m/>
    <m/>
  </r>
  <r>
    <s v="SIGNA HOLDING GMBH"/>
    <s v="Active Customer"/>
    <s v="High Growth potential"/>
    <s v="Kaityu Bonolam"/>
    <x v="9"/>
    <x v="9"/>
    <n v="109362"/>
    <d v="2022-12-09T00:00:00"/>
    <n v="54681"/>
    <d v="2022-11-11T00:00:00"/>
    <x v="1"/>
    <m/>
    <m/>
    <m/>
  </r>
  <r>
    <s v="MIC Datenverarbeitung GmbH"/>
    <s v="Active Customer"/>
    <s v="High Growth potential"/>
    <s v="Kaityu Bonolam"/>
    <x v="9"/>
    <x v="200"/>
    <n v="98851"/>
    <s v="13-06-2022"/>
    <n v="49426"/>
    <s v="23-06-2022"/>
    <x v="4"/>
    <m/>
    <m/>
    <m/>
  </r>
  <r>
    <s v="s.Oliver Bernd Freier GmbH &amp; Co. KG"/>
    <s v="Active Customer"/>
    <s v="Medium Growth"/>
    <s v="Kaityu Bonolam"/>
    <x v="7"/>
    <x v="201"/>
    <n v="101564"/>
    <d v="2022-04-11T00:00:00"/>
    <n v="20313"/>
    <s v="14-11-2022"/>
    <x v="1"/>
    <m/>
    <m/>
    <m/>
  </r>
  <r>
    <s v="Flottweg SE"/>
    <s v="Active Customer"/>
    <s v="High Growth potential"/>
    <s v="Kaityu Bonolam"/>
    <x v="7"/>
    <x v="202"/>
    <n v="54000"/>
    <d v="2022-04-10T00:00:00"/>
    <n v="27000"/>
    <s v="23-11-2022"/>
    <x v="1"/>
    <m/>
    <m/>
    <m/>
  </r>
  <r>
    <s v="DKV Mobility Services Business Center GmbH + Co. KG"/>
    <s v="Active Customer"/>
    <s v="Medium Growth"/>
    <s v="Kaityu Bonolam"/>
    <x v="7"/>
    <x v="203"/>
    <n v="42421"/>
    <d v="2022-05-09T00:00:00"/>
    <n v="5303"/>
    <s v="14-11-2022"/>
    <x v="1"/>
    <m/>
    <m/>
    <m/>
  </r>
  <r>
    <s v="Contentful GmbH"/>
    <s v="Not a Customer"/>
    <s v="No growth Potential"/>
    <s v="Kaityu Bonolam"/>
    <x v="7"/>
    <x v="204"/>
    <m/>
    <s v="26-10-2022"/>
    <n v="0"/>
    <d v="2022-05-11T00:00:00"/>
    <x v="4"/>
    <m/>
    <m/>
    <m/>
  </r>
  <r>
    <s v="Voycer AG"/>
    <s v="Active Customer"/>
    <s v="High Growth potential"/>
    <s v="Kaityu Bonolam"/>
    <x v="7"/>
    <x v="9"/>
    <n v="141806"/>
    <d v="2022-10-11T00:00:00"/>
    <n v="70903"/>
    <s v="20-11-2022"/>
    <x v="1"/>
    <m/>
    <m/>
    <m/>
  </r>
  <r>
    <s v="Groz-Beckert KG"/>
    <s v="Active Customer"/>
    <s v="High Growth potential"/>
    <s v="Kaityu Bonolam"/>
    <x v="7"/>
    <x v="205"/>
    <n v="139350"/>
    <d v="2022-12-09T00:00:00"/>
    <n v="69675"/>
    <d v="2022-11-11T00:00:00"/>
    <x v="1"/>
    <m/>
    <m/>
    <m/>
  </r>
  <r>
    <s v="Decathlon Deutschland SE &amp; Co.KG"/>
    <s v="Active Customer"/>
    <s v="High Growth potential"/>
    <s v="Kaityu Bonolam"/>
    <x v="7"/>
    <x v="206"/>
    <n v="50152"/>
    <s v="31-01-2022"/>
    <n v="25076"/>
    <d v="2022-11-04T00:00:00"/>
    <x v="1"/>
    <m/>
    <m/>
    <m/>
  </r>
  <r>
    <s v="Teamnet GmbH"/>
    <s v="Active Customer"/>
    <s v="High Growth potential"/>
    <s v="Kaityu Bonolam"/>
    <x v="7"/>
    <x v="207"/>
    <n v="62420"/>
    <d v="2022-08-02T00:00:00"/>
    <n v="31210"/>
    <s v="20-03-2022"/>
    <x v="0"/>
    <m/>
    <m/>
    <m/>
  </r>
  <r>
    <s v="Recaro Aircraft Seating GmbH &amp; Co.KG"/>
    <s v="Active Customer"/>
    <s v="High Growth potential"/>
    <s v="Kaityu Bonolam"/>
    <x v="7"/>
    <x v="208"/>
    <n v="72195"/>
    <d v="2022-09-02T00:00:00"/>
    <n v="8022"/>
    <s v="20-04-2022"/>
    <x v="4"/>
    <m/>
    <m/>
    <m/>
  </r>
  <r>
    <s v="we.CONECT Global Leaders GmbH"/>
    <s v="Active Customer"/>
    <s v="High Growth potential"/>
    <s v="Kaityu Bonolam"/>
    <x v="7"/>
    <x v="204"/>
    <n v="152450"/>
    <d v="2023-01-02T00:00:00"/>
    <n v="76225"/>
    <s v="23-03-2023"/>
    <x v="2"/>
    <m/>
    <m/>
    <m/>
  </r>
  <r>
    <s v="Brose Fahrzeugteile GmbH &amp; Co. KG"/>
    <s v="Active Customer"/>
    <s v="High Growth potential"/>
    <s v="Kaityu Bonolam"/>
    <x v="7"/>
    <x v="209"/>
    <n v="96000"/>
    <s v="24-06-2022"/>
    <n v="5647"/>
    <s v="23-08-2022"/>
    <x v="3"/>
    <m/>
    <m/>
    <m/>
  </r>
  <r>
    <s v="Vaillant Group Business Services GmbH"/>
    <s v="Active Customer"/>
    <s v="High Growth potential"/>
    <s v="Kaityu Bonolam"/>
    <x v="7"/>
    <x v="210"/>
    <n v="149175"/>
    <s v="26-12-2021"/>
    <n v="49725"/>
    <s v="14-02-2022"/>
    <x v="0"/>
    <m/>
    <m/>
    <m/>
  </r>
  <r>
    <s v="hamburg.de GmbH &amp; Co. KG"/>
    <s v="Active Customer"/>
    <s v="High Growth potential"/>
    <s v="Kaityu Bonolam"/>
    <x v="7"/>
    <x v="9"/>
    <n v="95986"/>
    <s v="20-12-2021"/>
    <n v="47993"/>
    <d v="2022-08-02T00:00:00"/>
    <x v="3"/>
    <m/>
    <m/>
    <m/>
  </r>
  <r>
    <s v="KYOCERA Document Solutions Europe B.V."/>
    <s v="Active Customer"/>
    <s v="High Growth potential"/>
    <s v="Kaityu Bonolam"/>
    <x v="7"/>
    <x v="211"/>
    <n v="97713"/>
    <d v="2022-03-11T00:00:00"/>
    <n v="4248"/>
    <s v="23-11-2022"/>
    <x v="1"/>
    <m/>
    <m/>
    <m/>
  </r>
  <r>
    <s v="Moevenpick Hotels &amp; Resorts"/>
    <s v="Active Customer"/>
    <s v="High Growth potential"/>
    <s v="Kaityu Bonolam"/>
    <x v="10"/>
    <x v="212"/>
    <n v="60997"/>
    <d v="2022-11-10T00:00:00"/>
    <n v="7625"/>
    <s v="20-11-2022"/>
    <x v="1"/>
    <m/>
    <m/>
    <m/>
  </r>
  <r>
    <s v="Arvato Digital Services LLC."/>
    <s v="Active Customer"/>
    <s v="Medium Growth"/>
    <s v="Kaityu Bonolam"/>
    <x v="11"/>
    <x v="51"/>
    <n v="130556"/>
    <s v="27-02-2022"/>
    <n v="14506"/>
    <d v="2022-08-04T00:00:00"/>
    <x v="3"/>
    <m/>
    <m/>
    <m/>
  </r>
  <r>
    <s v="PrintPlanet GmbH"/>
    <s v="Active Customer"/>
    <s v="High Growth potential"/>
    <s v="Kaityu Bonolam"/>
    <x v="7"/>
    <x v="213"/>
    <n v="80522"/>
    <d v="2022-01-07T00:00:00"/>
    <n v="26841"/>
    <s v="20-08-2022"/>
    <x v="3"/>
    <m/>
    <m/>
    <m/>
  </r>
  <r>
    <s v="Pixnetiq GmbH"/>
    <s v="Not a Customer"/>
    <s v="No growth Potential"/>
    <s v="Kaityu Bonolam"/>
    <x v="7"/>
    <x v="204"/>
    <m/>
    <s v="28-09-2022"/>
    <n v="0"/>
    <s v="17-11-2022"/>
    <x v="1"/>
    <m/>
    <m/>
    <m/>
  </r>
  <r>
    <s v="SSI Schaefer Shop GmbH"/>
    <s v="Active Customer"/>
    <s v="High Growth potential"/>
    <s v="Kaityu Bonolam"/>
    <x v="7"/>
    <x v="214"/>
    <n v="171662"/>
    <d v="2022-01-08T00:00:00"/>
    <n v="57221"/>
    <d v="2022-11-08T00:00:00"/>
    <x v="1"/>
    <m/>
    <m/>
    <m/>
  </r>
  <r>
    <s v="Leuze electronic GmbH + Co. KG"/>
    <s v="Active Customer"/>
    <s v="High Growth potential"/>
    <s v="Kaityu Bonolam"/>
    <x v="7"/>
    <x v="215"/>
    <n v="72238"/>
    <s v="15-09-2022"/>
    <n v="4816"/>
    <s v="14-11-2022"/>
    <x v="1"/>
    <m/>
    <m/>
    <m/>
  </r>
  <r>
    <s v="Kistler Instrumente AG"/>
    <s v="Active Customer"/>
    <s v="High Growth potential"/>
    <s v="Kaityu Bonolam"/>
    <x v="10"/>
    <x v="216"/>
    <n v="38848"/>
    <s v="29-10-2022"/>
    <n v="19424"/>
    <d v="2022-08-11T00:00:00"/>
    <x v="3"/>
    <m/>
    <m/>
    <m/>
  </r>
  <r>
    <s v="NEES-REISEN GmbH"/>
    <s v="Active Customer"/>
    <s v="High Growth potential"/>
    <s v="Kaityu Bonolam"/>
    <x v="7"/>
    <x v="217"/>
    <n v="277828"/>
    <s v="16-09-2022"/>
    <n v="34728"/>
    <d v="2022-05-11T00:00:00"/>
    <x v="4"/>
    <m/>
    <m/>
    <m/>
  </r>
  <r>
    <s v="Interroll Schweiz AG"/>
    <s v="Active Customer"/>
    <s v="High Growth potential"/>
    <s v="Kaityu Bonolam"/>
    <x v="10"/>
    <x v="218"/>
    <n v="43898"/>
    <s v="28-09-2022"/>
    <n v="43898"/>
    <s v="17-11-2022"/>
    <x v="1"/>
    <m/>
    <m/>
    <m/>
  </r>
  <r>
    <s v="LEDVANCE GmbH"/>
    <s v="Active Customer"/>
    <s v="No growth Potential"/>
    <s v="Kaityu Bonolam"/>
    <x v="7"/>
    <x v="219"/>
    <n v="112690"/>
    <s v="28-09-2022"/>
    <n v="56345"/>
    <s v="17-11-2022"/>
    <x v="1"/>
    <m/>
    <m/>
    <m/>
  </r>
  <r>
    <s v="RF360 Europe GmbH"/>
    <s v="Not a Customer"/>
    <s v="No growth Potential"/>
    <s v="Kaityu Bonolam"/>
    <x v="7"/>
    <x v="220"/>
    <m/>
    <d v="2022-05-10T00:00:00"/>
    <n v="0"/>
    <s v="14-11-2022"/>
    <x v="1"/>
    <m/>
    <m/>
    <m/>
  </r>
  <r>
    <s v="Market Logic Software AG"/>
    <s v="Not a Customer"/>
    <s v="No growth Potential"/>
    <s v="Kaityu Bonolam"/>
    <x v="7"/>
    <x v="204"/>
    <m/>
    <s v="14-01-2022"/>
    <n v="0"/>
    <s v="23-02-2022"/>
    <x v="0"/>
    <m/>
    <m/>
    <m/>
  </r>
  <r>
    <s v="Gema Switzerland GmbH"/>
    <s v="Active Customer"/>
    <s v="High Growth potential"/>
    <s v="Kaityu Bonolam"/>
    <x v="10"/>
    <x v="221"/>
    <n v="67021"/>
    <s v="13-04-2022"/>
    <n v="8378"/>
    <s v="23-04-2022"/>
    <x v="4"/>
    <m/>
    <m/>
    <m/>
  </r>
  <r>
    <s v="Adler Modemarkte AG"/>
    <s v="Active Customer"/>
    <s v="High Growth potential"/>
    <s v="Kaityu Bonolam"/>
    <x v="7"/>
    <x v="222"/>
    <n v="124052"/>
    <s v="27-11-2022"/>
    <n v="62026"/>
    <s v="17-12-2022"/>
    <x v="1"/>
    <m/>
    <m/>
    <m/>
  </r>
  <r>
    <s v="QuestBack GmbH"/>
    <s v="Active Customer"/>
    <s v="High Growth potential"/>
    <s v="Kaityu Bonolam"/>
    <x v="7"/>
    <x v="223"/>
    <n v="138637"/>
    <s v="17-06-2022"/>
    <n v="69318"/>
    <s v="17-07-2022"/>
    <x v="3"/>
    <m/>
    <m/>
    <m/>
  </r>
  <r>
    <s v="4flow AG"/>
    <s v="Active Customer"/>
    <s v="High Growth potential"/>
    <s v="Kaityu Bonolam"/>
    <x v="7"/>
    <x v="204"/>
    <n v="86682"/>
    <d v="2022-09-09T00:00:00"/>
    <n v="43341"/>
    <d v="2022-08-11T00:00:00"/>
    <x v="3"/>
    <m/>
    <m/>
    <m/>
  </r>
  <r>
    <s v="K - Mail Order GmbH &amp; Co. KG"/>
    <s v="Not a Customer"/>
    <s v="No growth Potential"/>
    <s v="Kaityu Bonolam"/>
    <x v="7"/>
    <x v="224"/>
    <m/>
    <s v="15-05-2022"/>
    <n v="0"/>
    <s v="14-06-2022"/>
    <x v="4"/>
    <m/>
    <m/>
    <m/>
  </r>
  <r>
    <s v="Buerkert Werke GmbH &amp; Co. KG"/>
    <s v="Active Customer"/>
    <s v="High Growth potential"/>
    <s v="Kaityu Bonolam"/>
    <x v="7"/>
    <x v="225"/>
    <n v="118608"/>
    <d v="2022-09-09T00:00:00"/>
    <n v="59304"/>
    <d v="2022-08-11T00:00:00"/>
    <x v="3"/>
    <m/>
    <m/>
    <m/>
  </r>
  <r>
    <s v="Bonprix Sp. z o.o."/>
    <s v="Active Customer"/>
    <s v="High Growth potential"/>
    <s v="Kaityu Bonolam"/>
    <x v="12"/>
    <x v="226"/>
    <n v="145364"/>
    <s v="16-09-2022"/>
    <n v="24227"/>
    <d v="2022-05-11T00:00:00"/>
    <x v="4"/>
    <m/>
    <m/>
    <m/>
  </r>
  <r>
    <s v="DAKOSY Datenkommunikationssystem AG"/>
    <s v="Active Customer"/>
    <s v="High Growth potential"/>
    <s v="Kaityu Bonolam"/>
    <x v="7"/>
    <x v="227"/>
    <n v="115107"/>
    <d v="2022-03-07T00:00:00"/>
    <n v="6058"/>
    <d v="2022-11-09T00:00:00"/>
    <x v="1"/>
    <m/>
    <m/>
    <m/>
  </r>
  <r>
    <s v="Jumio Software Development GmbH"/>
    <s v="Active Customer"/>
    <s v="High Growth potential"/>
    <s v="Kaityu Bonolam"/>
    <x v="9"/>
    <x v="200"/>
    <n v="76393"/>
    <d v="2022-08-10T00:00:00"/>
    <n v="19098"/>
    <s v="17-12-2022"/>
    <x v="1"/>
    <m/>
    <m/>
    <m/>
  </r>
  <r>
    <s v="Fressnapf Tiernahrungs GmbH"/>
    <s v="Active Customer"/>
    <s v="High Growth potential"/>
    <s v="Kaityu Bonolam"/>
    <x v="7"/>
    <x v="228"/>
    <n v="109545"/>
    <d v="2022-05-05T00:00:00"/>
    <n v="9129"/>
    <s v="14-07-2022"/>
    <x v="3"/>
    <m/>
    <m/>
    <m/>
  </r>
  <r>
    <s v="VERIMI GmbH"/>
    <s v="Active Customer"/>
    <s v="High Growth potential"/>
    <s v="Kaityu Bonolam"/>
    <x v="7"/>
    <x v="204"/>
    <n v="139353"/>
    <s v="22-09-2022"/>
    <n v="34838"/>
    <d v="2022-11-11T00:00:00"/>
    <x v="1"/>
    <m/>
    <m/>
    <m/>
  </r>
  <r>
    <s v="etracker GmbH"/>
    <s v="Active Customer"/>
    <s v="High Growth potential"/>
    <s v="Kaityu Bonolam"/>
    <x v="7"/>
    <x v="227"/>
    <n v="122795"/>
    <s v="24-02-2022"/>
    <n v="61397"/>
    <d v="2022-05-04T00:00:00"/>
    <x v="4"/>
    <m/>
    <m/>
    <m/>
  </r>
  <r>
    <s v="Yareto GmbH"/>
    <s v="Active Customer"/>
    <s v="High Growth potential"/>
    <s v="Kaityu Bonolam"/>
    <x v="7"/>
    <x v="229"/>
    <n v="143585"/>
    <s v="15-12-2021"/>
    <n v="71792"/>
    <s v="23-02-2022"/>
    <x v="0"/>
    <m/>
    <m/>
    <m/>
  </r>
  <r>
    <s v="Saint-Gobain Building Distribution Deutschland GmbH"/>
    <s v="Not a Customer"/>
    <s v="No growth Potential"/>
    <s v="Kaityu Bonolam"/>
    <x v="7"/>
    <x v="230"/>
    <n v="142013"/>
    <d v="2021-04-12T00:00:00"/>
    <n v="0"/>
    <d v="2022-02-02T00:00:00"/>
    <x v="0"/>
    <m/>
    <m/>
    <m/>
  </r>
  <r>
    <s v="Cyando AG"/>
    <s v="Active Customer"/>
    <s v="High Growth potential"/>
    <s v="Kaityu Bonolam"/>
    <x v="10"/>
    <x v="231"/>
    <n v="143456"/>
    <s v="20-01-2022"/>
    <n v="71728"/>
    <d v="2022-11-03T00:00:00"/>
    <x v="1"/>
    <m/>
    <m/>
    <m/>
  </r>
  <r>
    <s v="BELIMO Automation AG"/>
    <s v="Active Customer"/>
    <s v="High Growth potential"/>
    <s v="Kaityu Bonolam"/>
    <x v="10"/>
    <x v="232"/>
    <n v="43894"/>
    <s v="30-10-2022"/>
    <n v="10973"/>
    <d v="2023-08-01T00:00:00"/>
    <x v="7"/>
    <m/>
    <m/>
    <m/>
  </r>
  <r>
    <s v="oneCorp"/>
    <s v="Not a Customer"/>
    <s v="No growth Potential"/>
    <s v="Kaityu Bonolam"/>
    <x v="7"/>
    <x v="9"/>
    <n v="142258"/>
    <s v="13-09-2022"/>
    <n v="0"/>
    <d v="2022-02-11T00:00:00"/>
    <x v="0"/>
    <m/>
    <m/>
    <m/>
  </r>
  <r>
    <s v="ratioform Verpackungen GmbH"/>
    <s v="Active Customer"/>
    <s v="High Growth potential"/>
    <s v="Kaityu Bonolam"/>
    <x v="7"/>
    <x v="233"/>
    <n v="101564"/>
    <s v="26-01-2022"/>
    <n v="25391"/>
    <d v="2022-05-02T00:00:00"/>
    <x v="4"/>
    <m/>
    <m/>
    <m/>
  </r>
  <r>
    <s v="OEKO-TEX Association"/>
    <s v="Active Customer"/>
    <s v="High Growth potential"/>
    <s v="Kaityu Bonolam"/>
    <x v="10"/>
    <x v="234"/>
    <n v="66263"/>
    <s v="27-02-2023"/>
    <n v="4418"/>
    <d v="2023-08-04T00:00:00"/>
    <x v="7"/>
    <m/>
    <m/>
    <m/>
  </r>
  <r>
    <s v="Marktplatz GmbH"/>
    <s v="Not a Customer"/>
    <s v="No growth Potential"/>
    <s v="Kaityu Bonolam"/>
    <x v="7"/>
    <x v="235"/>
    <m/>
    <s v="28-01-2022"/>
    <n v="0"/>
    <s v="17-02-2022"/>
    <x v="0"/>
    <m/>
    <m/>
    <m/>
  </r>
  <r>
    <s v="innovation mecom GmbH"/>
    <s v="Not a Customer"/>
    <s v="No growth Potential"/>
    <s v="Kaityu Bonolam"/>
    <x v="7"/>
    <x v="236"/>
    <m/>
    <d v="2022-12-04T00:00:00"/>
    <n v="0"/>
    <d v="2022-11-06T00:00:00"/>
    <x v="1"/>
    <m/>
    <m/>
    <m/>
  </r>
  <r>
    <s v="MUSIC STORE professional GmbH"/>
    <s v="Active Customer"/>
    <s v="High Growth potential"/>
    <s v="Kaityu Bonolam"/>
    <x v="7"/>
    <x v="223"/>
    <n v="92126"/>
    <s v="25-10-2021"/>
    <n v="23032"/>
    <s v="14-12-2021"/>
    <x v="8"/>
    <m/>
    <m/>
    <m/>
  </r>
  <r>
    <s v="kidsroom.de GmbH &amp; Co. KG"/>
    <s v="Active Customer"/>
    <s v="High Growth potential"/>
    <s v="Kaityu Bonolam"/>
    <x v="7"/>
    <x v="237"/>
    <n v="94769"/>
    <s v="18-10-2022"/>
    <n v="47385"/>
    <s v="17-11-2022"/>
    <x v="1"/>
    <m/>
    <m/>
    <m/>
  </r>
  <r>
    <s v="The Unbelievable Machine Company"/>
    <s v="Active Customer"/>
    <s v="No growth Potential"/>
    <s v="Kaityu Bonolam"/>
    <x v="7"/>
    <x v="204"/>
    <n v="62373"/>
    <s v="18-11-2022"/>
    <n v="6237"/>
    <s v="17-01-2023"/>
    <x v="2"/>
    <m/>
    <m/>
    <m/>
  </r>
  <r>
    <s v="K.A. Schmersal GmbH &amp; Co. KG"/>
    <s v="Active Customer"/>
    <s v="High Growth potential"/>
    <s v="Kaityu Bonolam"/>
    <x v="7"/>
    <x v="238"/>
    <n v="88677"/>
    <d v="2023-07-01T00:00:00"/>
    <n v="44338"/>
    <s v="17-01-2023"/>
    <x v="2"/>
    <m/>
    <m/>
    <m/>
  </r>
  <r>
    <s v="Mahr GmbH (Carl Mahr)"/>
    <s v="Active Customer"/>
    <s v="High Growth potential"/>
    <s v="Kaityu Bonolam"/>
    <x v="7"/>
    <x v="239"/>
    <n v="54728"/>
    <s v="17-12-2021"/>
    <n v="27364"/>
    <d v="2022-05-02T00:00:00"/>
    <x v="4"/>
    <m/>
    <m/>
    <m/>
  </r>
  <r>
    <s v="Hansgrohe SE"/>
    <s v="Not a Customer"/>
    <s v="No growth Potential"/>
    <s v="Kaityu Bonolam"/>
    <x v="7"/>
    <x v="9"/>
    <n v="40755"/>
    <s v="24-12-2021"/>
    <n v="0"/>
    <d v="2022-02-02T00:00:00"/>
    <x v="0"/>
    <m/>
    <m/>
    <m/>
  </r>
  <r>
    <s v="Awinta Gmbh"/>
    <s v="Active Customer"/>
    <s v="High Growth potential"/>
    <s v="Kaityu Bonolam"/>
    <x v="7"/>
    <x v="240"/>
    <n v="42040"/>
    <d v="2022-05-05T00:00:00"/>
    <n v="14013"/>
    <s v="14-06-2022"/>
    <x v="4"/>
    <m/>
    <m/>
    <m/>
  </r>
  <r>
    <s v="Trelleborg Sealing Solutions"/>
    <s v="Active Customer"/>
    <s v="High Growth potential"/>
    <s v="Kaityu Bonolam"/>
    <x v="7"/>
    <x v="241"/>
    <n v="58015"/>
    <s v="28-01-2023"/>
    <n v="3626"/>
    <s v="17-02-2023"/>
    <x v="2"/>
    <m/>
    <m/>
    <m/>
  </r>
  <r>
    <s v="Foliencenter24"/>
    <s v="Not a Customer"/>
    <s v="No growth Potential"/>
    <s v="Kaityu Bonolam"/>
    <x v="7"/>
    <x v="9"/>
    <n v="76353"/>
    <s v="13-09-2022"/>
    <n v="0"/>
    <d v="2022-02-11T00:00:00"/>
    <x v="0"/>
    <m/>
    <m/>
    <m/>
  </r>
  <r>
    <s v="Eppendorf AG"/>
    <s v="Active Customer"/>
    <s v="High Growth potential"/>
    <s v="Kaityu Bonolam"/>
    <x v="7"/>
    <x v="227"/>
    <n v="422947"/>
    <d v="2022-12-09T00:00:00"/>
    <n v="211474"/>
    <d v="2022-11-11T00:00:00"/>
    <x v="1"/>
    <m/>
    <m/>
    <m/>
  </r>
  <r>
    <s v="Duravit AG"/>
    <s v="Active Customer"/>
    <s v="High Growth potential"/>
    <s v="Kaityu Bonolam"/>
    <x v="7"/>
    <x v="242"/>
    <n v="105593"/>
    <s v="31-01-2022"/>
    <n v="17599"/>
    <d v="2022-11-04T00:00:00"/>
    <x v="1"/>
    <m/>
    <m/>
    <m/>
  </r>
  <r>
    <s v="BIOTRONIK SE &amp; Co. KG"/>
    <s v="Active Customer"/>
    <s v="High Growth potential"/>
    <s v="Kaityu Bonolam"/>
    <x v="7"/>
    <x v="204"/>
    <n v="132323"/>
    <d v="2022-11-09T00:00:00"/>
    <n v="66162"/>
    <s v="20-11-2022"/>
    <x v="1"/>
    <m/>
    <m/>
    <m/>
  </r>
  <r>
    <s v="RedTecLab GmbH"/>
    <s v="Active Customer"/>
    <s v="High Growth potential"/>
    <s v="Kaityu Bonolam"/>
    <x v="7"/>
    <x v="223"/>
    <n v="172856"/>
    <d v="2022-04-08T00:00:00"/>
    <n v="86428"/>
    <s v="14-08-2022"/>
    <x v="3"/>
    <m/>
    <m/>
    <m/>
  </r>
  <r>
    <s v="Trusted Shops GmbH"/>
    <s v="Active Customer"/>
    <s v="Medium Growth"/>
    <s v="Kaityu Bonolam"/>
    <x v="7"/>
    <x v="243"/>
    <n v="96619"/>
    <s v="30-08-2022"/>
    <n v="48309"/>
    <d v="2022-08-11T00:00:00"/>
    <x v="3"/>
    <m/>
    <m/>
    <m/>
  </r>
  <r>
    <s v="SICK AG"/>
    <s v="Not a Customer"/>
    <s v="No growth Potential"/>
    <s v="Kaityu Bonolam"/>
    <x v="7"/>
    <x v="244"/>
    <m/>
    <s v="22-10-2022"/>
    <n v="0"/>
    <d v="2022-11-11T00:00:00"/>
    <x v="1"/>
    <m/>
    <m/>
    <m/>
  </r>
  <r>
    <s v="SGS Group Management Ltd"/>
    <s v="Active Customer"/>
    <s v="Medium Growth"/>
    <s v="Dorai Kumar"/>
    <x v="10"/>
    <x v="245"/>
    <n v="139497"/>
    <s v="18-10-2022"/>
    <n v="69749"/>
    <s v="17-12-2022"/>
    <x v="1"/>
    <m/>
    <m/>
    <m/>
  </r>
  <r>
    <s v="Realisaprint.com"/>
    <s v="Not a Customer"/>
    <s v="No growth Potential"/>
    <s v="Dorai Kumar"/>
    <x v="3"/>
    <x v="246"/>
    <n v="62392"/>
    <d v="2022-01-01T00:00:00"/>
    <n v="0"/>
    <d v="2022-02-03T00:00:00"/>
    <x v="0"/>
    <m/>
    <m/>
    <m/>
  </r>
  <r>
    <s v="GIE Avions Transport Regional"/>
    <s v="Active Customer"/>
    <s v="High Growth potential"/>
    <s v="Dorai Kumar"/>
    <x v="3"/>
    <x v="247"/>
    <n v="118662"/>
    <s v="25-01-2023"/>
    <n v="59331"/>
    <s v="14-02-2023"/>
    <x v="2"/>
    <m/>
    <m/>
    <m/>
  </r>
  <r>
    <s v="ROCHE SAS"/>
    <s v="Not a Customer"/>
    <s v="No growth Potential"/>
    <s v="Dorai Kumar"/>
    <x v="3"/>
    <x v="248"/>
    <n v="80118"/>
    <s v="24-08-2022"/>
    <n v="0"/>
    <d v="2022-02-11T00:00:00"/>
    <x v="0"/>
    <m/>
    <m/>
    <m/>
  </r>
  <r>
    <s v="Genymobile"/>
    <s v="Not a Customer"/>
    <s v="No growth Potential"/>
    <s v="Dorai Kumar"/>
    <x v="3"/>
    <x v="9"/>
    <n v="63692"/>
    <s v="23-09-2022"/>
    <n v="0"/>
    <d v="2022-02-11T00:00:00"/>
    <x v="0"/>
    <m/>
    <m/>
    <m/>
  </r>
  <r>
    <s v="CHASSIS BRAKES INTERNATIONAL"/>
    <s v="Not a Customer"/>
    <s v="No growth Potential"/>
    <s v="Dorai Kumar"/>
    <x v="3"/>
    <x v="9"/>
    <n v="112698"/>
    <s v="13-09-2022"/>
    <n v="0"/>
    <d v="2022-02-11T00:00:00"/>
    <x v="0"/>
    <m/>
    <m/>
    <m/>
  </r>
  <r>
    <s v="Groupe Atlantic"/>
    <s v="Not a Customer"/>
    <s v="No growth Potential"/>
    <s v="Dorai Kumar"/>
    <x v="3"/>
    <x v="249"/>
    <n v="107238"/>
    <s v="23-09-2022"/>
    <n v="0"/>
    <d v="2022-02-11T00:00:00"/>
    <x v="0"/>
    <m/>
    <m/>
    <m/>
  </r>
  <r>
    <s v="TCS"/>
    <s v="Not a Customer"/>
    <s v="No growth Potential"/>
    <s v="Dorai Kumar"/>
    <x v="11"/>
    <x v="250"/>
    <n v="354937"/>
    <s v="23-10-2022"/>
    <n v="0"/>
    <d v="2022-02-11T00:00:00"/>
    <x v="0"/>
    <m/>
    <m/>
    <m/>
  </r>
  <r>
    <s v="Suez Group"/>
    <s v="Not a Customer"/>
    <s v="No growth Potential"/>
    <s v="Dorai Kumar"/>
    <x v="3"/>
    <x v="41"/>
    <n v="109464"/>
    <s v="13-09-2022"/>
    <n v="0"/>
    <d v="2022-02-11T00:00:00"/>
    <x v="0"/>
    <m/>
    <m/>
    <m/>
  </r>
  <r>
    <s v="HEF Groupe"/>
    <s v="Not a Customer"/>
    <s v="No growth Potential"/>
    <s v="Dorai Kumar"/>
    <x v="3"/>
    <x v="9"/>
    <n v="129233"/>
    <s v="23-09-2022"/>
    <n v="0"/>
    <d v="2022-02-11T00:00:00"/>
    <x v="0"/>
    <m/>
    <m/>
    <m/>
  </r>
  <r>
    <s v="MANUF FRANC PNEUMATIQ MICHELIN"/>
    <s v="Not a Customer"/>
    <s v="No growth Potential"/>
    <s v="Dorai Kumar"/>
    <x v="3"/>
    <x v="9"/>
    <n v="88634"/>
    <s v="24-08-2022"/>
    <n v="0"/>
    <d v="2022-02-11T00:00:00"/>
    <x v="0"/>
    <m/>
    <m/>
    <m/>
  </r>
  <r>
    <s v="EPC Groupe"/>
    <s v="Not a Customer"/>
    <s v="No growth Potential"/>
    <s v="Dorai Kumar"/>
    <x v="3"/>
    <x v="41"/>
    <n v="58220"/>
    <d v="2022-03-09T00:00:00"/>
    <n v="0"/>
    <d v="2022-02-11T00:00:00"/>
    <x v="0"/>
    <m/>
    <m/>
    <m/>
  </r>
  <r>
    <s v="Verallia"/>
    <s v="Not a Customer"/>
    <s v="No growth Potential"/>
    <s v="Dorai Kumar"/>
    <x v="3"/>
    <x v="9"/>
    <n v="190697"/>
    <s v="13-03-2022"/>
    <n v="0"/>
    <d v="2022-02-04T00:00:00"/>
    <x v="0"/>
    <m/>
    <m/>
    <m/>
  </r>
  <r>
    <s v="Laposte"/>
    <s v="Not a Customer"/>
    <s v="No growth Potential"/>
    <s v="Dorai Kumar"/>
    <x v="3"/>
    <x v="9"/>
    <n v="97716"/>
    <s v="13-01-2022"/>
    <n v="0"/>
    <d v="2022-02-02T00:00:00"/>
    <x v="0"/>
    <m/>
    <m/>
    <m/>
  </r>
  <r>
    <s v="DMLT - Investment Cafe LLC"/>
    <s v="Not a Customer"/>
    <s v="No growth Potential"/>
    <s v="Dorai Kumar"/>
    <x v="3"/>
    <x v="41"/>
    <n v="39598"/>
    <d v="2021-02-08T00:00:00"/>
    <n v="0"/>
    <d v="2021-01-09T00:00:00"/>
    <x v="5"/>
    <m/>
    <m/>
    <m/>
  </r>
  <r>
    <s v="Arturia"/>
    <s v="Not a Customer"/>
    <s v="No growth Potential"/>
    <s v="Dorai Kumar"/>
    <x v="3"/>
    <x v="9"/>
    <n v="118603"/>
    <d v="2022-03-05T00:00:00"/>
    <n v="0"/>
    <d v="2022-02-07T00:00:00"/>
    <x v="0"/>
    <m/>
    <m/>
    <m/>
  </r>
  <r>
    <s v="GACD"/>
    <s v="Not a Customer"/>
    <s v="No growth Potential"/>
    <s v="Dorai Kumar"/>
    <x v="3"/>
    <x v="41"/>
    <n v="111780"/>
    <d v="2022-03-09T00:00:00"/>
    <n v="0"/>
    <d v="2022-02-11T00:00:00"/>
    <x v="0"/>
    <m/>
    <m/>
    <m/>
  </r>
  <r>
    <s v="Actility"/>
    <s v="Not a Customer"/>
    <s v="No growth Potential"/>
    <s v="Dorai Kumar"/>
    <x v="3"/>
    <x v="251"/>
    <n v="185671"/>
    <d v="2022-03-10T00:00:00"/>
    <n v="0"/>
    <d v="2022-02-11T00:00:00"/>
    <x v="0"/>
    <m/>
    <m/>
    <m/>
  </r>
  <r>
    <s v="SensioLabs"/>
    <s v="Not a Customer"/>
    <s v="No growth Potential"/>
    <s v="Dorai Kumar"/>
    <x v="3"/>
    <x v="9"/>
    <n v="101488"/>
    <s v="13-06-2022"/>
    <n v="0"/>
    <d v="2022-02-08T00:00:00"/>
    <x v="0"/>
    <m/>
    <m/>
    <m/>
  </r>
  <r>
    <s v="Petit Forestier"/>
    <s v="Not a Customer"/>
    <s v="No growth Potential"/>
    <s v="Dorai Kumar"/>
    <x v="3"/>
    <x v="252"/>
    <n v="154475"/>
    <s v="13-10-2022"/>
    <n v="0"/>
    <d v="2022-02-11T00:00:00"/>
    <x v="0"/>
    <m/>
    <m/>
    <m/>
  </r>
  <r>
    <s v="Sage"/>
    <s v="Not a Customer"/>
    <s v="No growth Potential"/>
    <s v="Dorai Kumar"/>
    <x v="3"/>
    <x v="9"/>
    <n v="137347"/>
    <s v="24-12-2021"/>
    <n v="0"/>
    <d v="2022-02-02T00:00:00"/>
    <x v="0"/>
    <m/>
    <m/>
    <m/>
  </r>
  <r>
    <s v="Centre Hospitalier de Royan"/>
    <s v="Not a Customer"/>
    <s v="No growth Potential"/>
    <s v="Dorai Kumar"/>
    <x v="3"/>
    <x v="253"/>
    <n v="151866"/>
    <s v="13-01-2023"/>
    <n v="0"/>
    <d v="2023-02-02T00:00:00"/>
    <x v="2"/>
    <m/>
    <m/>
    <m/>
  </r>
  <r>
    <s v="Holding Mademoiselle Desserts"/>
    <s v="Not a Customer"/>
    <s v="No growth Potential"/>
    <s v="Dorai Kumar"/>
    <x v="3"/>
    <x v="254"/>
    <n v="220506"/>
    <d v="2022-03-08T00:00:00"/>
    <n v="0"/>
    <d v="2022-02-10T00:00:00"/>
    <x v="0"/>
    <m/>
    <m/>
    <m/>
  </r>
  <r>
    <s v="Groupe Chimirec"/>
    <s v="Not a Customer"/>
    <s v="No growth Potential"/>
    <s v="Dorai Kumar"/>
    <x v="3"/>
    <x v="255"/>
    <n v="62654"/>
    <d v="2022-03-09T00:00:00"/>
    <n v="0"/>
    <d v="2022-02-11T00:00:00"/>
    <x v="0"/>
    <m/>
    <m/>
    <m/>
  </r>
  <r>
    <s v="crc-international.org"/>
    <s v="Not a Customer"/>
    <s v="No growth Potential"/>
    <s v="Dorai Kumar"/>
    <x v="3"/>
    <x v="256"/>
    <n v="33511"/>
    <s v="13-10-2022"/>
    <n v="0"/>
    <d v="2022-02-11T00:00:00"/>
    <x v="0"/>
    <m/>
    <m/>
    <m/>
  </r>
  <r>
    <s v="TARKETT"/>
    <s v="Not a Customer"/>
    <s v="No growth Potential"/>
    <s v="Dorai Kumar"/>
    <x v="3"/>
    <x v="257"/>
    <n v="101471"/>
    <s v="24-08-2022"/>
    <n v="0"/>
    <d v="2022-02-11T00:00:00"/>
    <x v="0"/>
    <m/>
    <m/>
    <m/>
  </r>
  <r>
    <s v="iBanFirst"/>
    <s v="Not a Customer"/>
    <s v="No growth Potential"/>
    <s v="Dorai Kumar"/>
    <x v="3"/>
    <x v="41"/>
    <n v="109508"/>
    <d v="2022-10-02T00:00:00"/>
    <n v="0"/>
    <d v="2022-02-03T00:00:00"/>
    <x v="0"/>
    <m/>
    <m/>
    <m/>
  </r>
  <r>
    <s v="Mersen"/>
    <s v="Not a Customer"/>
    <s v="No growth Potential"/>
    <s v="Dorai Kumar"/>
    <x v="3"/>
    <x v="258"/>
    <n v="146585"/>
    <d v="2022-03-09T00:00:00"/>
    <n v="0"/>
    <d v="2022-02-11T00:00:00"/>
    <x v="0"/>
    <m/>
    <m/>
    <m/>
  </r>
  <r>
    <s v="Oodrive"/>
    <s v="Active Customer"/>
    <s v="High Growth potential"/>
    <s v="Dorai Kumar"/>
    <x v="3"/>
    <x v="41"/>
    <n v="74209"/>
    <s v="22-09-2022"/>
    <n v="14842"/>
    <d v="2022-11-11T00:00:00"/>
    <x v="1"/>
    <m/>
    <m/>
    <m/>
  </r>
  <r>
    <s v="Faroutsolutions"/>
    <s v="Not a Customer"/>
    <s v="No growth Potential"/>
    <s v="Dorai Kumar"/>
    <x v="11"/>
    <x v="259"/>
    <n v="107240"/>
    <d v="2022-03-01T00:00:00"/>
    <n v="0"/>
    <d v="2022-02-02T00:00:00"/>
    <x v="0"/>
    <m/>
    <m/>
    <m/>
  </r>
  <r>
    <s v="Exoe"/>
    <s v="Not a Customer"/>
    <s v="No growth Potential"/>
    <s v="Dorai Kumar"/>
    <x v="3"/>
    <x v="9"/>
    <n v="353393"/>
    <s v="23-09-2022"/>
    <n v="0"/>
    <d v="2022-02-11T00:00:00"/>
    <x v="0"/>
    <m/>
    <m/>
    <m/>
  </r>
  <r>
    <s v="Curie Institute"/>
    <s v="Not a Customer"/>
    <s v="No growth Potential"/>
    <s v="Dorai Kumar"/>
    <x v="3"/>
    <x v="9"/>
    <n v="199496"/>
    <s v="13-10-2022"/>
    <n v="0"/>
    <d v="2022-02-11T00:00:00"/>
    <x v="0"/>
    <m/>
    <m/>
    <m/>
  </r>
  <r>
    <s v="Kiabi SAS"/>
    <s v="Not a Customer"/>
    <s v="No growth Potential"/>
    <s v="Dorai Kumar"/>
    <x v="3"/>
    <x v="260"/>
    <n v="117823"/>
    <s v="31-01-2022"/>
    <n v="0"/>
    <d v="2022-02-03T00:00:00"/>
    <x v="0"/>
    <m/>
    <m/>
    <m/>
  </r>
  <r>
    <s v="Steelcase France"/>
    <s v="Not a Customer"/>
    <s v="No growth Potential"/>
    <s v="Dorai Kumar"/>
    <x v="3"/>
    <x v="41"/>
    <n v="101469"/>
    <s v="23-04-2022"/>
    <n v="0"/>
    <d v="2022-02-07T00:00:00"/>
    <x v="0"/>
    <m/>
    <m/>
    <m/>
  </r>
  <r>
    <s v="AIRBUS HELICOPTERS SAS"/>
    <s v="Active Customer"/>
    <s v="No growth Potential"/>
    <s v="Dorai Kumar"/>
    <x v="3"/>
    <x v="261"/>
    <n v="355320"/>
    <s v="21-10-2022"/>
    <n v="177660"/>
    <s v="20-11-2022"/>
    <x v="1"/>
    <m/>
    <m/>
    <m/>
  </r>
  <r>
    <s v="DIAC RCI BANQUE"/>
    <s v="Not a Customer"/>
    <s v="No growth Potential"/>
    <s v="Dorai Kumar"/>
    <x v="3"/>
    <x v="262"/>
    <n v="131690"/>
    <s v="13-09-2022"/>
    <n v="0"/>
    <d v="2022-02-11T00:00:00"/>
    <x v="0"/>
    <m/>
    <m/>
    <m/>
  </r>
  <r>
    <s v="Centre Hospitalier de Bretagne Sud"/>
    <s v="Not a Customer"/>
    <s v="No growth Potential"/>
    <s v="Dorai Kumar"/>
    <x v="3"/>
    <x v="9"/>
    <n v="118547"/>
    <s v="14-12-2022"/>
    <n v="0"/>
    <d v="2023-02-02T00:00:00"/>
    <x v="2"/>
    <m/>
    <m/>
    <m/>
  </r>
  <r>
    <s v="Cryostar"/>
    <s v="Not a Customer"/>
    <s v="No growth Potential"/>
    <s v="Dorai Kumar"/>
    <x v="3"/>
    <x v="9"/>
    <n v="492398"/>
    <s v="23-05-2022"/>
    <n v="0"/>
    <d v="2022-02-07T00:00:00"/>
    <x v="0"/>
    <m/>
    <m/>
    <m/>
  </r>
  <r>
    <s v="Decathlon Pro"/>
    <s v="Not a Customer"/>
    <s v="No growth Potential"/>
    <s v="Dorai Kumar"/>
    <x v="3"/>
    <x v="263"/>
    <n v="118831"/>
    <s v="22-01-2022"/>
    <n v="0"/>
    <d v="2022-02-04T00:00:00"/>
    <x v="0"/>
    <m/>
    <m/>
    <m/>
  </r>
  <r>
    <s v="TALAN"/>
    <s v="Not a Customer"/>
    <s v="No growth Potential"/>
    <s v="Dorai Kumar"/>
    <x v="3"/>
    <x v="41"/>
    <n v="146675"/>
    <s v="13-09-2022"/>
    <n v="0"/>
    <d v="2022-02-11T00:00:00"/>
    <x v="0"/>
    <m/>
    <m/>
    <m/>
  </r>
  <r>
    <s v="Credifil"/>
    <s v="Not a Customer"/>
    <s v="No growth Potential"/>
    <s v="Dorai Kumar"/>
    <x v="3"/>
    <x v="9"/>
    <n v="77044"/>
    <s v="23-10-2022"/>
    <n v="0"/>
    <d v="2022-02-11T00:00:00"/>
    <x v="0"/>
    <m/>
    <m/>
    <m/>
  </r>
  <r>
    <s v="Ordre de Malte France"/>
    <s v="Not a Customer"/>
    <s v="No growth Potential"/>
    <s v="Dorai Kumar"/>
    <x v="3"/>
    <x v="9"/>
    <n v="80585"/>
    <s v="13-09-2022"/>
    <n v="0"/>
    <d v="2022-02-11T00:00:00"/>
    <x v="0"/>
    <m/>
    <m/>
    <m/>
  </r>
  <r>
    <s v="Partedis Chauffage Sanitaire"/>
    <s v="Not a Customer"/>
    <s v="No growth Potential"/>
    <s v="Dorai Kumar"/>
    <x v="3"/>
    <x v="9"/>
    <n v="115643"/>
    <d v="2022-03-01T00:00:00"/>
    <n v="0"/>
    <d v="2022-02-02T00:00:00"/>
    <x v="0"/>
    <m/>
    <m/>
    <m/>
  </r>
  <r>
    <s v="Viaccess-Orca"/>
    <s v="Not a Customer"/>
    <s v="No growth Potential"/>
    <s v="Dorai Kumar"/>
    <x v="3"/>
    <x v="41"/>
    <n v="99358"/>
    <d v="2022-01-01T00:00:00"/>
    <n v="0"/>
    <d v="2022-02-03T00:00:00"/>
    <x v="0"/>
    <m/>
    <m/>
    <m/>
  </r>
  <r>
    <s v="Oetker Collection"/>
    <s v="Not a Customer"/>
    <s v="No growth Potential"/>
    <s v="Dorai Kumar"/>
    <x v="3"/>
    <x v="9"/>
    <n v="52302"/>
    <s v="23-09-2022"/>
    <n v="0"/>
    <d v="2022-02-11T00:00:00"/>
    <x v="0"/>
    <m/>
    <m/>
    <m/>
  </r>
  <r>
    <s v="USM U. Schärer Fils SA France"/>
    <s v="Not a Customer"/>
    <s v="No growth Potential"/>
    <s v="Dorai Kumar"/>
    <x v="3"/>
    <x v="41"/>
    <n v="126160"/>
    <d v="2022-12-02T00:00:00"/>
    <n v="0"/>
    <d v="2022-04-03T00:00:00"/>
    <x v="4"/>
    <m/>
    <m/>
    <m/>
  </r>
  <r>
    <s v="Tokheim"/>
    <s v="Not a Customer"/>
    <s v="No growth Potential"/>
    <s v="Dorai Kumar"/>
    <x v="3"/>
    <x v="9"/>
    <n v="408591"/>
    <s v="24-08-2022"/>
    <n v="0"/>
    <d v="2022-02-11T00:00:00"/>
    <x v="0"/>
    <m/>
    <m/>
    <m/>
  </r>
  <r>
    <s v="My Coach"/>
    <s v="Not a Customer"/>
    <s v="No growth Potential"/>
    <s v="Dorai Kumar"/>
    <x v="3"/>
    <x v="264"/>
    <n v="109569"/>
    <s v="23-05-2022"/>
    <n v="0"/>
    <d v="2022-02-06T00:00:00"/>
    <x v="0"/>
    <m/>
    <m/>
    <m/>
  </r>
  <r>
    <s v="Groupe Vivalto Sant?"/>
    <s v="Not a Customer"/>
    <s v="No growth Potential"/>
    <s v="Dorai Kumar"/>
    <x v="3"/>
    <x v="9"/>
    <n v="157836"/>
    <s v="23-10-2022"/>
    <n v="0"/>
    <d v="2022-02-11T00:00:00"/>
    <x v="0"/>
    <m/>
    <m/>
    <m/>
  </r>
  <r>
    <s v="Advanced Accelerator Applications"/>
    <s v="Not a Customer"/>
    <s v="No growth Potential"/>
    <s v="Dorai Kumar"/>
    <x v="3"/>
    <x v="9"/>
    <m/>
    <d v="2022-01-02T00:00:00"/>
    <n v="0"/>
    <d v="2022-02-04T00:00:00"/>
    <x v="0"/>
    <m/>
    <m/>
    <m/>
  </r>
  <r>
    <s v="Securitas Direct France"/>
    <s v="Active Customer"/>
    <s v="Medium Growth"/>
    <s v="Dorai Kumar"/>
    <x v="3"/>
    <x v="265"/>
    <n v="141208"/>
    <d v="2022-01-07T00:00:00"/>
    <n v="23535"/>
    <s v="20-08-2022"/>
    <x v="3"/>
    <m/>
    <m/>
    <m/>
  </r>
  <r>
    <s v="ORPEA"/>
    <s v="Not a Customer"/>
    <s v="No growth Potential"/>
    <s v="Dorai Kumar"/>
    <x v="3"/>
    <x v="9"/>
    <n v="43871"/>
    <d v="2022-03-09T00:00:00"/>
    <n v="0"/>
    <d v="2022-02-11T00:00:00"/>
    <x v="0"/>
    <m/>
    <m/>
    <m/>
  </r>
  <r>
    <s v="Neo Center Est."/>
    <s v="Not a Customer"/>
    <s v="No growth Potential"/>
    <s v="Dorai Kumar"/>
    <x v="3"/>
    <x v="266"/>
    <n v="89964"/>
    <s v="13-10-2022"/>
    <n v="0"/>
    <d v="2022-02-11T00:00:00"/>
    <x v="0"/>
    <m/>
    <m/>
    <m/>
  </r>
  <r>
    <s v="Johnson Screens"/>
    <s v="Not a Customer"/>
    <s v="No growth Potential"/>
    <s v="Dorai Kumar"/>
    <x v="3"/>
    <x v="9"/>
    <n v="53823"/>
    <s v="23-10-2022"/>
    <n v="0"/>
    <d v="2022-02-11T00:00:00"/>
    <x v="0"/>
    <m/>
    <m/>
    <m/>
  </r>
  <r>
    <s v="Guerbet"/>
    <s v="Not a Customer"/>
    <s v="No growth Potential"/>
    <s v="Dorai Kumar"/>
    <x v="3"/>
    <x v="252"/>
    <n v="106692"/>
    <s v="23-10-2022"/>
    <n v="0"/>
    <d v="2022-02-11T00:00:00"/>
    <x v="0"/>
    <m/>
    <m/>
    <m/>
  </r>
  <r>
    <s v="Vatonce"/>
    <s v="Not a Customer"/>
    <s v="No growth Potential"/>
    <s v="Dorai Kumar"/>
    <x v="3"/>
    <x v="9"/>
    <n v="93335"/>
    <s v="24-11-2021"/>
    <n v="0"/>
    <d v="2022-02-02T00:00:00"/>
    <x v="0"/>
    <m/>
    <m/>
    <m/>
  </r>
  <r>
    <s v="DAF Trucks NV France"/>
    <s v="Not a Customer"/>
    <s v="No growth Potential"/>
    <s v="Dorai Kumar"/>
    <x v="3"/>
    <x v="267"/>
    <n v="127546"/>
    <s v="22-04-2023"/>
    <n v="0"/>
    <d v="2023-02-05T00:00:00"/>
    <x v="2"/>
    <m/>
    <m/>
    <m/>
  </r>
  <r>
    <s v="Horoquartz"/>
    <s v="Not a Customer"/>
    <s v="No growth Potential"/>
    <s v="Dorai Kumar"/>
    <x v="3"/>
    <x v="41"/>
    <n v="110101"/>
    <d v="2022-02-06T00:00:00"/>
    <n v="0"/>
    <d v="2022-02-07T00:00:00"/>
    <x v="0"/>
    <m/>
    <m/>
    <m/>
  </r>
  <r>
    <s v="Tikehau Capital"/>
    <s v="Not a Customer"/>
    <s v="No growth Potential"/>
    <s v="Dorai Kumar"/>
    <x v="3"/>
    <x v="41"/>
    <n v="89776"/>
    <s v="23-05-2022"/>
    <n v="0"/>
    <d v="2022-02-06T00:00:00"/>
    <x v="0"/>
    <m/>
    <m/>
    <m/>
  </r>
  <r>
    <s v="AIRBUS SAS"/>
    <s v="Active Customer"/>
    <s v="Medium Growth"/>
    <s v="Dorai Kumar"/>
    <x v="3"/>
    <x v="268"/>
    <n v="352914"/>
    <s v="28-09-2022"/>
    <n v="176457"/>
    <s v="17-11-2022"/>
    <x v="1"/>
    <m/>
    <m/>
    <m/>
  </r>
  <r>
    <s v="FEDERAL EXPRESS FEDE"/>
    <s v="Not a Customer"/>
    <s v="No growth Potential"/>
    <s v="Dorai Kumar"/>
    <x v="3"/>
    <x v="269"/>
    <n v="224151"/>
    <s v="13-10-2022"/>
    <n v="0"/>
    <d v="2022-02-11T00:00:00"/>
    <x v="0"/>
    <m/>
    <m/>
    <m/>
  </r>
  <r>
    <s v="Petzl"/>
    <s v="Not a Customer"/>
    <s v="No growth Potential"/>
    <s v="Dorai Kumar"/>
    <x v="3"/>
    <x v="9"/>
    <n v="132647"/>
    <s v="23-10-2022"/>
    <n v="0"/>
    <d v="2022-02-11T00:00:00"/>
    <x v="0"/>
    <m/>
    <m/>
    <m/>
  </r>
  <r>
    <s v="CellProthera"/>
    <s v="Not a Customer"/>
    <s v="No growth Potential"/>
    <s v="Dorai Kumar"/>
    <x v="3"/>
    <x v="270"/>
    <m/>
    <d v="2022-03-10T00:00:00"/>
    <n v="0"/>
    <d v="2022-02-12T00:00:00"/>
    <x v="0"/>
    <m/>
    <m/>
    <m/>
  </r>
  <r>
    <s v="OLLY GAN"/>
    <s v="Not a Customer"/>
    <s v="No growth Potential"/>
    <s v="Dorai Kumar"/>
    <x v="3"/>
    <x v="271"/>
    <n v="157181"/>
    <d v="2022-03-09T00:00:00"/>
    <n v="0"/>
    <d v="2022-02-11T00:00:00"/>
    <x v="0"/>
    <m/>
    <m/>
    <m/>
  </r>
  <r>
    <s v="Comptoir d Exportation de France"/>
    <s v="Not a Customer"/>
    <s v="No growth Potential"/>
    <s v="Dorai Kumar"/>
    <x v="3"/>
    <x v="272"/>
    <n v="181162"/>
    <s v="13-05-2023"/>
    <n v="0"/>
    <d v="2023-02-06T00:00:00"/>
    <x v="2"/>
    <m/>
    <m/>
    <m/>
  </r>
  <r>
    <s v="Groupe Pitney Bowes"/>
    <s v="Not a Customer"/>
    <s v="No growth Potential"/>
    <s v="Dorai Kumar"/>
    <x v="3"/>
    <x v="9"/>
    <n v="161491"/>
    <s v="23-10-2022"/>
    <n v="0"/>
    <d v="2022-02-11T00:00:00"/>
    <x v="0"/>
    <m/>
    <m/>
    <m/>
  </r>
  <r>
    <s v="Gunvor International"/>
    <s v="Active Customer"/>
    <s v="High Growth potential"/>
    <s v="Dorai Kumar"/>
    <x v="10"/>
    <x v="273"/>
    <n v="140656"/>
    <d v="2023-04-02T00:00:00"/>
    <n v="17582"/>
    <s v="14-02-2023"/>
    <x v="2"/>
    <m/>
    <m/>
    <m/>
  </r>
  <r>
    <s v="Thorn"/>
    <s v="Not a Customer"/>
    <s v="No growth Potential"/>
    <s v="Dorai Kumar"/>
    <x v="3"/>
    <x v="9"/>
    <n v="92058"/>
    <s v="13-10-2022"/>
    <n v="0"/>
    <d v="2022-02-11T00:00:00"/>
    <x v="0"/>
    <m/>
    <m/>
    <m/>
  </r>
  <r>
    <s v="AT Internet"/>
    <s v="Active Customer"/>
    <s v="Medium Growth"/>
    <s v="Dorai Kumar"/>
    <x v="3"/>
    <x v="274"/>
    <n v="217631"/>
    <s v="16-09-2022"/>
    <n v="54408"/>
    <d v="2022-05-11T00:00:00"/>
    <x v="4"/>
    <m/>
    <m/>
    <m/>
  </r>
  <r>
    <s v="Touyard Vehicules Industriels"/>
    <s v="Not a Customer"/>
    <s v="No growth Potential"/>
    <s v="Dorai Kumar"/>
    <x v="3"/>
    <x v="9"/>
    <n v="190243"/>
    <d v="2022-03-03T00:00:00"/>
    <n v="0"/>
    <d v="2022-02-05T00:00:00"/>
    <x v="0"/>
    <m/>
    <m/>
    <m/>
  </r>
  <r>
    <s v="Millesoixantequatre"/>
    <s v="Not a Customer"/>
    <s v="No growth Potential"/>
    <s v="Dorai Kumar"/>
    <x v="3"/>
    <x v="9"/>
    <n v="46000"/>
    <s v="13-08-2022"/>
    <n v="0"/>
    <d v="2022-02-10T00:00:00"/>
    <x v="0"/>
    <m/>
    <m/>
    <m/>
  </r>
  <r>
    <s v="joada"/>
    <s v="Not a Customer"/>
    <s v="No growth Potential"/>
    <s v="Dorai Kumar"/>
    <x v="3"/>
    <x v="275"/>
    <n v="164850"/>
    <s v="22-12-2021"/>
    <n v="0"/>
    <d v="2022-02-03T00:00:00"/>
    <x v="0"/>
    <m/>
    <m/>
    <m/>
  </r>
  <r>
    <s v="ECOLE ELEC PROD METHODES INDUSTRIELLES"/>
    <s v="Active Customer"/>
    <s v="High Growth potential"/>
    <s v="Dorai Kumar"/>
    <x v="3"/>
    <x v="276"/>
    <n v="33488"/>
    <d v="2022-06-09T00:00:00"/>
    <n v="1288"/>
    <d v="2022-05-11T00:00:00"/>
    <x v="4"/>
    <m/>
    <m/>
    <m/>
  </r>
  <r>
    <s v="EMC Corporation"/>
    <s v="Not a Customer"/>
    <s v="No growth Potential"/>
    <s v="Dorai Kumar"/>
    <x v="3"/>
    <x v="9"/>
    <n v="52649"/>
    <s v="24-08-2022"/>
    <n v="0"/>
    <d v="2022-02-11T00:00:00"/>
    <x v="0"/>
    <m/>
    <m/>
    <m/>
  </r>
  <r>
    <s v="Centre Hospitalier Gérontologique"/>
    <s v="Not a Customer"/>
    <s v="No growth Potential"/>
    <s v="Dorai Kumar"/>
    <x v="3"/>
    <x v="277"/>
    <n v="128469"/>
    <s v="24-12-2022"/>
    <n v="0"/>
    <d v="2023-02-02T00:00:00"/>
    <x v="2"/>
    <m/>
    <m/>
    <m/>
  </r>
  <r>
    <s v="Wilo SE France"/>
    <s v="Not a Customer"/>
    <s v="No growth Potential"/>
    <s v="Dorai Kumar"/>
    <x v="3"/>
    <x v="9"/>
    <n v="110361"/>
    <s v="23-09-2022"/>
    <n v="0"/>
    <d v="2022-02-11T00:00:00"/>
    <x v="0"/>
    <m/>
    <m/>
    <m/>
  </r>
  <r>
    <s v="General Electric France"/>
    <s v="Not a Customer"/>
    <s v="No growth Potential"/>
    <s v="Dorai Kumar"/>
    <x v="3"/>
    <x v="9"/>
    <n v="74403"/>
    <d v="2022-03-04T00:00:00"/>
    <n v="0"/>
    <d v="2022-02-06T00:00:00"/>
    <x v="0"/>
    <m/>
    <m/>
    <m/>
  </r>
  <r>
    <s v="Humancraft"/>
    <s v="Not a Customer"/>
    <s v="No growth Potential"/>
    <s v="Dorai Kumar"/>
    <x v="3"/>
    <x v="41"/>
    <n v="152450"/>
    <s v="21-02-2022"/>
    <n v="0"/>
    <d v="2022-02-04T00:00:00"/>
    <x v="0"/>
    <m/>
    <m/>
    <m/>
  </r>
  <r>
    <s v="Itelios"/>
    <s v="Not a Customer"/>
    <s v="No growth Potential"/>
    <s v="Dorai Kumar"/>
    <x v="3"/>
    <x v="9"/>
    <n v="265033"/>
    <d v="2022-03-09T00:00:00"/>
    <n v="0"/>
    <d v="2022-02-11T00:00:00"/>
    <x v="0"/>
    <m/>
    <m/>
    <m/>
  </r>
  <r>
    <s v="Centre Hospitalier Region de Saint-Omer"/>
    <s v="Not a Customer"/>
    <s v="No growth Potential"/>
    <s v="Dorai Kumar"/>
    <x v="3"/>
    <x v="278"/>
    <n v="383042"/>
    <d v="2022-04-12T00:00:00"/>
    <n v="0"/>
    <d v="2023-02-02T00:00:00"/>
    <x v="2"/>
    <m/>
    <m/>
    <m/>
  </r>
  <r>
    <s v="42 Consulting"/>
    <s v="Not a Customer"/>
    <s v="No growth Potential"/>
    <s v="Dorai Kumar"/>
    <x v="3"/>
    <x v="9"/>
    <n v="90326"/>
    <s v="24-08-2022"/>
    <n v="0"/>
    <d v="2022-02-11T00:00:00"/>
    <x v="0"/>
    <m/>
    <m/>
    <m/>
  </r>
  <r>
    <s v="INSTITUT ESTHEDERM FRANCE"/>
    <s v="Not a Customer"/>
    <s v="No growth Potential"/>
    <s v="Dorai Kumar"/>
    <x v="3"/>
    <x v="41"/>
    <n v="42344"/>
    <s v="13-09-2022"/>
    <n v="0"/>
    <d v="2022-02-11T00:00:00"/>
    <x v="0"/>
    <m/>
    <m/>
    <m/>
  </r>
  <r>
    <s v="Agence 71"/>
    <s v="Not a Customer"/>
    <s v="No growth Potential"/>
    <s v="Dorai Kumar"/>
    <x v="3"/>
    <x v="279"/>
    <n v="33531"/>
    <s v="13-10-2022"/>
    <n v="0"/>
    <d v="2022-02-11T00:00:00"/>
    <x v="0"/>
    <m/>
    <m/>
    <m/>
  </r>
  <r>
    <s v="Visteon Corporation France"/>
    <s v="Not a Customer"/>
    <s v="No growth Potential"/>
    <s v="Dorai Kumar"/>
    <x v="3"/>
    <x v="41"/>
    <n v="37800"/>
    <s v="21-01-2023"/>
    <n v="0"/>
    <d v="2023-02-03T00:00:00"/>
    <x v="2"/>
    <m/>
    <m/>
    <m/>
  </r>
  <r>
    <s v="Sergic"/>
    <s v="Not a Customer"/>
    <s v="No growth Potential"/>
    <s v="Dorai Kumar"/>
    <x v="3"/>
    <x v="9"/>
    <n v="42040"/>
    <d v="2022-03-09T00:00:00"/>
    <n v="0"/>
    <d v="2022-02-11T00:00:00"/>
    <x v="0"/>
    <m/>
    <m/>
    <m/>
  </r>
  <r>
    <s v="Pierre Fabre SA"/>
    <s v="Active Customer"/>
    <s v="Medium Growth"/>
    <s v="Dorai Kumar"/>
    <x v="3"/>
    <x v="280"/>
    <n v="100026"/>
    <s v="30-06-2022"/>
    <n v="50013"/>
    <d v="2022-08-09T00:00:00"/>
    <x v="3"/>
    <m/>
    <m/>
    <m/>
  </r>
  <r>
    <s v="Valmont France SAS"/>
    <s v="Not a Customer"/>
    <s v="No growth Potential"/>
    <s v="Dorai Kumar"/>
    <x v="3"/>
    <x v="281"/>
    <n v="80596"/>
    <d v="2022-03-01T00:00:00"/>
    <n v="0"/>
    <d v="2022-02-02T00:00:00"/>
    <x v="0"/>
    <m/>
    <m/>
    <m/>
  </r>
  <r>
    <s v="Marymount International School Paris"/>
    <s v="Not a Customer"/>
    <s v="No growth Potential"/>
    <s v="Dorai Kumar"/>
    <x v="3"/>
    <x v="9"/>
    <n v="133415"/>
    <d v="2021-04-12T00:00:00"/>
    <n v="0"/>
    <d v="2022-02-02T00:00:00"/>
    <x v="0"/>
    <m/>
    <m/>
    <m/>
  </r>
  <r>
    <s v="UNDIZ"/>
    <s v="Not a Customer"/>
    <s v="No growth Potential"/>
    <s v="Dorai Kumar"/>
    <x v="3"/>
    <x v="9"/>
    <n v="166384"/>
    <s v="23-10-2022"/>
    <n v="0"/>
    <d v="2022-02-11T00:00:00"/>
    <x v="0"/>
    <m/>
    <m/>
    <m/>
  </r>
  <r>
    <s v="GROUPE SNEF"/>
    <s v="Not a Customer"/>
    <s v="No growth Potential"/>
    <s v="Dorai Kumar"/>
    <x v="3"/>
    <x v="282"/>
    <n v="155783"/>
    <d v="2022-03-09T00:00:00"/>
    <n v="0"/>
    <d v="2022-02-11T00:00:00"/>
    <x v="0"/>
    <m/>
    <m/>
    <m/>
  </r>
  <r>
    <s v="Albinet"/>
    <s v="Not a Customer"/>
    <s v="No growth Potential"/>
    <s v="Dorai Kumar"/>
    <x v="3"/>
    <x v="9"/>
    <n v="75936"/>
    <d v="2022-03-10T00:00:00"/>
    <n v="0"/>
    <d v="2022-02-11T00:00:00"/>
    <x v="0"/>
    <m/>
    <m/>
    <m/>
  </r>
  <r>
    <s v="CE RATP - COMITÉ D'ENTREPRISE RATP"/>
    <s v="Not a Customer"/>
    <s v="No growth Potential"/>
    <s v="Dorai Kumar"/>
    <x v="3"/>
    <x v="283"/>
    <n v="100035"/>
    <d v="2022-03-09T00:00:00"/>
    <n v="0"/>
    <d v="2022-02-11T00:00:00"/>
    <x v="0"/>
    <m/>
    <m/>
    <m/>
  </r>
  <r>
    <s v="Ideal Standard"/>
    <s v="Not a Customer"/>
    <s v="No growth Potential"/>
    <s v="Dorai Kumar"/>
    <x v="3"/>
    <x v="9"/>
    <n v="96217"/>
    <s v="13-03-2022"/>
    <n v="0"/>
    <d v="2022-02-04T00:00:00"/>
    <x v="0"/>
    <m/>
    <m/>
    <m/>
  </r>
  <r>
    <s v="iXBlue SAS"/>
    <s v="Not a Customer"/>
    <s v="No growth Potential"/>
    <s v="Dorai Kumar"/>
    <x v="3"/>
    <x v="284"/>
    <n v="121682"/>
    <s v="23-09-2022"/>
    <n v="0"/>
    <d v="2022-02-11T00:00:00"/>
    <x v="0"/>
    <m/>
    <m/>
    <m/>
  </r>
  <r>
    <s v="VMcom"/>
    <s v="Not a Customer"/>
    <s v="No growth Potential"/>
    <s v="Dorai Kumar"/>
    <x v="3"/>
    <x v="9"/>
    <n v="45788"/>
    <s v="24-08-2022"/>
    <n v="0"/>
    <d v="2022-02-11T00:00:00"/>
    <x v="0"/>
    <m/>
    <m/>
    <m/>
  </r>
  <r>
    <s v="MaxiCoffee"/>
    <s v="Not a Customer"/>
    <s v="No growth Potential"/>
    <s v="Dorai Kumar"/>
    <x v="3"/>
    <x v="9"/>
    <n v="95495"/>
    <s v="23-01-2022"/>
    <n v="0"/>
    <d v="2022-02-02T00:00:00"/>
    <x v="0"/>
    <m/>
    <m/>
    <m/>
  </r>
  <r>
    <s v="SPEEDY France SAS"/>
    <s v="Not a Customer"/>
    <s v="No growth Potential"/>
    <s v="Dorai Kumar"/>
    <x v="3"/>
    <x v="285"/>
    <n v="916552"/>
    <s v="24-07-2022"/>
    <n v="0"/>
    <d v="2022-02-10T00:00:00"/>
    <x v="0"/>
    <m/>
    <m/>
    <m/>
  </r>
  <r>
    <s v="Data Dog`"/>
    <s v="Not a Customer"/>
    <s v="No growth Potential"/>
    <s v="Dorai Kumar"/>
    <x v="3"/>
    <x v="41"/>
    <n v="108248"/>
    <d v="2022-03-01T00:00:00"/>
    <n v="0"/>
    <d v="2022-02-02T00:00:00"/>
    <x v="0"/>
    <m/>
    <m/>
    <m/>
  </r>
  <r>
    <s v="Publidée"/>
    <s v="Not a Customer"/>
    <s v="No growth Potential"/>
    <s v="Dorai Kumar"/>
    <x v="3"/>
    <x v="9"/>
    <m/>
    <s v="23-10-2022"/>
    <n v="0"/>
    <d v="2022-02-11T00:00:00"/>
    <x v="0"/>
    <m/>
    <m/>
    <m/>
  </r>
  <r>
    <s v="Sarbacane"/>
    <s v="Not a Customer"/>
    <s v="No growth Potential"/>
    <s v="Dorai Kumar"/>
    <x v="3"/>
    <x v="9"/>
    <n v="106742"/>
    <d v="2021-04-12T00:00:00"/>
    <n v="0"/>
    <d v="2022-02-02T00:00:00"/>
    <x v="0"/>
    <m/>
    <m/>
    <m/>
  </r>
  <r>
    <s v="Caly Vape"/>
    <s v="Not a Customer"/>
    <s v="No growth Potential"/>
    <s v="Dorai Kumar"/>
    <x v="3"/>
    <x v="286"/>
    <n v="85439"/>
    <s v="24-11-2021"/>
    <n v="0"/>
    <d v="2022-02-02T00:00:00"/>
    <x v="0"/>
    <m/>
    <m/>
    <m/>
  </r>
  <r>
    <s v="AHNAC Group"/>
    <s v="Not a Customer"/>
    <s v="No growth Potential"/>
    <s v="Dorai Kumar"/>
    <x v="3"/>
    <x v="9"/>
    <n v="136973"/>
    <s v="23-10-2022"/>
    <n v="0"/>
    <d v="2022-02-11T00:00:00"/>
    <x v="0"/>
    <m/>
    <m/>
    <m/>
  </r>
  <r>
    <s v="ividence"/>
    <s v="Not a Customer"/>
    <s v="No growth Potential"/>
    <s v="Dorai Kumar"/>
    <x v="3"/>
    <x v="41"/>
    <n v="122603"/>
    <s v="13-09-2022"/>
    <n v="0"/>
    <d v="2022-02-11T00:00:00"/>
    <x v="0"/>
    <m/>
    <m/>
    <m/>
  </r>
  <r>
    <s v="Markem-Imaje SAS"/>
    <s v="Not a Customer"/>
    <s v="No growth Potential"/>
    <s v="Dorai Kumar"/>
    <x v="3"/>
    <x v="287"/>
    <n v="261417"/>
    <s v="14-12-2021"/>
    <n v="0"/>
    <d v="2022-02-02T00:00:00"/>
    <x v="0"/>
    <m/>
    <m/>
    <m/>
  </r>
  <r>
    <s v="Malt"/>
    <s v="Not a Customer"/>
    <s v="No growth Potential"/>
    <s v="Dorai Kumar"/>
    <x v="3"/>
    <x v="288"/>
    <m/>
    <s v="23-01-2022"/>
    <n v="0"/>
    <d v="2022-02-02T00:00:00"/>
    <x v="0"/>
    <m/>
    <m/>
    <m/>
  </r>
  <r>
    <s v="Colt"/>
    <s v="Not a Customer"/>
    <s v="No growth Potential"/>
    <s v="Dorai Kumar"/>
    <x v="3"/>
    <x v="9"/>
    <n v="86456"/>
    <s v="23-10-2022"/>
    <n v="0"/>
    <d v="2022-02-11T00:00:00"/>
    <x v="0"/>
    <m/>
    <m/>
    <m/>
  </r>
  <r>
    <s v="INSERM"/>
    <s v="Not a Customer"/>
    <s v="No growth Potential"/>
    <s v="Dorai Kumar"/>
    <x v="3"/>
    <x v="41"/>
    <n v="125778"/>
    <s v="23-09-2022"/>
    <n v="0"/>
    <d v="2022-02-11T00:00:00"/>
    <x v="0"/>
    <m/>
    <m/>
    <m/>
  </r>
  <r>
    <s v="Legoupil Industrie"/>
    <s v="Not a Customer"/>
    <s v="No growth Potential"/>
    <s v="Dorai Kumar"/>
    <x v="3"/>
    <x v="9"/>
    <m/>
    <d v="2022-03-09T00:00:00"/>
    <n v="0"/>
    <d v="2022-02-11T00:00:00"/>
    <x v="0"/>
    <m/>
    <m/>
    <m/>
  </r>
  <r>
    <s v="Arc Holdings"/>
    <s v="Not a Customer"/>
    <s v="No growth Potential"/>
    <s v="Dorai Kumar"/>
    <x v="3"/>
    <x v="289"/>
    <n v="40191"/>
    <d v="2022-03-09T00:00:00"/>
    <n v="0"/>
    <d v="2022-02-11T00:00:00"/>
    <x v="0"/>
    <m/>
    <m/>
    <m/>
  </r>
  <r>
    <s v="Mutex SA"/>
    <s v="Not a Customer"/>
    <s v="No growth Potential"/>
    <s v="Dorai Kumar"/>
    <x v="3"/>
    <x v="290"/>
    <n v="143573"/>
    <s v="24-08-2022"/>
    <n v="0"/>
    <d v="2022-02-11T00:00:00"/>
    <x v="0"/>
    <m/>
    <m/>
    <m/>
  </r>
  <r>
    <s v="OVR Performances"/>
    <s v="Not a Customer"/>
    <s v="No growth Potential"/>
    <s v="Dorai Kumar"/>
    <x v="3"/>
    <x v="9"/>
    <n v="31875"/>
    <d v="2022-02-11T00:00:00"/>
    <n v="0"/>
    <d v="2022-02-12T00:00:00"/>
    <x v="0"/>
    <m/>
    <m/>
    <m/>
  </r>
  <r>
    <s v="Ingeliance"/>
    <s v="Not a Customer"/>
    <s v="No growth Potential"/>
    <s v="Dorai Kumar"/>
    <x v="3"/>
    <x v="274"/>
    <n v="139350"/>
    <s v="23-05-2022"/>
    <n v="0"/>
    <d v="2022-02-07T00:00:00"/>
    <x v="0"/>
    <m/>
    <m/>
    <m/>
  </r>
  <r>
    <s v="Approsine"/>
    <s v="Not a Customer"/>
    <s v="No growth Potential"/>
    <s v="Dorai Kumar"/>
    <x v="3"/>
    <x v="270"/>
    <m/>
    <s v="24-08-2022"/>
    <n v="0"/>
    <d v="2022-02-11T00:00:00"/>
    <x v="0"/>
    <m/>
    <m/>
    <m/>
  </r>
  <r>
    <s v="Utocat"/>
    <s v="Not a Customer"/>
    <s v="No growth Potential"/>
    <s v="Dorai Kumar"/>
    <x v="3"/>
    <x v="291"/>
    <n v="46921"/>
    <s v="22-04-2022"/>
    <n v="0"/>
    <d v="2022-02-05T00:00:00"/>
    <x v="0"/>
    <m/>
    <m/>
    <m/>
  </r>
  <r>
    <s v="SumiRiko Industry France S.A.S."/>
    <s v="Not a Customer"/>
    <s v="No growth Potential"/>
    <s v="Dorai Kumar"/>
    <x v="3"/>
    <x v="292"/>
    <n v="56360"/>
    <s v="23-08-2021"/>
    <n v="0"/>
    <d v="2021-02-10T00:00:00"/>
    <x v="5"/>
    <m/>
    <m/>
    <m/>
  </r>
  <r>
    <s v="Salesforce"/>
    <s v="Not a Customer"/>
    <s v="No growth Potential"/>
    <s v="Dorai Kumar"/>
    <x v="3"/>
    <x v="9"/>
    <n v="93812"/>
    <s v="14-12-2021"/>
    <n v="0"/>
    <d v="2022-02-02T00:00:00"/>
    <x v="0"/>
    <m/>
    <m/>
    <m/>
  </r>
  <r>
    <s v="Objectif Tendance - SL Waypoint"/>
    <s v="Not a Customer"/>
    <s v="No growth Potential"/>
    <s v="Dorai Kumar"/>
    <x v="3"/>
    <x v="293"/>
    <n v="126203"/>
    <d v="2022-04-12T00:00:00"/>
    <n v="0"/>
    <d v="2023-02-02T00:00:00"/>
    <x v="2"/>
    <m/>
    <m/>
    <m/>
  </r>
  <r>
    <s v="Paul Hastings"/>
    <s v="Not a Customer"/>
    <s v="No growth Potential"/>
    <s v="Dorai Kumar"/>
    <x v="3"/>
    <x v="9"/>
    <n v="55106"/>
    <s v="13-01-2022"/>
    <n v="0"/>
    <d v="2022-02-02T00:00:00"/>
    <x v="0"/>
    <m/>
    <m/>
    <m/>
  </r>
  <r>
    <s v="MSC Mediterranean Shipping Company S.A."/>
    <s v="Active Customer"/>
    <s v="Medium Growth"/>
    <s v="Dorai Kumar"/>
    <x v="10"/>
    <x v="273"/>
    <n v="111278"/>
    <d v="2022-04-12T00:00:00"/>
    <n v="13910"/>
    <s v="23-01-2023"/>
    <x v="2"/>
    <m/>
    <m/>
    <m/>
  </r>
  <r>
    <s v="Sames Kremlin"/>
    <s v="Not a Customer"/>
    <s v="No growth Potential"/>
    <s v="Dorai Kumar"/>
    <x v="3"/>
    <x v="9"/>
    <n v="138975"/>
    <d v="2021-04-12T00:00:00"/>
    <n v="0"/>
    <d v="2022-02-02T00:00:00"/>
    <x v="0"/>
    <m/>
    <m/>
    <m/>
  </r>
  <r>
    <s v="PROSERVIA (France)"/>
    <s v="Not a Customer"/>
    <s v="No growth Potential"/>
    <s v="Dorai Kumar"/>
    <x v="3"/>
    <x v="9"/>
    <n v="58743"/>
    <s v="24-12-2022"/>
    <n v="0"/>
    <d v="2023-02-02T00:00:00"/>
    <x v="2"/>
    <m/>
    <m/>
    <m/>
  </r>
  <r>
    <s v="AGENCE REGIONALE DE SANTE"/>
    <s v="Not a Customer"/>
    <s v="No growth Potential"/>
    <s v="Dorai Kumar"/>
    <x v="3"/>
    <x v="9"/>
    <n v="42241"/>
    <s v="23-09-2022"/>
    <n v="0"/>
    <d v="2022-02-11T00:00:00"/>
    <x v="0"/>
    <m/>
    <m/>
    <m/>
  </r>
  <r>
    <s v="AGCO SA"/>
    <s v="Not a Customer"/>
    <s v="No growth Potential"/>
    <s v="Dorai Kumar"/>
    <x v="3"/>
    <x v="9"/>
    <n v="63014"/>
    <s v="23-10-2022"/>
    <n v="0"/>
    <d v="2022-02-11T00:00:00"/>
    <x v="0"/>
    <m/>
    <m/>
    <m/>
  </r>
  <r>
    <s v="EasyTeam"/>
    <s v="Not a Customer"/>
    <s v="No growth Potential"/>
    <s v="Dorai Kumar"/>
    <x v="3"/>
    <x v="9"/>
    <n v="122611"/>
    <d v="2021-04-12T00:00:00"/>
    <n v="0"/>
    <d v="2022-02-02T00:00:00"/>
    <x v="0"/>
    <m/>
    <m/>
    <m/>
  </r>
  <r>
    <s v="Edicom Group"/>
    <s v="Not a Customer"/>
    <s v="No growth Potential"/>
    <s v="Dorai Kumar"/>
    <x v="3"/>
    <x v="9"/>
    <n v="42383"/>
    <s v="23-09-2022"/>
    <n v="0"/>
    <d v="2022-02-11T00:00:00"/>
    <x v="0"/>
    <m/>
    <m/>
    <m/>
  </r>
  <r>
    <s v="Saegus"/>
    <s v="Not a Customer"/>
    <s v="No growth Potential"/>
    <s v="Dorai Kumar"/>
    <x v="3"/>
    <x v="9"/>
    <n v="107217"/>
    <s v="14-12-2021"/>
    <n v="0"/>
    <d v="2022-02-02T00:00:00"/>
    <x v="0"/>
    <m/>
    <m/>
    <m/>
  </r>
  <r>
    <s v="Centre Hospitalier Intercommunal Elbeuf Louviers Va de Reuil"/>
    <s v="Not a Customer"/>
    <s v="No growth Potential"/>
    <s v="Dorai Kumar"/>
    <x v="3"/>
    <x v="294"/>
    <n v="149230"/>
    <s v="23-01-2023"/>
    <n v="0"/>
    <d v="2023-02-02T00:00:00"/>
    <x v="2"/>
    <m/>
    <m/>
    <m/>
  </r>
  <r>
    <s v="YouScribe SAS"/>
    <s v="Not a Customer"/>
    <s v="No growth Potential"/>
    <s v="Dorai Kumar"/>
    <x v="3"/>
    <x v="41"/>
    <n v="118896"/>
    <d v="2022-03-10T00:00:00"/>
    <n v="0"/>
    <d v="2022-02-11T00:00:00"/>
    <x v="0"/>
    <m/>
    <m/>
    <m/>
  </r>
  <r>
    <s v="Autobiz"/>
    <s v="Not a Customer"/>
    <s v="No growth Potential"/>
    <s v="Dorai Kumar"/>
    <x v="3"/>
    <x v="9"/>
    <n v="1149954"/>
    <s v="23-09-2022"/>
    <n v="0"/>
    <d v="2022-02-11T00:00:00"/>
    <x v="0"/>
    <m/>
    <m/>
    <m/>
  </r>
  <r>
    <s v="PNY"/>
    <s v="Not a Customer"/>
    <s v="No growth Potential"/>
    <s v="Dorai Kumar"/>
    <x v="3"/>
    <x v="9"/>
    <m/>
    <s v="13-09-2022"/>
    <n v="0"/>
    <d v="2022-02-11T00:00:00"/>
    <x v="0"/>
    <m/>
    <m/>
    <m/>
  </r>
  <r>
    <s v="Core Us"/>
    <s v="Not a Customer"/>
    <s v="No growth Potential"/>
    <s v="Dorai Kumar"/>
    <x v="3"/>
    <x v="9"/>
    <n v="118586"/>
    <s v="24-08-2022"/>
    <n v="0"/>
    <d v="2022-02-11T00:00:00"/>
    <x v="0"/>
    <m/>
    <m/>
    <m/>
  </r>
  <r>
    <s v="AsceNTIC (SASU)"/>
    <s v="Not a Customer"/>
    <s v="No growth Potential"/>
    <s v="Dorai Kumar"/>
    <x v="3"/>
    <x v="41"/>
    <n v="62323"/>
    <s v="24-08-2022"/>
    <n v="0"/>
    <d v="2022-02-11T00:00:00"/>
    <x v="0"/>
    <m/>
    <m/>
    <m/>
  </r>
  <r>
    <s v="LACROIX SA"/>
    <s v="Not a Customer"/>
    <s v="No growth Potential"/>
    <s v="Dorai Kumar"/>
    <x v="3"/>
    <x v="9"/>
    <n v="100560"/>
    <s v="23-09-2022"/>
    <n v="0"/>
    <d v="2022-02-11T00:00:00"/>
    <x v="0"/>
    <m/>
    <m/>
    <m/>
  </r>
  <r>
    <s v="Rosewood Luxury Hotels"/>
    <s v="Not a Customer"/>
    <s v="No growth Potential"/>
    <s v="Dorai Kumar"/>
    <x v="3"/>
    <x v="9"/>
    <n v="59869"/>
    <d v="2022-03-10T00:00:00"/>
    <n v="0"/>
    <d v="2022-02-11T00:00:00"/>
    <x v="0"/>
    <m/>
    <m/>
    <m/>
  </r>
  <r>
    <s v="Frais d'Ici"/>
    <s v="Not a Customer"/>
    <s v="No growth Potential"/>
    <s v="Dorai Kumar"/>
    <x v="3"/>
    <x v="9"/>
    <n v="126641"/>
    <d v="2022-10-02T00:00:00"/>
    <n v="0"/>
    <d v="2022-02-03T00:00:00"/>
    <x v="0"/>
    <m/>
    <m/>
    <m/>
  </r>
  <r>
    <s v="Groupe Logement Francais"/>
    <s v="Not a Customer"/>
    <s v="No growth Potential"/>
    <s v="Dorai Kumar"/>
    <x v="3"/>
    <x v="9"/>
    <n v="397007"/>
    <s v="22-06-2021"/>
    <n v="0"/>
    <d v="2021-01-08T00:00:00"/>
    <x v="5"/>
    <m/>
    <m/>
    <m/>
  </r>
  <r>
    <s v="Héliantis"/>
    <s v="Not a Customer"/>
    <s v="No growth Potential"/>
    <s v="Dorai Kumar"/>
    <x v="3"/>
    <x v="9"/>
    <n v="33493"/>
    <s v="13-03-2022"/>
    <n v="0"/>
    <d v="2022-02-05T00:00:00"/>
    <x v="0"/>
    <m/>
    <m/>
    <m/>
  </r>
  <r>
    <s v="Enedis"/>
    <s v="Not a Customer"/>
    <s v="No growth Potential"/>
    <s v="Dorai Kumar"/>
    <x v="3"/>
    <x v="9"/>
    <n v="153106"/>
    <s v="24-08-2022"/>
    <n v="0"/>
    <d v="2022-02-11T00:00:00"/>
    <x v="0"/>
    <m/>
    <m/>
    <m/>
  </r>
  <r>
    <s v="EPSA Groupe"/>
    <s v="Not a Customer"/>
    <s v="No growth Potential"/>
    <s v="Dorai Kumar"/>
    <x v="3"/>
    <x v="41"/>
    <n v="121681"/>
    <s v="13-09-2022"/>
    <n v="0"/>
    <d v="2022-02-11T00:00:00"/>
    <x v="0"/>
    <m/>
    <m/>
    <m/>
  </r>
  <r>
    <s v="Honeywell"/>
    <s v="Not a Customer"/>
    <s v="No growth Potential"/>
    <s v="Dorai Kumar"/>
    <x v="3"/>
    <x v="9"/>
    <n v="114987"/>
    <s v="23-10-2022"/>
    <n v="0"/>
    <d v="2022-02-11T00:00:00"/>
    <x v="0"/>
    <m/>
    <m/>
    <m/>
  </r>
  <r>
    <s v="JBL Consultants"/>
    <s v="Not a Customer"/>
    <s v="No growth Potential"/>
    <s v="Dorai Kumar"/>
    <x v="3"/>
    <x v="9"/>
    <n v="69935"/>
    <s v="23-09-2022"/>
    <n v="0"/>
    <d v="2022-02-12T00:00:00"/>
    <x v="0"/>
    <m/>
    <m/>
    <m/>
  </r>
  <r>
    <s v="SARL Passion Origami"/>
    <s v="Not a Customer"/>
    <s v="No growth Potential"/>
    <s v="Dorai Kumar"/>
    <x v="3"/>
    <x v="9"/>
    <n v="47398"/>
    <d v="2022-02-06T00:00:00"/>
    <n v="0"/>
    <d v="2022-02-07T00:00:00"/>
    <x v="0"/>
    <m/>
    <m/>
    <m/>
  </r>
  <r>
    <s v="Okta Inc. France"/>
    <s v="Not a Customer"/>
    <s v="No growth Potential"/>
    <s v="Dorai Kumar"/>
    <x v="3"/>
    <x v="9"/>
    <n v="42440"/>
    <d v="2022-03-03T00:00:00"/>
    <n v="0"/>
    <d v="2022-02-04T00:00:00"/>
    <x v="0"/>
    <m/>
    <m/>
    <m/>
  </r>
  <r>
    <s v="Pathé Evreux Cinema"/>
    <s v="Not a Customer"/>
    <s v="No growth Potential"/>
    <s v="Dorai Kumar"/>
    <x v="3"/>
    <x v="9"/>
    <n v="70043"/>
    <s v="24-12-2021"/>
    <n v="0"/>
    <d v="2022-02-02T00:00:00"/>
    <x v="0"/>
    <m/>
    <m/>
    <m/>
  </r>
  <r>
    <s v="CH BLOIS"/>
    <s v="Not a Customer"/>
    <s v="No growth Potential"/>
    <s v="Dorai Kumar"/>
    <x v="3"/>
    <x v="295"/>
    <n v="58231"/>
    <s v="13-09-2022"/>
    <n v="0"/>
    <d v="2022-02-11T00:00:00"/>
    <x v="0"/>
    <m/>
    <m/>
    <m/>
  </r>
  <r>
    <s v="Apave"/>
    <s v="Not a Customer"/>
    <s v="No growth Potential"/>
    <s v="Dorai Kumar"/>
    <x v="3"/>
    <x v="9"/>
    <n v="62401"/>
    <s v="20-02-2022"/>
    <n v="0"/>
    <d v="2022-02-03T00:00:00"/>
    <x v="0"/>
    <m/>
    <m/>
    <m/>
  </r>
  <r>
    <s v="To Do Today"/>
    <s v="Not a Customer"/>
    <s v="No growth Potential"/>
    <s v="Dorai Kumar"/>
    <x v="3"/>
    <x v="9"/>
    <n v="121681"/>
    <d v="2022-12-09T00:00:00"/>
    <n v="0"/>
    <d v="2022-02-10T00:00:00"/>
    <x v="0"/>
    <m/>
    <m/>
    <m/>
  </r>
  <r>
    <s v="Les Hôpitaux du Léman"/>
    <s v="Not a Customer"/>
    <s v="No growth Potential"/>
    <s v="Dorai Kumar"/>
    <x v="3"/>
    <x v="9"/>
    <n v="151638"/>
    <d v="2022-02-09T00:00:00"/>
    <n v="0"/>
    <d v="2022-02-10T00:00:00"/>
    <x v="0"/>
    <m/>
    <m/>
    <m/>
  </r>
  <r>
    <s v="Acep TryLive"/>
    <s v="Not a Customer"/>
    <s v="No growth Potential"/>
    <s v="Dorai Kumar"/>
    <x v="3"/>
    <x v="9"/>
    <n v="77627"/>
    <s v="24-08-2022"/>
    <n v="0"/>
    <d v="2022-02-11T00:00:00"/>
    <x v="0"/>
    <m/>
    <m/>
    <m/>
  </r>
  <r>
    <s v="PrestaShop"/>
    <s v="Not a Customer"/>
    <s v="No growth Potential"/>
    <s v="Dorai Kumar"/>
    <x v="3"/>
    <x v="9"/>
    <n v="60899"/>
    <d v="2022-03-05T00:00:00"/>
    <n v="0"/>
    <d v="2022-02-06T00:00:00"/>
    <x v="0"/>
    <m/>
    <m/>
    <m/>
  </r>
  <r>
    <s v="Niwanet"/>
    <s v="Not a Customer"/>
    <s v="No growth Potential"/>
    <s v="Dorai Kumar"/>
    <x v="3"/>
    <x v="9"/>
    <n v="118607"/>
    <s v="23-03-2022"/>
    <n v="0"/>
    <d v="2022-02-04T00:00:00"/>
    <x v="0"/>
    <m/>
    <m/>
    <m/>
  </r>
  <r>
    <s v="hybster"/>
    <s v="Not a Customer"/>
    <s v="No growth Potential"/>
    <s v="Dorai Kumar"/>
    <x v="3"/>
    <x v="296"/>
    <m/>
    <s v="23-10-2022"/>
    <n v="0"/>
    <d v="2022-02-11T00:00:00"/>
    <x v="0"/>
    <m/>
    <m/>
    <m/>
  </r>
  <r>
    <s v="Cadre de Vie"/>
    <s v="Not a Customer"/>
    <s v="No growth Potential"/>
    <s v="Dorai Kumar"/>
    <x v="3"/>
    <x v="9"/>
    <n v="123081"/>
    <d v="2022-03-01T00:00:00"/>
    <n v="0"/>
    <d v="2022-02-02T00:00:00"/>
    <x v="0"/>
    <m/>
    <m/>
    <m/>
  </r>
  <r>
    <s v="Neotion"/>
    <s v="Not a Customer"/>
    <s v="No growth Potential"/>
    <s v="Dorai Kumar"/>
    <x v="3"/>
    <x v="9"/>
    <n v="109978"/>
    <d v="2022-03-09T00:00:00"/>
    <n v="0"/>
    <d v="2022-02-11T00:00:00"/>
    <x v="0"/>
    <m/>
    <m/>
    <m/>
  </r>
  <r>
    <s v="APHP"/>
    <s v="Not a Customer"/>
    <s v="No growth Potential"/>
    <s v="Dorai Kumar"/>
    <x v="3"/>
    <x v="41"/>
    <n v="251690"/>
    <d v="2022-03-10T00:00:00"/>
    <n v="0"/>
    <d v="2022-02-11T00:00:00"/>
    <x v="0"/>
    <m/>
    <m/>
    <m/>
  </r>
  <r>
    <s v="CS"/>
    <s v="Not a Customer"/>
    <s v="No growth Potential"/>
    <s v="Dorai Kumar"/>
    <x v="3"/>
    <x v="9"/>
    <n v="104983"/>
    <s v="23-10-2022"/>
    <n v="0"/>
    <d v="2022-02-11T00:00:00"/>
    <x v="0"/>
    <m/>
    <m/>
    <m/>
  </r>
  <r>
    <s v="MUTUELLES DU SOLEIL"/>
    <s v="Not a Customer"/>
    <s v="No growth Potential"/>
    <s v="Dorai Kumar"/>
    <x v="3"/>
    <x v="246"/>
    <n v="62405"/>
    <s v="24-08-2022"/>
    <n v="0"/>
    <d v="2022-02-11T00:00:00"/>
    <x v="0"/>
    <m/>
    <m/>
    <m/>
  </r>
  <r>
    <s v="Hyatt"/>
    <s v="Not a Customer"/>
    <s v="No growth Potential"/>
    <s v="Dorai Kumar"/>
    <x v="3"/>
    <x v="9"/>
    <n v="133487"/>
    <s v="20-02-2022"/>
    <n v="0"/>
    <d v="2022-02-03T00:00:00"/>
    <x v="0"/>
    <m/>
    <m/>
    <m/>
  </r>
  <r>
    <s v="IFP Atlantique"/>
    <s v="Not a Customer"/>
    <s v="No growth Potential"/>
    <s v="Dorai Kumar"/>
    <x v="3"/>
    <x v="9"/>
    <m/>
    <d v="2022-03-07T00:00:00"/>
    <n v="0"/>
    <d v="2022-02-08T00:00:00"/>
    <x v="0"/>
    <m/>
    <m/>
    <m/>
  </r>
  <r>
    <s v="Groupe Agrica"/>
    <s v="Not a Customer"/>
    <s v="No growth Potential"/>
    <s v="Dorai Kumar"/>
    <x v="3"/>
    <x v="41"/>
    <n v="30752"/>
    <d v="2022-03-12T00:00:00"/>
    <n v="0"/>
    <d v="2023-02-01T00:00:00"/>
    <x v="2"/>
    <m/>
    <m/>
    <m/>
  </r>
  <r>
    <s v="Promostyl"/>
    <s v="Not a Customer"/>
    <s v="No growth Potential"/>
    <s v="Dorai Kumar"/>
    <x v="3"/>
    <x v="41"/>
    <n v="93731"/>
    <s v="23-09-2022"/>
    <n v="0"/>
    <d v="2022-02-11T00:00:00"/>
    <x v="0"/>
    <m/>
    <m/>
    <m/>
  </r>
  <r>
    <s v="Trdev"/>
    <s v="Not a Customer"/>
    <s v="No growth Potential"/>
    <s v="Dorai Kumar"/>
    <x v="3"/>
    <x v="9"/>
    <n v="80521"/>
    <d v="2022-03-09T00:00:00"/>
    <n v="0"/>
    <d v="2022-02-11T00:00:00"/>
    <x v="0"/>
    <m/>
    <m/>
    <m/>
  </r>
  <r>
    <s v="PredictSpring"/>
    <s v="Not a Customer"/>
    <s v="No growth Potential"/>
    <s v="Dorai Kumar"/>
    <x v="3"/>
    <x v="41"/>
    <n v="100554"/>
    <d v="2022-03-09T00:00:00"/>
    <n v="0"/>
    <d v="2022-02-11T00:00:00"/>
    <x v="0"/>
    <m/>
    <m/>
    <m/>
  </r>
  <r>
    <s v="Flight Safety International France"/>
    <s v="Not a Customer"/>
    <s v="No growth Potential"/>
    <s v="Dorai Kumar"/>
    <x v="3"/>
    <x v="9"/>
    <n v="42401"/>
    <s v="23-08-2022"/>
    <n v="0"/>
    <d v="2022-02-09T00:00:00"/>
    <x v="0"/>
    <m/>
    <m/>
    <m/>
  </r>
  <r>
    <s v="institut esthederm"/>
    <s v="Not a Customer"/>
    <s v="No growth Potential"/>
    <s v="Dorai Kumar"/>
    <x v="3"/>
    <x v="9"/>
    <n v="143582"/>
    <s v="23-10-2022"/>
    <n v="0"/>
    <d v="2022-02-11T00:00:00"/>
    <x v="0"/>
    <m/>
    <m/>
    <m/>
  </r>
  <r>
    <s v="Sound Test"/>
    <s v="Not a Customer"/>
    <s v="No growth Potential"/>
    <s v="Dorai Kumar"/>
    <x v="3"/>
    <x v="9"/>
    <n v="44091"/>
    <s v="24-08-2022"/>
    <n v="0"/>
    <d v="2022-02-11T00:00:00"/>
    <x v="0"/>
    <m/>
    <m/>
    <m/>
  </r>
  <r>
    <s v="Fédération des SCOP de la Communication"/>
    <s v="Not a Customer"/>
    <s v="No growth Potential"/>
    <s v="Dorai Kumar"/>
    <x v="3"/>
    <x v="9"/>
    <n v="130597"/>
    <s v="13-04-2022"/>
    <n v="0"/>
    <d v="2022-02-06T00:00:00"/>
    <x v="0"/>
    <m/>
    <m/>
    <m/>
  </r>
  <r>
    <s v="Socomec"/>
    <s v="Not a Customer"/>
    <s v="No growth Potential"/>
    <s v="Dorai Kumar"/>
    <x v="3"/>
    <x v="9"/>
    <n v="45782"/>
    <s v="23-09-2022"/>
    <n v="0"/>
    <d v="2022-02-11T00:00:00"/>
    <x v="0"/>
    <m/>
    <m/>
    <m/>
  </r>
  <r>
    <s v="DARVA"/>
    <s v="Not a Customer"/>
    <s v="No growth Potential"/>
    <s v="Dorai Kumar"/>
    <x v="3"/>
    <x v="297"/>
    <n v="80580"/>
    <s v="13-09-2022"/>
    <n v="0"/>
    <d v="2022-02-11T00:00:00"/>
    <x v="0"/>
    <m/>
    <m/>
    <m/>
  </r>
  <r>
    <s v="Volvo Trucks"/>
    <s v="Not a Customer"/>
    <s v="No growth Potential"/>
    <s v="Dorai Kumar"/>
    <x v="3"/>
    <x v="9"/>
    <n v="177894"/>
    <s v="13-09-2022"/>
    <n v="0"/>
    <d v="2022-02-11T00:00:00"/>
    <x v="0"/>
    <m/>
    <m/>
    <m/>
  </r>
  <r>
    <s v="VAT SYSTEMS"/>
    <s v="Not a Customer"/>
    <s v="No growth Potential"/>
    <s v="Dorai Kumar"/>
    <x v="3"/>
    <x v="9"/>
    <n v="98134"/>
    <s v="23-10-2022"/>
    <n v="0"/>
    <d v="2022-02-11T00:00:00"/>
    <x v="0"/>
    <m/>
    <m/>
    <m/>
  </r>
  <r>
    <s v="Service Départemental d'Incendie et de Secours de Maine-et-Loire"/>
    <s v="Not a Customer"/>
    <s v="No growth Potential"/>
    <s v="Dorai Kumar"/>
    <x v="3"/>
    <x v="9"/>
    <n v="121681"/>
    <d v="2022-02-11T00:00:00"/>
    <n v="0"/>
    <d v="2022-02-12T00:00:00"/>
    <x v="0"/>
    <m/>
    <m/>
    <m/>
  </r>
  <r>
    <s v="Stago"/>
    <s v="Not a Customer"/>
    <s v="No growth Potential"/>
    <s v="Dorai Kumar"/>
    <x v="3"/>
    <x v="298"/>
    <n v="110043"/>
    <s v="31-01-2022"/>
    <n v="0"/>
    <d v="2022-02-03T00:00:00"/>
    <x v="0"/>
    <m/>
    <m/>
    <m/>
  </r>
  <r>
    <s v="Sutter Mills"/>
    <s v="Not a Customer"/>
    <s v="No growth Potential"/>
    <s v="Dorai Kumar"/>
    <x v="3"/>
    <x v="9"/>
    <n v="101825"/>
    <s v="13-09-2022"/>
    <n v="0"/>
    <d v="2022-02-11T00:00:00"/>
    <x v="0"/>
    <m/>
    <m/>
    <m/>
  </r>
  <r>
    <s v="COVENTYA HOLDING SAS"/>
    <s v="Not a Customer"/>
    <s v="No growth Potential"/>
    <s v="Dorai Kumar"/>
    <x v="3"/>
    <x v="295"/>
    <n v="42394"/>
    <s v="23-10-2022"/>
    <n v="0"/>
    <d v="2022-02-11T00:00:00"/>
    <x v="0"/>
    <m/>
    <m/>
    <m/>
  </r>
  <r>
    <s v="Renov'smile"/>
    <s v="Not a Customer"/>
    <s v="No growth Potential"/>
    <s v="Dorai Kumar"/>
    <x v="3"/>
    <x v="9"/>
    <n v="117497"/>
    <s v="24-08-2022"/>
    <n v="0"/>
    <d v="2022-02-11T00:00:00"/>
    <x v="0"/>
    <m/>
    <m/>
    <m/>
  </r>
  <r>
    <s v="CESIN"/>
    <s v="Not a Customer"/>
    <s v="No growth Potential"/>
    <s v="Dorai Kumar"/>
    <x v="3"/>
    <x v="41"/>
    <n v="70043"/>
    <s v="13-10-2022"/>
    <n v="0"/>
    <d v="2022-02-11T00:00:00"/>
    <x v="0"/>
    <m/>
    <m/>
    <m/>
  </r>
  <r>
    <s v="PICTIME GROUPE"/>
    <s v="Not a Customer"/>
    <s v="No growth Potential"/>
    <s v="Dorai Kumar"/>
    <x v="3"/>
    <x v="299"/>
    <n v="95966"/>
    <d v="2022-03-09T00:00:00"/>
    <n v="0"/>
    <d v="2022-02-11T00:00:00"/>
    <x v="0"/>
    <m/>
    <m/>
    <m/>
  </r>
  <r>
    <s v="GIE IPECA GESTION"/>
    <s v="Active Customer"/>
    <s v="High Growth potential"/>
    <s v="Dorai Kumar"/>
    <x v="3"/>
    <x v="41"/>
    <n v="142861"/>
    <d v="2022-03-11T00:00:00"/>
    <n v="71431"/>
    <s v="23-11-2022"/>
    <x v="1"/>
    <m/>
    <m/>
    <m/>
  </r>
  <r>
    <s v="ADP GSI France SAS"/>
    <s v="Active Customer"/>
    <s v="Medium Growth"/>
    <s v="Dorai Kumar"/>
    <x v="3"/>
    <x v="300"/>
    <n v="42040"/>
    <d v="2022-03-11T00:00:00"/>
    <n v="6006"/>
    <s v="23-11-2022"/>
    <x v="1"/>
    <m/>
    <m/>
    <m/>
  </r>
  <r>
    <s v="A.S. Watson Group - Marionnaud"/>
    <s v="Not a Customer"/>
    <s v="No growth Potential"/>
    <s v="Dorai Kumar"/>
    <x v="3"/>
    <x v="41"/>
    <n v="100539"/>
    <s v="23-04-2022"/>
    <n v="0"/>
    <d v="2022-02-07T00:00:00"/>
    <x v="0"/>
    <m/>
    <m/>
    <m/>
  </r>
  <r>
    <s v="Volvo"/>
    <s v="Not a Customer"/>
    <s v="No growth Potential"/>
    <s v="Dorai Kumar"/>
    <x v="3"/>
    <x v="9"/>
    <n v="71123"/>
    <s v="13-10-2022"/>
    <n v="0"/>
    <d v="2022-02-11T00:00:00"/>
    <x v="0"/>
    <m/>
    <m/>
    <m/>
  </r>
  <r>
    <s v="Avios Group"/>
    <s v="Not a Customer"/>
    <s v="No growth Potential"/>
    <s v="Dorai Kumar"/>
    <x v="8"/>
    <x v="9"/>
    <n v="69913"/>
    <s v="13-09-2022"/>
    <n v="0"/>
    <d v="2022-02-11T00:00:00"/>
    <x v="0"/>
    <m/>
    <m/>
    <m/>
  </r>
  <r>
    <s v="IRT SystemX"/>
    <s v="Not a Customer"/>
    <s v="No growth Potential"/>
    <s v="Dorai Kumar"/>
    <x v="3"/>
    <x v="9"/>
    <n v="119007"/>
    <d v="2022-03-10T00:00:00"/>
    <n v="0"/>
    <d v="2022-02-11T00:00:00"/>
    <x v="0"/>
    <m/>
    <m/>
    <m/>
  </r>
  <r>
    <s v="Graham Packaging Company Europe"/>
    <s v="Not a Customer"/>
    <s v="No growth Potential"/>
    <s v="Dorai Kumar"/>
    <x v="3"/>
    <x v="9"/>
    <n v="171055"/>
    <s v="21-01-2022"/>
    <n v="0"/>
    <d v="2022-02-03T00:00:00"/>
    <x v="0"/>
    <m/>
    <m/>
    <m/>
  </r>
  <r>
    <s v="University of Strasbourg"/>
    <s v="Not a Customer"/>
    <s v="No growth Potential"/>
    <s v="Dorai Kumar"/>
    <x v="3"/>
    <x v="301"/>
    <n v="62410"/>
    <d v="2023-03-04T00:00:00"/>
    <n v="0"/>
    <d v="2023-02-06T00:00:00"/>
    <x v="2"/>
    <m/>
    <m/>
    <m/>
  </r>
  <r>
    <s v="AstraZeneca France"/>
    <s v="Not a Customer"/>
    <s v="No growth Potential"/>
    <s v="Dorai Kumar"/>
    <x v="3"/>
    <x v="302"/>
    <n v="72637"/>
    <d v="2022-03-03T00:00:00"/>
    <n v="0"/>
    <d v="2022-02-05T00:00:00"/>
    <x v="0"/>
    <m/>
    <m/>
    <m/>
  </r>
  <r>
    <s v="International Agency for Research on Cancer"/>
    <s v="Not a Customer"/>
    <s v="No growth Potential"/>
    <s v="Dorai Kumar"/>
    <x v="3"/>
    <x v="303"/>
    <n v="704990"/>
    <d v="2022-02-06T00:00:00"/>
    <n v="0"/>
    <d v="2022-02-07T00:00:00"/>
    <x v="0"/>
    <m/>
    <m/>
    <m/>
  </r>
  <r>
    <s v="Création innovation Cité"/>
    <s v="Not a Customer"/>
    <s v="No growth Potential"/>
    <s v="Dorai Kumar"/>
    <x v="3"/>
    <x v="9"/>
    <n v="107228"/>
    <d v="2022-03-03T00:00:00"/>
    <n v="0"/>
    <d v="2022-02-04T00:00:00"/>
    <x v="0"/>
    <m/>
    <m/>
    <m/>
  </r>
  <r>
    <s v="Eliga"/>
    <s v="Not a Customer"/>
    <s v="No growth Potential"/>
    <s v="Dorai Kumar"/>
    <x v="3"/>
    <x v="304"/>
    <n v="166380"/>
    <s v="21-02-2022"/>
    <n v="0"/>
    <d v="2022-02-05T00:00:00"/>
    <x v="0"/>
    <m/>
    <m/>
    <m/>
  </r>
  <r>
    <s v="VIAVI Solutions France SAS"/>
    <s v="Not a Customer"/>
    <s v="No growth Potential"/>
    <s v="Dorai Kumar"/>
    <x v="3"/>
    <x v="305"/>
    <m/>
    <d v="2021-02-06T00:00:00"/>
    <n v="0"/>
    <d v="2021-01-08T00:00:00"/>
    <x v="5"/>
    <m/>
    <m/>
    <m/>
  </r>
  <r>
    <s v="B+ Equipment"/>
    <s v="Not a Customer"/>
    <s v="No growth Potential"/>
    <s v="Dorai Kumar"/>
    <x v="3"/>
    <x v="9"/>
    <n v="190945"/>
    <d v="2022-03-10T00:00:00"/>
    <n v="0"/>
    <d v="2022-02-11T00:00:00"/>
    <x v="0"/>
    <m/>
    <m/>
    <m/>
  </r>
  <r>
    <s v="SECTRONIC"/>
    <s v="Not a Customer"/>
    <s v="No growth Potential"/>
    <s v="Dorai Kumar"/>
    <x v="3"/>
    <x v="9"/>
    <n v="101896"/>
    <s v="23-10-2022"/>
    <n v="0"/>
    <d v="2022-02-11T00:00:00"/>
    <x v="0"/>
    <m/>
    <m/>
    <m/>
  </r>
  <r>
    <s v="Paris &amp; Co."/>
    <s v="Not a Customer"/>
    <s v="No growth Potential"/>
    <s v="Dorai Kumar"/>
    <x v="3"/>
    <x v="9"/>
    <n v="48820"/>
    <s v="24-12-2021"/>
    <n v="0"/>
    <d v="2022-02-02T00:00:00"/>
    <x v="0"/>
    <m/>
    <m/>
    <m/>
  </r>
  <r>
    <s v="Sur le chemin du Succès"/>
    <s v="Not a Customer"/>
    <s v="No growth Potential"/>
    <s v="Dorai Kumar"/>
    <x v="3"/>
    <x v="9"/>
    <n v="72195"/>
    <s v="23-10-2022"/>
    <n v="0"/>
    <d v="2022-02-11T00:00:00"/>
    <x v="0"/>
    <m/>
    <m/>
    <m/>
  </r>
  <r>
    <s v="Allied Telesis"/>
    <s v="Not a Customer"/>
    <s v="No growth Potential"/>
    <s v="Dorai Kumar"/>
    <x v="3"/>
    <x v="9"/>
    <n v="83117"/>
    <s v="23-10-2022"/>
    <n v="0"/>
    <d v="2022-02-11T00:00:00"/>
    <x v="0"/>
    <m/>
    <m/>
    <m/>
  </r>
  <r>
    <s v="IQVIA France"/>
    <s v="Not a Customer"/>
    <s v="No growth Potential"/>
    <s v="Dorai Kumar"/>
    <x v="3"/>
    <x v="306"/>
    <n v="42133"/>
    <d v="2022-03-08T00:00:00"/>
    <n v="0"/>
    <d v="2022-02-09T00:00:00"/>
    <x v="0"/>
    <m/>
    <m/>
    <m/>
  </r>
  <r>
    <s v="Citywizz"/>
    <s v="Not a Customer"/>
    <s v="No growth Potential"/>
    <s v="Dorai Kumar"/>
    <x v="3"/>
    <x v="9"/>
    <n v="99320"/>
    <s v="23-10-2022"/>
    <n v="0"/>
    <d v="2022-02-11T00:00:00"/>
    <x v="0"/>
    <m/>
    <m/>
    <m/>
  </r>
  <r>
    <s v="Geismar"/>
    <s v="Not a Customer"/>
    <s v="No growth Potential"/>
    <s v="Dorai Kumar"/>
    <x v="3"/>
    <x v="9"/>
    <n v="42044"/>
    <s v="13-05-2022"/>
    <n v="0"/>
    <d v="2022-02-06T00:00:00"/>
    <x v="0"/>
    <m/>
    <m/>
    <m/>
  </r>
  <r>
    <s v="In Extenso"/>
    <s v="Not a Customer"/>
    <s v="No growth Potential"/>
    <s v="Dorai Kumar"/>
    <x v="3"/>
    <x v="9"/>
    <n v="143580"/>
    <s v="13-10-2022"/>
    <n v="0"/>
    <d v="2022-02-11T00:00:00"/>
    <x v="0"/>
    <m/>
    <m/>
    <m/>
  </r>
  <r>
    <s v="OppScience"/>
    <s v="Not a Customer"/>
    <s v="No growth Potential"/>
    <s v="Dorai Kumar"/>
    <x v="3"/>
    <x v="9"/>
    <n v="49618"/>
    <d v="2022-03-10T00:00:00"/>
    <n v="0"/>
    <d v="2022-02-11T00:00:00"/>
    <x v="0"/>
    <m/>
    <m/>
    <m/>
  </r>
  <r>
    <s v="Hospital Center of Dracénie"/>
    <s v="Not a Customer"/>
    <s v="No growth Potential"/>
    <s v="Dorai Kumar"/>
    <x v="3"/>
    <x v="9"/>
    <n v="98376"/>
    <s v="23-04-2022"/>
    <n v="0"/>
    <d v="2022-02-07T00:00:00"/>
    <x v="0"/>
    <m/>
    <m/>
    <m/>
  </r>
  <r>
    <s v="Mobilis"/>
    <s v="Not a Customer"/>
    <s v="No growth Potential"/>
    <s v="Dorai Kumar"/>
    <x v="3"/>
    <x v="9"/>
    <n v="36213"/>
    <s v="23-10-2022"/>
    <n v="0"/>
    <d v="2022-02-11T00:00:00"/>
    <x v="0"/>
    <m/>
    <m/>
    <m/>
  </r>
  <r>
    <s v="Fédération nationale des Caisses d'Epargne"/>
    <s v="Not a Customer"/>
    <s v="No growth Potential"/>
    <s v="Dorai Kumar"/>
    <x v="3"/>
    <x v="41"/>
    <n v="107490"/>
    <d v="2022-03-04T00:00:00"/>
    <n v="0"/>
    <d v="2022-02-06T00:00:00"/>
    <x v="0"/>
    <m/>
    <m/>
    <m/>
  </r>
  <r>
    <s v="METTLER-TOLEDO INTERNATIONAL INC"/>
    <s v="Not a Customer"/>
    <s v="No growth Potential"/>
    <s v="Dorai Kumar"/>
    <x v="3"/>
    <x v="9"/>
    <n v="56755"/>
    <s v="13-09-2022"/>
    <n v="0"/>
    <d v="2022-02-11T00:00:00"/>
    <x v="0"/>
    <m/>
    <m/>
    <m/>
  </r>
  <r>
    <s v="Armis"/>
    <s v="Not a Customer"/>
    <s v="No growth Potential"/>
    <s v="Dorai Kumar"/>
    <x v="3"/>
    <x v="9"/>
    <n v="41019"/>
    <s v="23-09-2022"/>
    <n v="0"/>
    <d v="2022-02-11T00:00:00"/>
    <x v="0"/>
    <m/>
    <m/>
    <m/>
  </r>
  <r>
    <s v="Money Globe"/>
    <s v="Not a Customer"/>
    <s v="No growth Potential"/>
    <s v="Dorai Kumar"/>
    <x v="3"/>
    <x v="9"/>
    <n v="230262"/>
    <s v="24-08-2022"/>
    <n v="0"/>
    <d v="2022-02-11T00:00:00"/>
    <x v="0"/>
    <m/>
    <m/>
    <m/>
  </r>
  <r>
    <s v="CFAO Group"/>
    <s v="Not a Customer"/>
    <s v="No growth Potential"/>
    <s v="Dorai Kumar"/>
    <x v="3"/>
    <x v="9"/>
    <n v="69897"/>
    <s v="23-09-2022"/>
    <n v="0"/>
    <d v="2022-02-11T00:00:00"/>
    <x v="0"/>
    <m/>
    <m/>
    <m/>
  </r>
  <r>
    <s v="Voyci"/>
    <s v="Not a Customer"/>
    <s v="No growth Potential"/>
    <s v="Dorai Kumar"/>
    <x v="3"/>
    <x v="9"/>
    <n v="89785"/>
    <s v="23-09-2022"/>
    <n v="0"/>
    <d v="2022-02-11T00:00:00"/>
    <x v="0"/>
    <m/>
    <m/>
    <m/>
  </r>
  <r>
    <s v="Animaute"/>
    <s v="Not a Customer"/>
    <s v="No growth Potential"/>
    <s v="Dorai Kumar"/>
    <x v="3"/>
    <x v="9"/>
    <n v="40187"/>
    <s v="13-03-2022"/>
    <n v="0"/>
    <d v="2022-02-05T00:00:00"/>
    <x v="0"/>
    <m/>
    <m/>
    <m/>
  </r>
  <r>
    <s v="Siyour"/>
    <s v="Not a Customer"/>
    <s v="No growth Potential"/>
    <s v="Dorai Kumar"/>
    <x v="3"/>
    <x v="9"/>
    <n v="45781"/>
    <s v="23-09-2022"/>
    <n v="0"/>
    <d v="2022-02-11T00:00:00"/>
    <x v="0"/>
    <m/>
    <m/>
    <m/>
  </r>
  <r>
    <s v="Datafirst"/>
    <s v="Not a Customer"/>
    <s v="No growth Potential"/>
    <s v="Dorai Kumar"/>
    <x v="3"/>
    <x v="9"/>
    <n v="53143"/>
    <s v="24-12-2021"/>
    <n v="0"/>
    <d v="2022-02-02T00:00:00"/>
    <x v="0"/>
    <m/>
    <m/>
    <m/>
  </r>
  <r>
    <s v="Maif"/>
    <s v="Not a Customer"/>
    <s v="No growth Potential"/>
    <s v="Dorai Kumar"/>
    <x v="3"/>
    <x v="9"/>
    <n v="100224"/>
    <d v="2022-03-01T00:00:00"/>
    <n v="0"/>
    <d v="2022-02-02T00:00:00"/>
    <x v="0"/>
    <m/>
    <m/>
    <m/>
  </r>
  <r>
    <s v="BWC"/>
    <s v="Not a Customer"/>
    <s v="No growth Potential"/>
    <s v="Dorai Kumar"/>
    <x v="3"/>
    <x v="307"/>
    <n v="71809"/>
    <d v="2022-03-09T00:00:00"/>
    <n v="0"/>
    <d v="2022-02-11T00:00:00"/>
    <x v="0"/>
    <m/>
    <m/>
    <m/>
  </r>
  <r>
    <s v="Le Centre hospitalier Camille Claudel"/>
    <s v="Not a Customer"/>
    <s v="No growth Potential"/>
    <s v="Dorai Kumar"/>
    <x v="3"/>
    <x v="9"/>
    <n v="153362"/>
    <d v="2023-02-04T00:00:00"/>
    <n v="0"/>
    <d v="2023-02-05T00:00:00"/>
    <x v="2"/>
    <m/>
    <m/>
    <m/>
  </r>
  <r>
    <s v="Eleven Labs"/>
    <s v="Not a Customer"/>
    <s v="No growth Potential"/>
    <s v="Dorai Kumar"/>
    <x v="3"/>
    <x v="9"/>
    <n v="86532"/>
    <s v="23-08-2022"/>
    <n v="0"/>
    <d v="2022-02-09T00:00:00"/>
    <x v="0"/>
    <m/>
    <m/>
    <m/>
  </r>
  <r>
    <s v="André"/>
    <s v="Not a Customer"/>
    <s v="No growth Potential"/>
    <s v="Dorai Kumar"/>
    <x v="3"/>
    <x v="41"/>
    <n v="99989"/>
    <s v="23-09-2022"/>
    <n v="0"/>
    <d v="2022-02-11T00:00:00"/>
    <x v="0"/>
    <m/>
    <m/>
    <m/>
  </r>
  <r>
    <s v="HTL Ottakring"/>
    <s v="Not a Customer"/>
    <s v="No growth Potential"/>
    <s v="Dorai Kumar"/>
    <x v="9"/>
    <x v="9"/>
    <n v="90291"/>
    <s v="13-07-2022"/>
    <n v="0"/>
    <d v="2022-02-08T00:00:00"/>
    <x v="0"/>
    <m/>
    <m/>
    <m/>
  </r>
  <r>
    <s v="Centre Hospitalier de Dax-Côte d'Argent"/>
    <s v="Not a Customer"/>
    <s v="No growth Potential"/>
    <s v="Dorai Kumar"/>
    <x v="3"/>
    <x v="308"/>
    <n v="74762"/>
    <d v="2023-03-01T00:00:00"/>
    <n v="0"/>
    <d v="2023-02-02T00:00:00"/>
    <x v="2"/>
    <m/>
    <m/>
    <m/>
  </r>
  <r>
    <s v="Teezily"/>
    <s v="Not a Customer"/>
    <s v="No growth Potential"/>
    <s v="Dorai Kumar"/>
    <x v="3"/>
    <x v="9"/>
    <n v="33645"/>
    <s v="23-10-2022"/>
    <n v="0"/>
    <d v="2022-02-11T00:00:00"/>
    <x v="0"/>
    <m/>
    <m/>
    <m/>
  </r>
  <r>
    <s v="MySam"/>
    <s v="Not a Customer"/>
    <s v="No growth Potential"/>
    <s v="Dorai Kumar"/>
    <x v="3"/>
    <x v="309"/>
    <n v="67064"/>
    <s v="23-03-2022"/>
    <n v="0"/>
    <d v="2022-02-04T00:00:00"/>
    <x v="0"/>
    <m/>
    <m/>
    <m/>
  </r>
  <r>
    <s v="Daher"/>
    <s v="Not a Customer"/>
    <s v="No growth Potential"/>
    <s v="Dorai Kumar"/>
    <x v="3"/>
    <x v="9"/>
    <n v="52327"/>
    <d v="2021-04-12T00:00:00"/>
    <n v="0"/>
    <d v="2022-02-02T00:00:00"/>
    <x v="0"/>
    <m/>
    <m/>
    <m/>
  </r>
  <r>
    <s v="LANXESS S.A.S."/>
    <s v="Not a Customer"/>
    <s v="No growth Potential"/>
    <s v="Dorai Kumar"/>
    <x v="3"/>
    <x v="310"/>
    <n v="61835"/>
    <d v="2022-03-09T00:00:00"/>
    <n v="0"/>
    <d v="2022-02-11T00:00:00"/>
    <x v="0"/>
    <m/>
    <m/>
    <m/>
  </r>
  <r>
    <s v="Qos Energy"/>
    <s v="Not a Customer"/>
    <s v="No growth Potential"/>
    <s v="Dorai Kumar"/>
    <x v="3"/>
    <x v="9"/>
    <n v="170893"/>
    <d v="2022-03-09T00:00:00"/>
    <n v="0"/>
    <d v="2022-02-11T00:00:00"/>
    <x v="0"/>
    <m/>
    <m/>
    <m/>
  </r>
  <r>
    <s v="Adents High Tech International"/>
    <s v="Not a Customer"/>
    <s v="No growth Potential"/>
    <s v="Dorai Kumar"/>
    <x v="3"/>
    <x v="9"/>
    <n v="107238"/>
    <d v="2021-02-12T00:00:00"/>
    <n v="0"/>
    <d v="2022-01-01T00:00:00"/>
    <x v="0"/>
    <m/>
    <m/>
    <m/>
  </r>
  <r>
    <s v="Sofidel France Sas"/>
    <s v="Not a Customer"/>
    <s v="No growth Potential"/>
    <s v="Dorai Kumar"/>
    <x v="3"/>
    <x v="311"/>
    <n v="113524"/>
    <s v="24-08-2022"/>
    <n v="0"/>
    <d v="2022-02-11T00:00:00"/>
    <x v="0"/>
    <m/>
    <m/>
    <m/>
  </r>
  <r>
    <s v="Les Petits Débrouillards"/>
    <s v="Not a Customer"/>
    <s v="No growth Potential"/>
    <s v="Dorai Kumar"/>
    <x v="3"/>
    <x v="9"/>
    <n v="23061"/>
    <s v="23-08-2021"/>
    <n v="0"/>
    <d v="2021-02-10T00:00:00"/>
    <x v="5"/>
    <m/>
    <m/>
    <m/>
  </r>
  <r>
    <s v="Hilton"/>
    <s v="Not a Customer"/>
    <s v="No growth Potential"/>
    <s v="Dorai Kumar"/>
    <x v="3"/>
    <x v="9"/>
    <n v="67783"/>
    <s v="23-09-2022"/>
    <n v="0"/>
    <d v="2022-02-11T00:00:00"/>
    <x v="0"/>
    <m/>
    <m/>
    <m/>
  </r>
  <r>
    <s v="Kids and crea"/>
    <s v="Not a Customer"/>
    <s v="No growth Potential"/>
    <s v="Dorai Kumar"/>
    <x v="3"/>
    <x v="312"/>
    <n v="32925"/>
    <s v="13-04-2022"/>
    <n v="0"/>
    <d v="2022-02-06T00:00:00"/>
    <x v="0"/>
    <m/>
    <m/>
    <m/>
  </r>
  <r>
    <s v="Socara E.LeClerc"/>
    <s v="Not a Customer"/>
    <s v="No growth Potential"/>
    <s v="Dorai Kumar"/>
    <x v="3"/>
    <x v="9"/>
    <n v="74226"/>
    <s v="23-03-2022"/>
    <n v="0"/>
    <d v="2022-02-04T00:00:00"/>
    <x v="0"/>
    <m/>
    <m/>
    <m/>
  </r>
  <r>
    <s v="Duqueine"/>
    <s v="Not a Customer"/>
    <s v="No growth Potential"/>
    <s v="Dorai Kumar"/>
    <x v="3"/>
    <x v="9"/>
    <n v="43899"/>
    <s v="13-10-2022"/>
    <n v="0"/>
    <d v="2022-02-11T00:00:00"/>
    <x v="0"/>
    <m/>
    <m/>
    <m/>
  </r>
  <r>
    <s v="KEPLER CHEUVREUX"/>
    <s v="Not a Customer"/>
    <s v="No growth Potential"/>
    <s v="Dorai Kumar"/>
    <x v="8"/>
    <x v="194"/>
    <n v="45784"/>
    <d v="2022-03-09T00:00:00"/>
    <n v="0"/>
    <d v="2022-02-11T00:00:00"/>
    <x v="0"/>
    <m/>
    <m/>
    <m/>
  </r>
  <r>
    <s v="Sampleo"/>
    <s v="Not a Customer"/>
    <s v="No growth Potential"/>
    <s v="Dorai Kumar"/>
    <x v="3"/>
    <x v="9"/>
    <n v="32925"/>
    <s v="24-11-2021"/>
    <n v="0"/>
    <d v="2022-02-02T00:00:00"/>
    <x v="0"/>
    <m/>
    <m/>
    <m/>
  </r>
  <r>
    <s v="IFIVE"/>
    <s v="Not a Customer"/>
    <s v="No growth Potential"/>
    <s v="Dorai Kumar"/>
    <x v="3"/>
    <x v="41"/>
    <n v="118645"/>
    <s v="23-10-2022"/>
    <n v="0"/>
    <d v="2022-02-11T00:00:00"/>
    <x v="0"/>
    <m/>
    <m/>
    <m/>
  </r>
  <r>
    <s v="Bewide"/>
    <s v="Not a Customer"/>
    <s v="No growth Potential"/>
    <s v="Dorai Kumar"/>
    <x v="3"/>
    <x v="9"/>
    <n v="24240"/>
    <s v="24-08-2022"/>
    <n v="0"/>
    <d v="2022-02-11T00:00:00"/>
    <x v="0"/>
    <m/>
    <m/>
    <m/>
  </r>
  <r>
    <s v="OffiSanté"/>
    <s v="Not a Customer"/>
    <s v="No growth Potential"/>
    <s v="Dorai Kumar"/>
    <x v="3"/>
    <x v="41"/>
    <m/>
    <d v="2022-03-04T00:00:00"/>
    <n v="0"/>
    <d v="2022-02-06T00:00:00"/>
    <x v="0"/>
    <m/>
    <m/>
    <m/>
  </r>
  <r>
    <s v="Arelis"/>
    <s v="Not a Customer"/>
    <s v="No growth Potential"/>
    <s v="Dorai Kumar"/>
    <x v="3"/>
    <x v="9"/>
    <n v="135026"/>
    <s v="23-09-2022"/>
    <n v="0"/>
    <d v="2022-02-11T00:00:00"/>
    <x v="0"/>
    <m/>
    <m/>
    <m/>
  </r>
  <r>
    <s v="Alloga France"/>
    <s v="Not a Customer"/>
    <s v="No growth Potential"/>
    <s v="Dorai Kumar"/>
    <x v="3"/>
    <x v="9"/>
    <n v="80088"/>
    <s v="23-05-2022"/>
    <n v="0"/>
    <d v="2022-02-06T00:00:00"/>
    <x v="0"/>
    <m/>
    <m/>
    <m/>
  </r>
  <r>
    <s v="Opticeo"/>
    <s v="Not a Customer"/>
    <s v="No growth Potential"/>
    <s v="Dorai Kumar"/>
    <x v="3"/>
    <x v="9"/>
    <m/>
    <s v="13-09-2022"/>
    <n v="0"/>
    <d v="2022-02-11T00:00:00"/>
    <x v="0"/>
    <m/>
    <m/>
    <m/>
  </r>
  <r>
    <s v="Crouzet"/>
    <s v="Not a Customer"/>
    <s v="No growth Potential"/>
    <s v="Dorai Kumar"/>
    <x v="3"/>
    <x v="9"/>
    <n v="96610"/>
    <d v="2022-03-10T00:00:00"/>
    <n v="0"/>
    <d v="2022-02-11T00:00:00"/>
    <x v="0"/>
    <m/>
    <m/>
    <m/>
  </r>
  <r>
    <s v="Exalog"/>
    <s v="Not a Customer"/>
    <s v="No growth Potential"/>
    <s v="Dorai Kumar"/>
    <x v="3"/>
    <x v="9"/>
    <n v="99320"/>
    <s v="22-12-2021"/>
    <n v="0"/>
    <d v="2022-02-03T00:00:00"/>
    <x v="0"/>
    <m/>
    <m/>
    <m/>
  </r>
  <r>
    <s v="GS2E"/>
    <s v="Not a Customer"/>
    <s v="No growth Potential"/>
    <s v="Dorai Kumar"/>
    <x v="3"/>
    <x v="9"/>
    <n v="143573"/>
    <s v="24-08-2022"/>
    <n v="0"/>
    <d v="2022-02-11T00:00:00"/>
    <x v="0"/>
    <m/>
    <m/>
    <m/>
  </r>
  <r>
    <s v="Monshowroom"/>
    <s v="Not a Customer"/>
    <s v="No growth Potential"/>
    <s v="Dorai Kumar"/>
    <x v="3"/>
    <x v="9"/>
    <n v="79321"/>
    <d v="2022-03-10T00:00:00"/>
    <n v="0"/>
    <d v="2022-02-11T00:00:00"/>
    <x v="0"/>
    <m/>
    <m/>
    <m/>
  </r>
  <r>
    <s v="Mediaco"/>
    <s v="Not a Customer"/>
    <s v="No growth Potential"/>
    <s v="Dorai Kumar"/>
    <x v="3"/>
    <x v="9"/>
    <n v="101400"/>
    <d v="2022-12-04T00:00:00"/>
    <n v="0"/>
    <d v="2022-02-05T00:00:00"/>
    <x v="0"/>
    <m/>
    <m/>
    <m/>
  </r>
  <r>
    <s v="Marché Privé"/>
    <s v="Not a Customer"/>
    <s v="No growth Potential"/>
    <s v="Dorai Kumar"/>
    <x v="3"/>
    <x v="9"/>
    <n v="49626"/>
    <s v="23-01-2022"/>
    <n v="0"/>
    <d v="2022-02-02T00:00:00"/>
    <x v="0"/>
    <m/>
    <m/>
    <m/>
  </r>
  <r>
    <s v="Cisbio Bioassays SAS"/>
    <s v="Active Customer"/>
    <s v="High Growth potential"/>
    <s v="Dorai Kumar"/>
    <x v="3"/>
    <x v="313"/>
    <n v="28516"/>
    <d v="2022-11-10T00:00:00"/>
    <n v="14258"/>
    <s v="20-11-2022"/>
    <x v="1"/>
    <m/>
    <m/>
    <m/>
  </r>
  <r>
    <s v="Freenet AG"/>
    <s v="Not a Customer"/>
    <s v="No growth Potential"/>
    <s v="Ben Usioka"/>
    <x v="7"/>
    <x v="314"/>
    <m/>
    <s v="24-08-2022"/>
    <n v="0"/>
    <d v="2022-02-11T00:00:00"/>
    <x v="0"/>
    <m/>
    <m/>
    <m/>
  </r>
  <r>
    <s v="Netscreens"/>
    <s v="Active Customer"/>
    <s v="High Growth potential"/>
    <s v="Ben Usioka"/>
    <x v="7"/>
    <x v="315"/>
    <n v="65099"/>
    <s v="25-10-2022"/>
    <n v="32549"/>
    <s v="14-11-2022"/>
    <x v="1"/>
    <m/>
    <m/>
    <m/>
  </r>
  <r>
    <s v="onOffice GmbH"/>
    <s v="Active Customer"/>
    <s v="Medium Growth"/>
    <s v="Ben Usioka"/>
    <x v="7"/>
    <x v="316"/>
    <n v="324022"/>
    <s v="21-09-2022"/>
    <n v="54004"/>
    <s v="20-11-2022"/>
    <x v="1"/>
    <m/>
    <m/>
    <m/>
  </r>
  <r>
    <s v="Veridos GmbH"/>
    <s v="Not a Customer"/>
    <s v="No growth Potential"/>
    <s v="Ben Usioka"/>
    <x v="7"/>
    <x v="204"/>
    <n v="33520"/>
    <s v="24-08-2022"/>
    <n v="0"/>
    <d v="2022-02-11T00:00:00"/>
    <x v="0"/>
    <m/>
    <m/>
    <m/>
  </r>
  <r>
    <s v="Festo AG &amp; Co. KG"/>
    <s v="Active Customer"/>
    <s v="No growth Potential"/>
    <s v="Ben Usioka"/>
    <x v="7"/>
    <x v="317"/>
    <n v="45775"/>
    <s v="18-09-2022"/>
    <n v="22888"/>
    <s v="17-11-2022"/>
    <x v="1"/>
    <m/>
    <m/>
    <m/>
  </r>
  <r>
    <s v="Mercura GmbH"/>
    <s v="Not a Customer"/>
    <s v="No growth Potential"/>
    <s v="Ben Usioka"/>
    <x v="10"/>
    <x v="318"/>
    <m/>
    <s v="13-05-2022"/>
    <n v="0"/>
    <d v="2022-02-07T00:00:00"/>
    <x v="0"/>
    <m/>
    <m/>
    <m/>
  </r>
  <r>
    <s v="B. Braun Melsungen AG"/>
    <s v="Active Customer"/>
    <s v="Medium Growth"/>
    <s v="Ben Usioka"/>
    <x v="7"/>
    <x v="319"/>
    <n v="93814"/>
    <d v="2022-09-05T00:00:00"/>
    <n v="46907"/>
    <d v="2022-08-06T00:00:00"/>
    <x v="3"/>
    <m/>
    <m/>
    <m/>
  </r>
  <r>
    <s v="EPCOS AG"/>
    <s v="Active Customer"/>
    <s v="Medium Growth"/>
    <s v="Ben Usioka"/>
    <x v="7"/>
    <x v="320"/>
    <n v="118364"/>
    <s v="15-09-2022"/>
    <n v="59182"/>
    <s v="14-11-2022"/>
    <x v="1"/>
    <m/>
    <m/>
    <m/>
  </r>
  <r>
    <s v="Sonova AG"/>
    <s v="Not a Customer"/>
    <s v="No growth Potential"/>
    <s v="Ben Usioka"/>
    <x v="10"/>
    <x v="321"/>
    <m/>
    <d v="2022-03-06T00:00:00"/>
    <n v="0"/>
    <s v="23-06-2022"/>
    <x v="4"/>
    <m/>
    <m/>
    <m/>
  </r>
  <r>
    <s v="Endress+Hauser InfoServe GmbH + Co. KG"/>
    <s v="Active Customer"/>
    <s v="No growth Potential"/>
    <s v="Ben Usioka"/>
    <x v="7"/>
    <x v="322"/>
    <n v="174750"/>
    <s v="18-08-2022"/>
    <n v="10922"/>
    <s v="17-10-2022"/>
    <x v="1"/>
    <m/>
    <m/>
    <m/>
  </r>
  <r>
    <s v="NOTEBOOKSBILLIGER.DE AG"/>
    <s v="Active Customer"/>
    <s v="Medium Growth"/>
    <s v="Ben Usioka"/>
    <x v="7"/>
    <x v="323"/>
    <n v="45792"/>
    <d v="2022-11-09T00:00:00"/>
    <n v="4163"/>
    <s v="20-11-2022"/>
    <x v="1"/>
    <m/>
    <m/>
    <m/>
  </r>
  <r>
    <s v="TecAlliance GmbH"/>
    <s v="Not a Customer"/>
    <s v="No growth Potential"/>
    <s v="Ben Usioka"/>
    <x v="7"/>
    <x v="223"/>
    <m/>
    <d v="2022-06-07T00:00:00"/>
    <n v="0"/>
    <d v="2022-05-08T00:00:00"/>
    <x v="4"/>
    <m/>
    <m/>
    <m/>
  </r>
  <r>
    <s v="BYK-Gardner GmbH"/>
    <s v="Not a Customer"/>
    <s v="No growth Potential"/>
    <s v="Ben Usioka"/>
    <x v="7"/>
    <x v="324"/>
    <n v="35470"/>
    <s v="23-05-2022"/>
    <n v="0"/>
    <d v="2022-02-06T00:00:00"/>
    <x v="0"/>
    <m/>
    <m/>
    <m/>
  </r>
  <r>
    <s v="umlaut communications GmbH"/>
    <s v="Active Customer"/>
    <s v="Medium Growth"/>
    <s v="Ben Usioka"/>
    <x v="7"/>
    <x v="316"/>
    <n v="141076"/>
    <d v="2022-07-04T00:00:00"/>
    <n v="10077"/>
    <s v="17-04-2022"/>
    <x v="4"/>
    <m/>
    <m/>
    <m/>
  </r>
  <r>
    <s v="Continum AG"/>
    <s v="Not a Customer"/>
    <s v="No growth Potential"/>
    <s v="Ben Usioka"/>
    <x v="7"/>
    <x v="325"/>
    <n v="56390"/>
    <s v="13-09-2022"/>
    <n v="0"/>
    <d v="2022-02-11T00:00:00"/>
    <x v="0"/>
    <m/>
    <m/>
    <m/>
  </r>
  <r>
    <s v="Giesecke &amp; Devrient GmbH"/>
    <s v="Active Customer"/>
    <s v="Medium Growth"/>
    <s v="Ben Usioka"/>
    <x v="7"/>
    <x v="326"/>
    <n v="69302"/>
    <s v="16-09-2022"/>
    <n v="34651"/>
    <d v="2022-05-11T00:00:00"/>
    <x v="4"/>
    <m/>
    <m/>
    <m/>
  </r>
  <r>
    <s v="KRONES AG"/>
    <s v="Active Customer"/>
    <s v="Medium Growth"/>
    <s v="Ben Usioka"/>
    <x v="7"/>
    <x v="327"/>
    <n v="103226"/>
    <d v="2022-12-09T00:00:00"/>
    <n v="51613"/>
    <d v="2022-11-11T00:00:00"/>
    <x v="1"/>
    <m/>
    <m/>
    <m/>
  </r>
  <r>
    <s v="Giesecke+Devrient Professional Services GmbH"/>
    <s v="Active Customer"/>
    <s v="High Growth potential"/>
    <s v="Ben Usioka"/>
    <x v="7"/>
    <x v="220"/>
    <n v="51098"/>
    <s v="18-05-2022"/>
    <n v="25549"/>
    <s v="17-06-2022"/>
    <x v="4"/>
    <m/>
    <m/>
    <m/>
  </r>
  <r>
    <s v="OTTO Office GmbH &amp; Co KG"/>
    <s v="Active Customer"/>
    <s v="Medium Growth"/>
    <s v="Ben Usioka"/>
    <x v="7"/>
    <x v="227"/>
    <n v="72252"/>
    <s v="24-09-2022"/>
    <n v="8028"/>
    <s v="23-11-2022"/>
    <x v="1"/>
    <m/>
    <m/>
    <m/>
  </r>
  <r>
    <s v="Viessmann IT Service GmbH"/>
    <s v="Active Customer"/>
    <s v="No growth Potential"/>
    <s v="Ben Usioka"/>
    <x v="7"/>
    <x v="328"/>
    <n v="94837"/>
    <s v="23-06-2022"/>
    <n v="47419"/>
    <s v="23-07-2022"/>
    <x v="3"/>
    <m/>
    <m/>
    <m/>
  </r>
  <r>
    <s v="Berner SE"/>
    <s v="Active Customer"/>
    <s v="High Growth potential"/>
    <s v="Ben Usioka"/>
    <x v="7"/>
    <x v="329"/>
    <n v="45500"/>
    <s v="15-09-2022"/>
    <n v="22750"/>
    <s v="14-11-2022"/>
    <x v="1"/>
    <m/>
    <m/>
    <m/>
  </r>
  <r>
    <s v="Steinberg Media Technologies GmbH"/>
    <s v="Active Customer"/>
    <s v="Medium Growth"/>
    <s v="Ben Usioka"/>
    <x v="7"/>
    <x v="227"/>
    <n v="100811"/>
    <s v="28-12-2022"/>
    <n v="25203"/>
    <d v="2023-08-03T00:00:00"/>
    <x v="7"/>
    <m/>
    <m/>
    <m/>
  </r>
  <r>
    <s v="Altova GmbH"/>
    <s v="Active Customer"/>
    <s v="Medium Growth"/>
    <s v="Ben Usioka"/>
    <x v="9"/>
    <x v="330"/>
    <n v="98847"/>
    <s v="14-04-2022"/>
    <n v="49424"/>
    <s v="23-06-2022"/>
    <x v="4"/>
    <m/>
    <m/>
    <m/>
  </r>
  <r>
    <s v="Osram GmbH"/>
    <s v="Active Customer"/>
    <s v="Medium Growth"/>
    <s v="Ben Usioka"/>
    <x v="7"/>
    <x v="220"/>
    <n v="43900"/>
    <d v="2022-03-02T00:00:00"/>
    <n v="21950"/>
    <s v="14-04-2022"/>
    <x v="4"/>
    <m/>
    <m/>
    <m/>
  </r>
  <r>
    <s v="Detlev Louis Motorradvertriebs GmbH"/>
    <s v="Not a Customer"/>
    <s v="No growth Potential"/>
    <s v="Ben Usioka"/>
    <x v="7"/>
    <x v="227"/>
    <m/>
    <s v="25-07-2021"/>
    <n v="0"/>
    <s v="13-09-2021"/>
    <x v="6"/>
    <m/>
    <m/>
    <m/>
  </r>
  <r>
    <s v="Doka GmbH"/>
    <s v="Active Customer"/>
    <s v="Medium Growth"/>
    <s v="Ben Usioka"/>
    <x v="9"/>
    <x v="331"/>
    <n v="77562"/>
    <d v="2022-12-03T00:00:00"/>
    <n v="38781"/>
    <d v="2022-11-04T00:00:00"/>
    <x v="1"/>
    <m/>
    <m/>
    <m/>
  </r>
  <r>
    <s v="SEW-EURODRIVE GmbH &amp; Co KG"/>
    <s v="Active Customer"/>
    <s v="Medium Growth"/>
    <s v="Ben Usioka"/>
    <x v="7"/>
    <x v="332"/>
    <n v="126011"/>
    <d v="2022-09-10T00:00:00"/>
    <n v="11456"/>
    <d v="2022-08-11T00:00:00"/>
    <x v="3"/>
    <m/>
    <m/>
    <m/>
  </r>
  <r>
    <s v="Andritz AG"/>
    <s v="Not a Customer"/>
    <s v="No growth Potential"/>
    <s v="Ben Usioka"/>
    <x v="9"/>
    <x v="333"/>
    <m/>
    <s v="13-11-2022"/>
    <n v="0"/>
    <s v="23-11-2022"/>
    <x v="1"/>
    <m/>
    <m/>
    <m/>
  </r>
  <r>
    <s v="Julius Blum GmbH"/>
    <s v="Active Customer"/>
    <s v="Medium Growth"/>
    <s v="Ben Usioka"/>
    <x v="9"/>
    <x v="334"/>
    <n v="72712"/>
    <s v="14-10-2022"/>
    <n v="18178"/>
    <s v="23-11-2022"/>
    <x v="1"/>
    <m/>
    <m/>
    <m/>
  </r>
  <r>
    <s v="Wirecard Technologies AG"/>
    <s v="Active Customer"/>
    <s v="No growth Potential"/>
    <s v="Ben Usioka"/>
    <x v="7"/>
    <x v="335"/>
    <n v="49486"/>
    <s v="26-05-2022"/>
    <n v="24743"/>
    <d v="2022-05-06T00:00:00"/>
    <x v="4"/>
    <m/>
    <m/>
    <m/>
  </r>
  <r>
    <s v="50Hertz Transmission GmbH"/>
    <s v="Active Customer"/>
    <s v="No growth Potential"/>
    <s v="Ben Usioka"/>
    <x v="7"/>
    <x v="204"/>
    <n v="107231"/>
    <s v="16-09-2022"/>
    <n v="7149"/>
    <d v="2022-05-11T00:00:00"/>
    <x v="4"/>
    <m/>
    <m/>
    <m/>
  </r>
  <r>
    <s v="Getriebebau NORD GmbH &amp; Co. KG"/>
    <s v="Active Customer"/>
    <s v="Medium Growth"/>
    <s v="Ben Usioka"/>
    <x v="7"/>
    <x v="336"/>
    <n v="130735"/>
    <s v="17-09-2022"/>
    <n v="26147"/>
    <s v="17-10-2022"/>
    <x v="1"/>
    <m/>
    <m/>
    <m/>
  </r>
  <r>
    <s v="Berentzen-Gruppe AG"/>
    <s v="Not a Customer"/>
    <s v="No growth Potential"/>
    <s v="Ban Roamer"/>
    <x v="7"/>
    <x v="337"/>
    <n v="68851"/>
    <s v="23-10-2022"/>
    <n v="0"/>
    <d v="2022-02-11T00:00:00"/>
    <x v="0"/>
    <m/>
    <m/>
    <m/>
  </r>
  <r>
    <s v="Pretty Nail Shop 24 GmbH"/>
    <s v="Not a Customer"/>
    <s v="No growth Potential"/>
    <s v="Ban Roamer"/>
    <x v="7"/>
    <x v="338"/>
    <n v="143565"/>
    <s v="14-07-2022"/>
    <n v="0"/>
    <d v="2022-02-09T00:00:00"/>
    <x v="0"/>
    <m/>
    <m/>
    <m/>
  </r>
  <r>
    <s v="EWR AG"/>
    <s v="Not a Customer"/>
    <s v="No growth Potential"/>
    <s v="Ban Roamer"/>
    <x v="7"/>
    <x v="9"/>
    <n v="83464"/>
    <s v="24-08-2022"/>
    <n v="0"/>
    <d v="2022-02-11T00:00:00"/>
    <x v="0"/>
    <m/>
    <m/>
    <m/>
  </r>
  <r>
    <s v="Hugendubel Digital GmbH &amp; Co."/>
    <s v="Not a Customer"/>
    <s v="No growth Potential"/>
    <s v="Ban Roamer"/>
    <x v="7"/>
    <x v="227"/>
    <n v="70230"/>
    <s v="13-03-2023"/>
    <n v="0"/>
    <d v="2023-02-05T00:00:00"/>
    <x v="2"/>
    <m/>
    <m/>
    <m/>
  </r>
  <r>
    <s v="Gebr. Rochling"/>
    <s v="Not a Customer"/>
    <s v="No growth Potential"/>
    <s v="Ban Roamer"/>
    <x v="7"/>
    <x v="190"/>
    <n v="70126"/>
    <s v="24-08-2022"/>
    <n v="0"/>
    <d v="2022-02-11T00:00:00"/>
    <x v="0"/>
    <m/>
    <m/>
    <m/>
  </r>
  <r>
    <s v="Eurocres"/>
    <s v="Not a Customer"/>
    <s v="No growth Potential"/>
    <s v="Ban Roamer"/>
    <x v="7"/>
    <x v="204"/>
    <n v="121681"/>
    <d v="2022-03-09T00:00:00"/>
    <n v="0"/>
    <d v="2022-02-11T00:00:00"/>
    <x v="0"/>
    <m/>
    <m/>
    <m/>
  </r>
  <r>
    <s v="Enviro Pack GmbH"/>
    <s v="Not a Customer"/>
    <s v="No growth Potential"/>
    <s v="Ban Roamer"/>
    <x v="7"/>
    <x v="339"/>
    <n v="49626"/>
    <s v="14-07-2022"/>
    <n v="0"/>
    <d v="2022-02-09T00:00:00"/>
    <x v="0"/>
    <m/>
    <m/>
    <m/>
  </r>
  <r>
    <s v="Berlin Brandburg Flughafen GmbH"/>
    <s v="Not a Customer"/>
    <s v="No growth Potential"/>
    <s v="Ban Roamer"/>
    <x v="7"/>
    <x v="340"/>
    <n v="61833"/>
    <s v="23-08-2022"/>
    <n v="0"/>
    <d v="2022-02-10T00:00:00"/>
    <x v="0"/>
    <m/>
    <m/>
    <m/>
  </r>
  <r>
    <s v="EPCOS AG - Duplicate"/>
    <s v="Not a Customer"/>
    <s v="No growth Potential"/>
    <s v="Ban Roamer"/>
    <x v="7"/>
    <x v="220"/>
    <n v="88227"/>
    <s v="24-03-2023"/>
    <n v="0"/>
    <d v="2023-02-06T00:00:00"/>
    <x v="2"/>
    <m/>
    <m/>
    <m/>
  </r>
  <r>
    <s v="City of Bayreuth"/>
    <s v="Not a Customer"/>
    <s v="No growth Potential"/>
    <s v="Ban Roamer"/>
    <x v="7"/>
    <x v="341"/>
    <n v="71090"/>
    <s v="23-08-2022"/>
    <n v="0"/>
    <d v="2022-02-10T00:00:00"/>
    <x v="0"/>
    <m/>
    <m/>
    <m/>
  </r>
  <r>
    <s v="Stadt Wien ? Wiener Krankenanstaltenverbund"/>
    <s v="Not a Customer"/>
    <s v="No growth Potential"/>
    <s v="Ban Roamer"/>
    <x v="9"/>
    <x v="330"/>
    <n v="69958"/>
    <d v="2022-01-01T00:00:00"/>
    <n v="0"/>
    <d v="2022-02-03T00:00:00"/>
    <x v="0"/>
    <m/>
    <m/>
    <m/>
  </r>
  <r>
    <s v="EISMANN"/>
    <s v="Not a Customer"/>
    <s v="No growth Potential"/>
    <s v="Ban Roamer"/>
    <x v="0"/>
    <x v="0"/>
    <n v="70912"/>
    <s v="24-08-2022"/>
    <n v="0"/>
    <d v="2022-02-11T00:00:00"/>
    <x v="0"/>
    <m/>
    <m/>
    <m/>
  </r>
  <r>
    <s v="Postnord Logistics GmbH"/>
    <s v="Not a Customer"/>
    <s v="No growth Potential"/>
    <s v="Ban Roamer"/>
    <x v="7"/>
    <x v="342"/>
    <n v="40198"/>
    <s v="13-10-2022"/>
    <n v="0"/>
    <d v="2022-02-11T00:00:00"/>
    <x v="0"/>
    <m/>
    <m/>
    <m/>
  </r>
  <r>
    <s v="Handelsgruppe Service GmbH &amp; Co. KG"/>
    <s v="Not a Customer"/>
    <s v="No growth Potential"/>
    <s v="Ban Roamer"/>
    <x v="7"/>
    <x v="343"/>
    <n v="111102"/>
    <s v="24-11-2021"/>
    <n v="0"/>
    <d v="2022-02-02T00:00:00"/>
    <x v="0"/>
    <m/>
    <m/>
    <m/>
  </r>
  <r>
    <s v="Liebherr-International Deutschland GmbH"/>
    <s v="Not a Customer"/>
    <s v="No growth Potential"/>
    <s v="Ban Roamer"/>
    <x v="7"/>
    <x v="344"/>
    <n v="47336"/>
    <s v="21-02-2023"/>
    <n v="0"/>
    <d v="2023-02-04T00:00:00"/>
    <x v="2"/>
    <m/>
    <m/>
    <m/>
  </r>
  <r>
    <s v="Siewert &amp; Kau Computertechnik GmbH"/>
    <s v="Not a Customer"/>
    <s v="No growth Potential"/>
    <s v="Ban Roamer"/>
    <x v="7"/>
    <x v="345"/>
    <n v="42246"/>
    <s v="13-10-2022"/>
    <n v="0"/>
    <d v="2022-02-12T00:00:00"/>
    <x v="0"/>
    <m/>
    <m/>
    <m/>
  </r>
  <r>
    <s v="Knauf Gips KG"/>
    <s v="Not a Customer"/>
    <s v="No growth Potential"/>
    <s v="Ban Roamer"/>
    <x v="7"/>
    <x v="346"/>
    <n v="154075"/>
    <s v="20-02-2022"/>
    <n v="0"/>
    <d v="2022-02-03T00:00:00"/>
    <x v="0"/>
    <m/>
    <m/>
    <m/>
  </r>
  <r>
    <s v="Frontline GmbH"/>
    <s v="Not a Customer"/>
    <s v="No growth Potential"/>
    <s v="Ban Roamer"/>
    <x v="7"/>
    <x v="227"/>
    <n v="127420"/>
    <s v="13-10-2022"/>
    <n v="0"/>
    <d v="2022-02-11T00:00:00"/>
    <x v="0"/>
    <m/>
    <m/>
    <m/>
  </r>
  <r>
    <s v="ag.supply GmbH"/>
    <s v="Not a Customer"/>
    <s v="No growth Potential"/>
    <s v="Ban Roamer"/>
    <x v="7"/>
    <x v="9"/>
    <n v="228068"/>
    <d v="2021-03-12T00:00:00"/>
    <n v="0"/>
    <d v="2022-02-01T00:00:00"/>
    <x v="0"/>
    <m/>
    <m/>
    <m/>
  </r>
  <r>
    <s v="City Velbert"/>
    <s v="Not a Customer"/>
    <s v="No growth Potential"/>
    <s v="Ban Roamer"/>
    <x v="7"/>
    <x v="347"/>
    <n v="58021"/>
    <s v="23-09-2022"/>
    <n v="0"/>
    <d v="2022-02-11T00:00:00"/>
    <x v="0"/>
    <m/>
    <m/>
    <m/>
  </r>
  <r>
    <s v="omx.ch"/>
    <s v="Not a Customer"/>
    <s v="No growth Potential"/>
    <s v="Ban Roamer"/>
    <x v="10"/>
    <x v="9"/>
    <n v="154835"/>
    <s v="23-09-2022"/>
    <n v="0"/>
    <d v="2022-02-11T00:00:00"/>
    <x v="0"/>
    <m/>
    <m/>
    <m/>
  </r>
  <r>
    <s v="easyfeedback GmbH"/>
    <s v="Not a Customer"/>
    <s v="No growth Potential"/>
    <s v="Ban Roamer"/>
    <x v="7"/>
    <x v="348"/>
    <n v="33520"/>
    <s v="23-01-2022"/>
    <n v="0"/>
    <d v="2022-02-02T00:00:00"/>
    <x v="0"/>
    <m/>
    <m/>
    <m/>
  </r>
  <r>
    <s v="Head HTM Sport- und Freizeitgeraete AG"/>
    <s v="Not a Customer"/>
    <s v="No growth Potential"/>
    <s v="Ban Roamer"/>
    <x v="9"/>
    <x v="349"/>
    <n v="63437"/>
    <s v="22-12-2021"/>
    <n v="0"/>
    <d v="2022-02-03T00:00:00"/>
    <x v="0"/>
    <m/>
    <m/>
    <m/>
  </r>
  <r>
    <s v="GAXWEB E-COMMERCE + CROSS COMMUNICATIONS"/>
    <s v="Not a Customer"/>
    <s v="No growth Potential"/>
    <s v="Ban Roamer"/>
    <x v="7"/>
    <x v="350"/>
    <n v="37979"/>
    <s v="13-10-2022"/>
    <n v="0"/>
    <d v="2022-02-11T00:00:00"/>
    <x v="0"/>
    <m/>
    <m/>
    <m/>
  </r>
  <r>
    <s v="ADVA Optical Networking SE"/>
    <s v="Not a Customer"/>
    <s v="No growth Potential"/>
    <s v="Ban Roamer"/>
    <x v="7"/>
    <x v="351"/>
    <n v="126347"/>
    <d v="2022-03-09T00:00:00"/>
    <n v="0"/>
    <d v="2022-02-11T00:00:00"/>
    <x v="0"/>
    <m/>
    <m/>
    <m/>
  </r>
  <r>
    <s v="Eurofighter Jagdflugzeug GmbH"/>
    <s v="Not a Customer"/>
    <s v="No growth Potential"/>
    <s v="Ban Roamer"/>
    <x v="7"/>
    <x v="352"/>
    <n v="63003"/>
    <s v="24-11-2022"/>
    <n v="0"/>
    <d v="2023-02-02T00:00:00"/>
    <x v="2"/>
    <m/>
    <m/>
    <m/>
  </r>
  <r>
    <s v="A-Z GartenHaus GmbH"/>
    <s v="Not a Customer"/>
    <s v="No growth Potential"/>
    <s v="Ban Roamer"/>
    <x v="7"/>
    <x v="227"/>
    <n v="118629"/>
    <s v="13-05-2022"/>
    <n v="0"/>
    <d v="2022-02-06T00:00:00"/>
    <x v="0"/>
    <m/>
    <m/>
    <m/>
  </r>
  <r>
    <s v="Rollei GmbH &amp; Co. KG"/>
    <s v="Not a Customer"/>
    <s v="No growth Potential"/>
    <s v="Ban Roamer"/>
    <x v="7"/>
    <x v="353"/>
    <n v="72893"/>
    <s v="23-09-2022"/>
    <n v="0"/>
    <d v="2022-02-11T00:00:00"/>
    <x v="0"/>
    <m/>
    <m/>
    <m/>
  </r>
  <r>
    <s v="Escapio GmbH"/>
    <s v="Not a Customer"/>
    <s v="No growth Potential"/>
    <s v="Ban Roamer"/>
    <x v="7"/>
    <x v="204"/>
    <n v="111228"/>
    <d v="2022-03-03T00:00:00"/>
    <n v="0"/>
    <d v="2022-02-04T00:00:00"/>
    <x v="0"/>
    <m/>
    <m/>
    <m/>
  </r>
  <r>
    <s v="Bewotec GmbH"/>
    <s v="Not a Customer"/>
    <s v="No growth Potential"/>
    <s v="Ban Roamer"/>
    <x v="7"/>
    <x v="354"/>
    <n v="76832"/>
    <d v="2022-03-10T00:00:00"/>
    <n v="0"/>
    <d v="2022-02-11T00:00:00"/>
    <x v="0"/>
    <m/>
    <m/>
    <m/>
  </r>
  <r>
    <s v="IBENA Textilwerke GmbH"/>
    <s v="Not a Customer"/>
    <s v="No growth Potential"/>
    <s v="Ban Roamer"/>
    <x v="7"/>
    <x v="355"/>
    <n v="143579"/>
    <s v="23-10-2022"/>
    <n v="0"/>
    <d v="2022-02-11T00:00:00"/>
    <x v="0"/>
    <m/>
    <m/>
    <m/>
  </r>
  <r>
    <s v="GÖDE Holding GmbH &amp; Co. KG"/>
    <s v="Not a Customer"/>
    <s v="No growth Potential"/>
    <s v="Ban Roamer"/>
    <x v="7"/>
    <x v="356"/>
    <n v="30393"/>
    <s v="13-09-2022"/>
    <n v="0"/>
    <d v="2022-02-11T00:00:00"/>
    <x v="0"/>
    <m/>
    <m/>
    <m/>
  </r>
  <r>
    <s v="Hess Natur -Textilien GmbH"/>
    <s v="Not a Customer"/>
    <s v="No growth Potential"/>
    <s v="Ban Roamer"/>
    <x v="7"/>
    <x v="357"/>
    <n v="804709"/>
    <d v="2022-12-06T00:00:00"/>
    <n v="0"/>
    <d v="2022-02-07T00:00:00"/>
    <x v="0"/>
    <m/>
    <m/>
    <m/>
  </r>
  <r>
    <s v="Bottomline Technologies Inc. Switzerland"/>
    <s v="Not a Customer"/>
    <s v="No growth Potential"/>
    <s v="Ban Roamer"/>
    <x v="10"/>
    <x v="358"/>
    <n v="48456"/>
    <d v="2023-01-02T00:00:00"/>
    <n v="0"/>
    <d v="2023-02-04T00:00:00"/>
    <x v="2"/>
    <m/>
    <m/>
    <m/>
  </r>
  <r>
    <s v="Cobana Fruchtring GmbH &amp; Co. KG"/>
    <s v="Not a Customer"/>
    <s v="No growth Potential"/>
    <s v="Ban Roamer"/>
    <x v="7"/>
    <x v="227"/>
    <n v="112690"/>
    <d v="2022-01-02T00:00:00"/>
    <n v="0"/>
    <d v="2022-02-04T00:00:00"/>
    <x v="0"/>
    <m/>
    <m/>
    <m/>
  </r>
  <r>
    <s v="Losinger Marazzi"/>
    <s v="Not a Customer"/>
    <s v="No growth Potential"/>
    <s v="Ban Roamer"/>
    <x v="10"/>
    <x v="359"/>
    <n v="43896"/>
    <d v="2022-03-09T00:00:00"/>
    <n v="0"/>
    <d v="2022-02-11T00:00:00"/>
    <x v="0"/>
    <m/>
    <m/>
    <m/>
  </r>
  <r>
    <s v="Flughafen Stuttgart Gesellschaft mit beschränkter Haftung"/>
    <s v="Not a Customer"/>
    <s v="No growth Potential"/>
    <s v="Ban Roamer"/>
    <x v="7"/>
    <x v="241"/>
    <n v="98316"/>
    <s v="24-03-2022"/>
    <n v="0"/>
    <d v="2022-02-06T00:00:00"/>
    <x v="0"/>
    <m/>
    <m/>
    <m/>
  </r>
  <r>
    <s v="AUCOTEAM"/>
    <s v="Not a Customer"/>
    <s v="No growth Potential"/>
    <s v="Ban Roamer"/>
    <x v="7"/>
    <x v="204"/>
    <n v="404413"/>
    <s v="24-08-2022"/>
    <n v="0"/>
    <d v="2022-02-11T00:00:00"/>
    <x v="0"/>
    <m/>
    <m/>
    <m/>
  </r>
  <r>
    <s v="Gourmondo GmbH"/>
    <s v="Not a Customer"/>
    <s v="No growth Potential"/>
    <s v="Ban Roamer"/>
    <x v="7"/>
    <x v="360"/>
    <n v="42234"/>
    <s v="24-08-2022"/>
    <n v="0"/>
    <d v="2022-02-11T00:00:00"/>
    <x v="0"/>
    <m/>
    <m/>
    <m/>
  </r>
  <r>
    <s v="Carl Zeiss AG"/>
    <s v="Active Customer"/>
    <s v="Medium Growth"/>
    <s v="Ban Roamer"/>
    <x v="7"/>
    <x v="361"/>
    <n v="143555"/>
    <s v="29-01-2022"/>
    <n v="17944"/>
    <d v="2022-08-02T00:00:00"/>
    <x v="3"/>
    <m/>
    <m/>
    <m/>
  </r>
  <r>
    <s v="Amundi Pioneer"/>
    <s v="Not a Customer"/>
    <s v="No growth Potential"/>
    <s v="Ban Roamer"/>
    <x v="9"/>
    <x v="9"/>
    <n v="158784"/>
    <s v="23-09-2022"/>
    <n v="0"/>
    <d v="2022-02-11T00:00:00"/>
    <x v="0"/>
    <m/>
    <m/>
    <m/>
  </r>
  <r>
    <s v="Cheops Informatik AG"/>
    <s v="Not a Customer"/>
    <s v="No growth Potential"/>
    <s v="Ban Roamer"/>
    <x v="10"/>
    <x v="9"/>
    <n v="270419"/>
    <d v="2023-03-01T00:00:00"/>
    <n v="0"/>
    <d v="2023-02-02T00:00:00"/>
    <x v="2"/>
    <m/>
    <m/>
    <m/>
  </r>
  <r>
    <s v="Itellium Systems &amp; Services GmbH"/>
    <s v="Not a Customer"/>
    <s v="No growth Potential"/>
    <s v="Ban Roamer"/>
    <x v="7"/>
    <x v="362"/>
    <n v="70043"/>
    <d v="2022-03-09T00:00:00"/>
    <n v="0"/>
    <d v="2022-02-11T00:00:00"/>
    <x v="0"/>
    <m/>
    <m/>
    <m/>
  </r>
  <r>
    <s v="HolzLand GmbH"/>
    <s v="Not a Customer"/>
    <s v="No growth Potential"/>
    <s v="Ban Roamer"/>
    <x v="7"/>
    <x v="363"/>
    <n v="189646"/>
    <d v="2022-03-04T00:00:00"/>
    <n v="0"/>
    <d v="2022-02-06T00:00:00"/>
    <x v="0"/>
    <m/>
    <m/>
    <m/>
  </r>
  <r>
    <s v="Bühler Barth GmbH"/>
    <s v="Not a Customer"/>
    <s v="No growth Potential"/>
    <s v="Ban Roamer"/>
    <x v="7"/>
    <x v="364"/>
    <n v="323942"/>
    <s v="24-07-2022"/>
    <n v="0"/>
    <d v="2022-02-09T00:00:00"/>
    <x v="0"/>
    <m/>
    <m/>
    <m/>
  </r>
  <r>
    <s v="KION GROUP GmbH"/>
    <s v="Active Customer"/>
    <s v="Medium Growth"/>
    <s v="Ban Roamer"/>
    <x v="7"/>
    <x v="199"/>
    <n v="141978"/>
    <d v="2022-03-11T00:00:00"/>
    <n v="70989"/>
    <s v="23-11-2022"/>
    <x v="1"/>
    <m/>
    <m/>
    <m/>
  </r>
  <r>
    <s v="Your Secure Cloud GmbH"/>
    <s v="Not a Customer"/>
    <s v="No growth Potential"/>
    <s v="Ban Roamer"/>
    <x v="7"/>
    <x v="365"/>
    <n v="195611"/>
    <s v="23-09-2022"/>
    <n v="0"/>
    <d v="2022-02-11T00:00:00"/>
    <x v="0"/>
    <m/>
    <m/>
    <m/>
  </r>
  <r>
    <s v="Haribo GmbH &amp; Co KG"/>
    <s v="Not a Customer"/>
    <s v="No growth Potential"/>
    <s v="Ban Roamer"/>
    <x v="7"/>
    <x v="198"/>
    <n v="340449"/>
    <s v="23-01-2022"/>
    <n v="0"/>
    <d v="2022-02-02T00:00:00"/>
    <x v="0"/>
    <m/>
    <m/>
    <m/>
  </r>
  <r>
    <s v="BRITA GmbH"/>
    <s v="Not a Customer"/>
    <s v="No growth Potential"/>
    <s v="Ban Roamer"/>
    <x v="7"/>
    <x v="366"/>
    <n v="180897"/>
    <s v="23-10-2022"/>
    <n v="0"/>
    <d v="2022-02-11T00:00:00"/>
    <x v="0"/>
    <m/>
    <m/>
    <m/>
  </r>
  <r>
    <s v="Schott AG"/>
    <s v="Active Customer"/>
    <s v="Medium Growth"/>
    <s v="Ban Roamer"/>
    <x v="7"/>
    <x v="367"/>
    <n v="107231"/>
    <s v="27-08-2022"/>
    <n v="53615"/>
    <d v="2022-05-11T00:00:00"/>
    <x v="4"/>
    <m/>
    <m/>
    <m/>
  </r>
  <r>
    <s v="Veritas AG"/>
    <s v="Not a Customer"/>
    <s v="No growth Potential"/>
    <s v="Ban Roamer"/>
    <x v="7"/>
    <x v="368"/>
    <n v="304640"/>
    <d v="2022-03-04T00:00:00"/>
    <n v="0"/>
    <d v="2022-02-06T00:00:00"/>
    <x v="0"/>
    <m/>
    <m/>
    <m/>
  </r>
  <r>
    <s v="Philipps-Universität Marburg"/>
    <s v="Not a Customer"/>
    <s v="No growth Potential"/>
    <s v="Ban Roamer"/>
    <x v="7"/>
    <x v="369"/>
    <n v="42218"/>
    <d v="2021-02-11T00:00:00"/>
    <n v="0"/>
    <d v="2021-02-12T00:00:00"/>
    <x v="5"/>
    <m/>
    <m/>
    <m/>
  </r>
  <r>
    <s v="Regio Energie Solothurn"/>
    <s v="Not a Customer"/>
    <s v="No growth Potential"/>
    <s v="Ban Roamer"/>
    <x v="10"/>
    <x v="370"/>
    <n v="262297"/>
    <s v="23-10-2022"/>
    <n v="0"/>
    <d v="2022-02-11T00:00:00"/>
    <x v="0"/>
    <m/>
    <m/>
    <m/>
  </r>
  <r>
    <s v="HAHN+KOLB Werkzeuge GmbH"/>
    <s v="Not a Customer"/>
    <s v="No growth Potential"/>
    <s v="Ban Roamer"/>
    <x v="7"/>
    <x v="371"/>
    <n v="270461"/>
    <s v="24-08-2022"/>
    <n v="0"/>
    <d v="2022-02-11T00:00:00"/>
    <x v="0"/>
    <m/>
    <m/>
    <m/>
  </r>
  <r>
    <s v="IBZ"/>
    <s v="Not a Customer"/>
    <s v="No growth Potential"/>
    <s v="Ban Roamer"/>
    <x v="10"/>
    <x v="9"/>
    <n v="121657"/>
    <s v="13-09-2022"/>
    <n v="0"/>
    <d v="2022-02-11T00:00:00"/>
    <x v="0"/>
    <m/>
    <m/>
    <m/>
  </r>
  <r>
    <s v="Design3000"/>
    <s v="Not a Customer"/>
    <s v="No growth Potential"/>
    <s v="Ban Roamer"/>
    <x v="7"/>
    <x v="372"/>
    <n v="421991"/>
    <d v="2022-03-10T00:00:00"/>
    <n v="0"/>
    <d v="2022-02-11T00:00:00"/>
    <x v="0"/>
    <m/>
    <m/>
    <m/>
  </r>
  <r>
    <s v="Radisson Blu"/>
    <s v="Not a Customer"/>
    <s v="No growth Potential"/>
    <s v="Ban Roamer"/>
    <x v="7"/>
    <x v="9"/>
    <n v="120899"/>
    <d v="2021-04-12T00:00:00"/>
    <n v="0"/>
    <d v="2022-02-02T00:00:00"/>
    <x v="0"/>
    <m/>
    <m/>
    <m/>
  </r>
  <r>
    <s v="Ulla Popken GmbH"/>
    <s v="Active Customer"/>
    <s v="High Growth potential"/>
    <s v="Ban Roamer"/>
    <x v="7"/>
    <x v="373"/>
    <n v="155785"/>
    <d v="2022-02-03T00:00:00"/>
    <n v="77892"/>
    <d v="2022-11-04T00:00:00"/>
    <x v="1"/>
    <m/>
    <m/>
    <m/>
  </r>
  <r>
    <s v="CASIO Europe GmbH"/>
    <s v="Not a Customer"/>
    <s v="No growth Potential"/>
    <s v="Ban Roamer"/>
    <x v="7"/>
    <x v="353"/>
    <n v="686067"/>
    <s v="23-09-2022"/>
    <n v="0"/>
    <d v="2022-02-11T00:00:00"/>
    <x v="0"/>
    <m/>
    <m/>
    <m/>
  </r>
  <r>
    <s v="BAA Boysen exhaust systems Achim GmbH &amp; Co. KG"/>
    <s v="Not a Customer"/>
    <s v="No growth Potential"/>
    <s v="Ban Roamer"/>
    <x v="7"/>
    <x v="374"/>
    <n v="57380"/>
    <s v="20-02-2023"/>
    <n v="0"/>
    <d v="2023-02-03T00:00:00"/>
    <x v="2"/>
    <m/>
    <m/>
    <m/>
  </r>
  <r>
    <s v="Habermaass GmbH"/>
    <s v="Not a Customer"/>
    <s v="No growth Potential"/>
    <s v="Ban Roamer"/>
    <x v="7"/>
    <x v="375"/>
    <n v="250938"/>
    <s v="14-12-2021"/>
    <n v="0"/>
    <d v="2022-02-02T00:00:00"/>
    <x v="0"/>
    <m/>
    <m/>
    <m/>
  </r>
  <r>
    <s v="GAZPROM Germania GmbH"/>
    <s v="Not a Customer"/>
    <s v="No growth Potential"/>
    <s v="Ban Roamer"/>
    <x v="7"/>
    <x v="204"/>
    <n v="211472"/>
    <s v="13-12-2022"/>
    <n v="0"/>
    <d v="2023-02-01T00:00:00"/>
    <x v="2"/>
    <m/>
    <m/>
    <m/>
  </r>
  <r>
    <s v="LR Health &amp; Beauty Systems"/>
    <s v="Not a Customer"/>
    <s v="No growth Potential"/>
    <s v="Ban Roamer"/>
    <x v="7"/>
    <x v="9"/>
    <n v="177791"/>
    <s v="23-05-2022"/>
    <n v="0"/>
    <d v="2022-02-06T00:00:00"/>
    <x v="0"/>
    <m/>
    <m/>
    <m/>
  </r>
  <r>
    <s v="G DATA CyberDefense AG"/>
    <s v="Active Customer"/>
    <s v="Medium Growth"/>
    <s v="Ban Roamer"/>
    <x v="7"/>
    <x v="376"/>
    <n v="301094"/>
    <d v="2022-08-10T00:00:00"/>
    <n v="150547"/>
    <s v="17-11-2022"/>
    <x v="1"/>
    <m/>
    <m/>
    <m/>
  </r>
  <r>
    <s v="KSB SE &amp; Co. KGaA"/>
    <s v="Active Customer"/>
    <s v="Medium Growth"/>
    <s v="Ban Roamer"/>
    <x v="7"/>
    <x v="377"/>
    <n v="217224"/>
    <s v="13-04-2023"/>
    <n v="108612"/>
    <s v="23-04-2023"/>
    <x v="9"/>
    <m/>
    <m/>
    <m/>
  </r>
  <r>
    <s v="Komax AG"/>
    <s v="Not a Customer"/>
    <s v="No growth Potential"/>
    <s v="Ban Roamer"/>
    <x v="10"/>
    <x v="378"/>
    <n v="434352"/>
    <s v="13-03-2022"/>
    <n v="0"/>
    <d v="2022-02-04T00:00:00"/>
    <x v="0"/>
    <m/>
    <m/>
    <m/>
  </r>
  <r>
    <s v="Harro Höfliger Verpackungsmaschinen GmbH"/>
    <s v="Not a Customer"/>
    <s v="No growth Potential"/>
    <s v="Ban Roamer"/>
    <x v="7"/>
    <x v="379"/>
    <n v="373568"/>
    <s v="14-12-2021"/>
    <n v="0"/>
    <d v="2022-02-02T00:00:00"/>
    <x v="0"/>
    <m/>
    <m/>
    <m/>
  </r>
  <r>
    <s v="University of Lausanne"/>
    <s v="Not a Customer"/>
    <s v="No growth Potential"/>
    <s v="Ban Roamer"/>
    <x v="10"/>
    <x v="9"/>
    <n v="429547"/>
    <d v="2023-01-02T00:00:00"/>
    <n v="0"/>
    <d v="2023-02-04T00:00:00"/>
    <x v="2"/>
    <m/>
    <m/>
    <m/>
  </r>
  <r>
    <s v="Dehn &amp; Sãohne Gmbh &amp; Co.Kg."/>
    <s v="Not a Customer"/>
    <s v="No growth Potential"/>
    <s v="Ban Roamer"/>
    <x v="7"/>
    <x v="380"/>
    <n v="123309"/>
    <s v="24-08-2022"/>
    <n v="0"/>
    <d v="2022-02-11T00:00:00"/>
    <x v="0"/>
    <m/>
    <m/>
    <m/>
  </r>
  <r>
    <s v="Snipes SE"/>
    <s v="Not a Customer"/>
    <s v="No growth Potential"/>
    <s v="Ban Roamer"/>
    <x v="7"/>
    <x v="223"/>
    <n v="105623"/>
    <s v="23-09-2022"/>
    <n v="0"/>
    <d v="2022-02-11T00:00:00"/>
    <x v="0"/>
    <m/>
    <m/>
    <m/>
  </r>
  <r>
    <s v="Fraport AG"/>
    <s v="Active Customer"/>
    <s v="Medium Growth"/>
    <s v="Ban Roamer"/>
    <x v="7"/>
    <x v="381"/>
    <n v="91198"/>
    <d v="2022-10-01T00:00:00"/>
    <n v="45599"/>
    <d v="2022-11-03T00:00:00"/>
    <x v="1"/>
    <m/>
    <m/>
    <m/>
  </r>
  <r>
    <s v="Kinopolis Management Multiplex GmbH"/>
    <s v="Not a Customer"/>
    <s v="No growth Potential"/>
    <s v="Ban Roamer"/>
    <x v="7"/>
    <x v="382"/>
    <n v="104884"/>
    <d v="2022-03-10T00:00:00"/>
    <n v="0"/>
    <d v="2022-02-12T00:00:00"/>
    <x v="0"/>
    <m/>
    <m/>
    <m/>
  </r>
  <r>
    <s v="AHT Fashion GmbH"/>
    <s v="Not a Customer"/>
    <s v="No growth Potential"/>
    <s v="Ban Roamer"/>
    <x v="7"/>
    <x v="383"/>
    <n v="136958"/>
    <d v="2022-03-04T00:00:00"/>
    <n v="0"/>
    <d v="2022-02-06T00:00:00"/>
    <x v="0"/>
    <m/>
    <m/>
    <m/>
  </r>
  <r>
    <s v="Fleurop AG"/>
    <s v="Not a Customer"/>
    <s v="No growth Potential"/>
    <s v="Ban Roamer"/>
    <x v="7"/>
    <x v="204"/>
    <n v="311132"/>
    <s v="23-10-2022"/>
    <n v="0"/>
    <d v="2022-02-11T00:00:00"/>
    <x v="0"/>
    <m/>
    <m/>
    <m/>
  </r>
  <r>
    <s v="FernUniversität in Hagen"/>
    <s v="Not a Customer"/>
    <s v="No growth Potential"/>
    <s v="Ban Roamer"/>
    <x v="7"/>
    <x v="384"/>
    <n v="88044"/>
    <s v="22-09-2021"/>
    <n v="0"/>
    <d v="2021-02-10T00:00:00"/>
    <x v="5"/>
    <m/>
    <m/>
    <m/>
  </r>
  <r>
    <s v="Wien Energie GmbH"/>
    <s v="Not a Customer"/>
    <s v="No growth Potential"/>
    <s v="Ban Roamer"/>
    <x v="9"/>
    <x v="330"/>
    <n v="56404"/>
    <s v="24-08-2022"/>
    <n v="0"/>
    <d v="2022-02-11T00:00:00"/>
    <x v="0"/>
    <m/>
    <m/>
    <m/>
  </r>
  <r>
    <s v="mobile.de GmbH"/>
    <s v="Active Customer"/>
    <s v="Medium Growth"/>
    <s v="Ban Roamer"/>
    <x v="7"/>
    <x v="385"/>
    <n v="98846"/>
    <d v="2022-11-10T00:00:00"/>
    <n v="24712"/>
    <s v="20-11-2022"/>
    <x v="1"/>
    <m/>
    <m/>
    <m/>
  </r>
  <r>
    <s v="SOS Doctors Geneva"/>
    <s v="Not a Customer"/>
    <s v="No growth Potential"/>
    <s v="Ban Roamer"/>
    <x v="10"/>
    <x v="9"/>
    <m/>
    <d v="2023-03-05T00:00:00"/>
    <n v="0"/>
    <d v="2023-02-06T00:00:00"/>
    <x v="2"/>
    <m/>
    <m/>
    <m/>
  </r>
  <r>
    <s v="Verpackung24 GmbH"/>
    <s v="Not a Customer"/>
    <s v="No growth Potential"/>
    <s v="Ban Roamer"/>
    <x v="7"/>
    <x v="386"/>
    <n v="57250"/>
    <s v="23-03-2022"/>
    <n v="0"/>
    <d v="2022-02-05T00:00:00"/>
    <x v="0"/>
    <m/>
    <m/>
    <m/>
  </r>
  <r>
    <s v="GC Großhandels Contor GmbH"/>
    <s v="Not a Customer"/>
    <s v="No growth Potential"/>
    <s v="Ban Roamer"/>
    <x v="7"/>
    <x v="387"/>
    <n v="107349"/>
    <d v="2022-03-08T00:00:00"/>
    <n v="0"/>
    <d v="2022-02-09T00:00:00"/>
    <x v="0"/>
    <m/>
    <m/>
    <m/>
  </r>
  <r>
    <s v="Marabu GmbH &amp; Co. KG"/>
    <s v="Not a Customer"/>
    <s v="No growth Potential"/>
    <s v="Ban Roamer"/>
    <x v="7"/>
    <x v="388"/>
    <n v="89785"/>
    <s v="13-01-2022"/>
    <n v="0"/>
    <d v="2022-02-02T00:00:00"/>
    <x v="0"/>
    <m/>
    <m/>
    <m/>
  </r>
  <r>
    <s v="Aktiv-Schuh Handelsgesellschaft mbH"/>
    <s v="Not a Customer"/>
    <s v="No growth Potential"/>
    <s v="Ban Roamer"/>
    <x v="7"/>
    <x v="204"/>
    <n v="315752"/>
    <s v="23-01-2023"/>
    <n v="0"/>
    <d v="2023-02-02T00:00:00"/>
    <x v="2"/>
    <m/>
    <m/>
    <m/>
  </r>
  <r>
    <s v="ÖBB-Business Competence Center GmbH"/>
    <s v="Not a Customer"/>
    <s v="No growth Potential"/>
    <s v="Ban Roamer"/>
    <x v="9"/>
    <x v="330"/>
    <n v="197463"/>
    <s v="23-09-2022"/>
    <n v="0"/>
    <d v="2022-02-11T00:00:00"/>
    <x v="0"/>
    <m/>
    <m/>
    <m/>
  </r>
  <r>
    <s v="University of Basel"/>
    <s v="Not a Customer"/>
    <s v="No growth Potential"/>
    <s v="Ban Roamer"/>
    <x v="10"/>
    <x v="9"/>
    <n v="97713"/>
    <d v="2023-01-02T00:00:00"/>
    <n v="0"/>
    <d v="2023-02-04T00:00:00"/>
    <x v="2"/>
    <m/>
    <m/>
    <m/>
  </r>
  <r>
    <s v="Hans Kupfer &amp; Sohn Gmbh &amp; Co. Kg"/>
    <s v="Not a Customer"/>
    <s v="No growth Potential"/>
    <s v="Ban Roamer"/>
    <x v="7"/>
    <x v="389"/>
    <n v="217224"/>
    <d v="2022-03-01T00:00:00"/>
    <n v="0"/>
    <d v="2022-02-02T00:00:00"/>
    <x v="0"/>
    <m/>
    <m/>
    <m/>
  </r>
  <r>
    <s v="Energie AG Oberösterreich"/>
    <s v="Not a Customer"/>
    <s v="No growth Potential"/>
    <s v="Ban Roamer"/>
    <x v="9"/>
    <x v="200"/>
    <n v="335001"/>
    <s v="23-09-2022"/>
    <n v="0"/>
    <d v="2022-02-11T00:00:00"/>
    <x v="0"/>
    <m/>
    <m/>
    <m/>
  </r>
  <r>
    <s v="Landeshauptstadt Wiesbaden"/>
    <s v="Not a Customer"/>
    <s v="No growth Potential"/>
    <s v="Ban Roamer"/>
    <x v="7"/>
    <x v="199"/>
    <n v="141785"/>
    <s v="24-11-2021"/>
    <n v="0"/>
    <d v="2022-02-02T00:00:00"/>
    <x v="0"/>
    <m/>
    <m/>
    <m/>
  </r>
  <r>
    <s v="ZGONC Handel GmbH"/>
    <s v="Not a Customer"/>
    <s v="No growth Potential"/>
    <s v="Ban Roamer"/>
    <x v="9"/>
    <x v="330"/>
    <n v="29747"/>
    <s v="13-07-2022"/>
    <n v="0"/>
    <d v="2022-02-08T00:00:00"/>
    <x v="0"/>
    <m/>
    <m/>
    <m/>
  </r>
  <r>
    <s v="STEAG GmbH"/>
    <s v="Not a Customer"/>
    <s v="No growth Potential"/>
    <s v="Ban Roamer"/>
    <x v="7"/>
    <x v="362"/>
    <n v="83497"/>
    <s v="13-10-2022"/>
    <n v="0"/>
    <d v="2022-02-11T00:00:00"/>
    <x v="0"/>
    <m/>
    <m/>
    <m/>
  </r>
  <r>
    <s v="Hewlett Packard (Schweiz) GmbH"/>
    <s v="Not a Customer"/>
    <s v="No growth Potential"/>
    <s v="Ban Roamer"/>
    <x v="10"/>
    <x v="390"/>
    <m/>
    <d v="2022-02-09T00:00:00"/>
    <n v="0"/>
    <d v="2022-02-10T00:00:00"/>
    <x v="0"/>
    <m/>
    <m/>
    <m/>
  </r>
  <r>
    <s v="Ampegon"/>
    <s v="Not a Customer"/>
    <s v="No growth Potential"/>
    <s v="Ban Roamer"/>
    <x v="10"/>
    <x v="9"/>
    <n v="69934"/>
    <s v="24-08-2022"/>
    <n v="0"/>
    <d v="2022-02-11T00:00:00"/>
    <x v="0"/>
    <m/>
    <m/>
    <m/>
  </r>
  <r>
    <s v="Vector Informatik GmbH"/>
    <s v="Active Customer"/>
    <s v="Medium Growth"/>
    <s v="Ban Roamer"/>
    <x v="7"/>
    <x v="241"/>
    <n v="202550"/>
    <s v="27-11-2022"/>
    <n v="25319"/>
    <d v="2023-05-02T00:00:00"/>
    <x v="9"/>
    <m/>
    <m/>
    <m/>
  </r>
  <r>
    <s v="huelsta-werke Huels GmbH &amp; Co. KG"/>
    <s v="Not a Customer"/>
    <s v="No growth Potential"/>
    <s v="Ban Roamer"/>
    <x v="7"/>
    <x v="391"/>
    <n v="30746"/>
    <d v="2022-02-06T00:00:00"/>
    <n v="0"/>
    <d v="2022-02-07T00:00:00"/>
    <x v="0"/>
    <m/>
    <m/>
    <m/>
  </r>
  <r>
    <s v="Bedag Informatik AG"/>
    <s v="Not a Customer"/>
    <s v="No growth Potential"/>
    <s v="Ban Roamer"/>
    <x v="10"/>
    <x v="359"/>
    <n v="87557"/>
    <d v="2022-03-03T00:00:00"/>
    <n v="0"/>
    <d v="2022-02-04T00:00:00"/>
    <x v="0"/>
    <m/>
    <m/>
    <m/>
  </r>
  <r>
    <s v="FH JOANNEUM Graz"/>
    <s v="Not a Customer"/>
    <s v="No growth Potential"/>
    <s v="Ban Roamer"/>
    <x v="9"/>
    <x v="333"/>
    <n v="396756"/>
    <s v="20-02-2023"/>
    <n v="0"/>
    <d v="2023-02-03T00:00:00"/>
    <x v="2"/>
    <m/>
    <m/>
    <m/>
  </r>
  <r>
    <s v="Jenoptik AG"/>
    <s v="Not a Customer"/>
    <s v="No growth Potential"/>
    <s v="Ban Roamer"/>
    <x v="7"/>
    <x v="392"/>
    <m/>
    <s v="21-10-2022"/>
    <n v="0"/>
    <s v="20-11-2022"/>
    <x v="1"/>
    <m/>
    <m/>
    <m/>
  </r>
  <r>
    <s v="Keller Sports GmbH"/>
    <s v="Not a Customer"/>
    <s v="No growth Potential"/>
    <s v="Ban Roamer"/>
    <x v="7"/>
    <x v="220"/>
    <n v="91174"/>
    <s v="13-09-2022"/>
    <n v="0"/>
    <d v="2022-02-11T00:00:00"/>
    <x v="0"/>
    <m/>
    <m/>
    <m/>
  </r>
  <r>
    <s v="Lensspirit GmbH"/>
    <s v="Not a Customer"/>
    <s v="No growth Potential"/>
    <s v="Ban Roamer"/>
    <x v="7"/>
    <x v="393"/>
    <n v="120138"/>
    <s v="13-10-2022"/>
    <n v="0"/>
    <d v="2022-02-11T00:00:00"/>
    <x v="0"/>
    <m/>
    <m/>
    <m/>
  </r>
  <r>
    <s v="Carl Zeiss Jena GmbH"/>
    <s v="Active Customer"/>
    <s v="No growth Potential"/>
    <s v="Ban Roamer"/>
    <x v="7"/>
    <x v="392"/>
    <n v="70066"/>
    <d v="2022-04-02T00:00:00"/>
    <n v="8758"/>
    <s v="14-02-2022"/>
    <x v="0"/>
    <m/>
    <m/>
    <m/>
  </r>
  <r>
    <s v="Versandhaus Walz GmbH"/>
    <s v="Active Customer"/>
    <s v="High Growth potential"/>
    <s v="Ban Roamer"/>
    <x v="7"/>
    <x v="394"/>
    <n v="104067"/>
    <d v="2022-04-04T00:00:00"/>
    <n v="52034"/>
    <s v="14-05-2022"/>
    <x v="4"/>
    <m/>
    <m/>
    <m/>
  </r>
  <r>
    <s v="FraSec Fraport Security Services GmbH"/>
    <s v="Not a Customer"/>
    <s v="No growth Potential"/>
    <s v="Ban Roamer"/>
    <x v="7"/>
    <x v="381"/>
    <n v="68829"/>
    <s v="31-01-2022"/>
    <n v="0"/>
    <d v="2022-02-03T00:00:00"/>
    <x v="0"/>
    <m/>
    <m/>
    <m/>
  </r>
  <r>
    <s v="HelmholtzZentrum munchen"/>
    <s v="Not a Customer"/>
    <s v="No growth Potential"/>
    <s v="Ban Roamer"/>
    <x v="7"/>
    <x v="395"/>
    <n v="164828"/>
    <d v="2022-03-09T00:00:00"/>
    <n v="0"/>
    <d v="2022-02-11T00:00:00"/>
    <x v="0"/>
    <m/>
    <m/>
    <m/>
  </r>
  <r>
    <s v="Kempinski AG"/>
    <s v="Not a Customer"/>
    <s v="No growth Potential"/>
    <s v="Ban Roamer"/>
    <x v="7"/>
    <x v="220"/>
    <n v="110003"/>
    <d v="2022-03-10T00:00:00"/>
    <n v="0"/>
    <d v="2022-02-11T00:00:00"/>
    <x v="0"/>
    <m/>
    <m/>
    <m/>
  </r>
  <r>
    <s v="Communicate IT Services SA"/>
    <s v="Not a Customer"/>
    <s v="No growth Potential"/>
    <s v="Ban Roamer"/>
    <x v="10"/>
    <x v="9"/>
    <n v="117618"/>
    <s v="13-08-2022"/>
    <n v="0"/>
    <d v="2022-02-09T00:00:00"/>
    <x v="0"/>
    <m/>
    <m/>
    <m/>
  </r>
  <r>
    <s v="H. Kemper GmbH &amp; Co. KG"/>
    <s v="Not a Customer"/>
    <s v="No growth Potential"/>
    <s v="Ban Roamer"/>
    <x v="7"/>
    <x v="396"/>
    <n v="185364"/>
    <s v="13-09-2022"/>
    <n v="0"/>
    <d v="2022-02-11T00:00:00"/>
    <x v="0"/>
    <m/>
    <m/>
    <m/>
  </r>
  <r>
    <s v="Chrono24 GmbH"/>
    <s v="Active Customer"/>
    <s v="High Growth potential"/>
    <s v="Ban Roamer"/>
    <x v="7"/>
    <x v="350"/>
    <n v="185510"/>
    <d v="2022-09-10T00:00:00"/>
    <n v="92755"/>
    <d v="2022-08-11T00:00:00"/>
    <x v="3"/>
    <m/>
    <m/>
    <m/>
  </r>
  <r>
    <s v="Zenhomes GmbH"/>
    <s v="Not a Customer"/>
    <s v="No growth Potential"/>
    <s v="Ban Roamer"/>
    <x v="7"/>
    <x v="204"/>
    <n v="80098"/>
    <s v="13-09-2022"/>
    <n v="0"/>
    <d v="2022-02-11T00:00:00"/>
    <x v="0"/>
    <m/>
    <m/>
    <m/>
  </r>
  <r>
    <s v="University of Munich"/>
    <s v="Not a Customer"/>
    <s v="No growth Potential"/>
    <s v="Ban Roamer"/>
    <x v="7"/>
    <x v="193"/>
    <n v="242686"/>
    <s v="13-09-2022"/>
    <n v="0"/>
    <d v="2022-02-11T00:00:00"/>
    <x v="0"/>
    <m/>
    <m/>
    <m/>
  </r>
  <r>
    <s v="AirTies Austria"/>
    <s v="Not a Customer"/>
    <s v="No growth Potential"/>
    <s v="Ban Roamer"/>
    <x v="9"/>
    <x v="9"/>
    <n v="270276"/>
    <d v="2023-11-01T00:00:00"/>
    <n v="0"/>
    <d v="2023-02-03T00:00:00"/>
    <x v="2"/>
    <m/>
    <m/>
    <m/>
  </r>
  <r>
    <s v="DianaKlinik"/>
    <s v="Not a Customer"/>
    <s v="No growth Potential"/>
    <s v="Ban Roamer"/>
    <x v="7"/>
    <x v="397"/>
    <n v="96601"/>
    <d v="2022-10-02T00:00:00"/>
    <n v="0"/>
    <d v="2022-02-03T00:00:00"/>
    <x v="0"/>
    <m/>
    <m/>
    <m/>
  </r>
  <r>
    <s v="Infosys Consulting GmbH"/>
    <s v="Not a Customer"/>
    <s v="No growth Potential"/>
    <s v="Ban Roamer"/>
    <x v="7"/>
    <x v="398"/>
    <n v="57602"/>
    <d v="2022-03-09T00:00:00"/>
    <n v="0"/>
    <d v="2022-02-11T00:00:00"/>
    <x v="0"/>
    <m/>
    <m/>
    <m/>
  </r>
  <r>
    <s v="UDG Cross GmbH"/>
    <s v="Not a Customer"/>
    <s v="No growth Potential"/>
    <s v="Ban Roamer"/>
    <x v="7"/>
    <x v="399"/>
    <n v="109436"/>
    <s v="24-08-2022"/>
    <n v="0"/>
    <d v="2022-02-11T00:00:00"/>
    <x v="0"/>
    <m/>
    <m/>
    <m/>
  </r>
  <r>
    <s v="Justus-Liebig-Universität Gießen"/>
    <s v="Not a Customer"/>
    <s v="No growth Potential"/>
    <s v="Ban Roamer"/>
    <x v="7"/>
    <x v="400"/>
    <n v="98301"/>
    <d v="2022-03-10T00:00:00"/>
    <n v="0"/>
    <d v="2022-02-11T00:00:00"/>
    <x v="0"/>
    <m/>
    <m/>
    <m/>
  </r>
  <r>
    <s v="DERTICKETSERVICE.DE GmbH &amp; Co. KG"/>
    <s v="Not a Customer"/>
    <s v="No growth Potential"/>
    <s v="Ban Roamer"/>
    <x v="7"/>
    <x v="223"/>
    <m/>
    <d v="2022-03-09T00:00:00"/>
    <n v="0"/>
    <d v="2022-02-11T00:00:00"/>
    <x v="0"/>
    <m/>
    <m/>
    <m/>
  </r>
  <r>
    <s v="Liesegang &amp; Partner mbB"/>
    <s v="Not a Customer"/>
    <s v="No growth Potential"/>
    <s v="Ban Roamer"/>
    <x v="7"/>
    <x v="401"/>
    <n v="373025"/>
    <s v="13-05-2022"/>
    <n v="0"/>
    <d v="2022-02-07T00:00:00"/>
    <x v="0"/>
    <m/>
    <m/>
    <m/>
  </r>
  <r>
    <s v="Kolding Municipality"/>
    <s v="Not a Customer"/>
    <s v="No growth Potential"/>
    <s v="Ban Roamer"/>
    <x v="13"/>
    <x v="402"/>
    <n v="89785"/>
    <d v="2023-11-02T00:00:00"/>
    <n v="0"/>
    <d v="2023-02-04T00:00:00"/>
    <x v="2"/>
    <m/>
    <m/>
    <m/>
  </r>
  <r>
    <s v="Idiap Research Institute"/>
    <s v="Not a Customer"/>
    <s v="No growth Potential"/>
    <s v="Ban Roamer"/>
    <x v="10"/>
    <x v="403"/>
    <n v="114534"/>
    <d v="2022-11-02T00:00:00"/>
    <n v="0"/>
    <d v="2022-02-04T00:00:00"/>
    <x v="0"/>
    <m/>
    <m/>
    <m/>
  </r>
  <r>
    <s v="GINA LAURA GmbH &amp; Co. KG"/>
    <s v="Active Customer"/>
    <s v="High Growth potential"/>
    <s v="Ban Roamer"/>
    <x v="7"/>
    <x v="9"/>
    <n v="128469"/>
    <s v="21-10-2022"/>
    <n v="64234"/>
    <s v="20-11-2022"/>
    <x v="1"/>
    <m/>
    <m/>
    <m/>
  </r>
  <r>
    <s v="Daimani AG"/>
    <s v="Not a Customer"/>
    <s v="No growth Potential"/>
    <s v="Ban Roamer"/>
    <x v="10"/>
    <x v="404"/>
    <n v="290547"/>
    <s v="24-12-2021"/>
    <n v="0"/>
    <d v="2022-02-02T00:00:00"/>
    <x v="0"/>
    <m/>
    <m/>
    <m/>
  </r>
  <r>
    <s v="GLOCK Ges.m.b.H."/>
    <s v="Not a Customer"/>
    <s v="No growth Potential"/>
    <s v="Ban Roamer"/>
    <x v="9"/>
    <x v="405"/>
    <n v="365681"/>
    <s v="24-08-2022"/>
    <n v="0"/>
    <d v="2022-02-11T00:00:00"/>
    <x v="0"/>
    <m/>
    <m/>
    <m/>
  </r>
  <r>
    <s v="REHAU AG Co"/>
    <s v="Active Customer"/>
    <s v="Medium Growth"/>
    <s v="Ban Roamer"/>
    <x v="7"/>
    <x v="406"/>
    <n v="85140"/>
    <s v="31-10-2022"/>
    <n v="42570"/>
    <s v="20-11-2022"/>
    <x v="1"/>
    <m/>
    <m/>
    <m/>
  </r>
  <r>
    <s v="Viessmann Werke GmbH &amp; Co KG"/>
    <s v="Not a Customer"/>
    <s v="No growth Potential"/>
    <s v="Ban Roamer"/>
    <x v="7"/>
    <x v="328"/>
    <n v="220731"/>
    <s v="13-05-2022"/>
    <n v="0"/>
    <d v="2022-02-07T00:00:00"/>
    <x v="0"/>
    <m/>
    <m/>
    <m/>
  </r>
  <r>
    <s v="University of Fribourg"/>
    <s v="Not a Customer"/>
    <s v="No growth Potential"/>
    <s v="Ban Roamer"/>
    <x v="10"/>
    <x v="407"/>
    <n v="115047"/>
    <s v="24-08-2022"/>
    <n v="0"/>
    <d v="2022-02-11T00:00:00"/>
    <x v="0"/>
    <m/>
    <m/>
    <m/>
  </r>
  <r>
    <s v="REALTECH AG"/>
    <s v="Not a Customer"/>
    <s v="No growth Potential"/>
    <s v="Ban Roamer"/>
    <x v="7"/>
    <x v="408"/>
    <n v="121681"/>
    <d v="2022-03-09T00:00:00"/>
    <n v="0"/>
    <d v="2022-02-11T00:00:00"/>
    <x v="0"/>
    <m/>
    <m/>
    <m/>
  </r>
  <r>
    <s v="Cinram GmbH"/>
    <s v="Not a Customer"/>
    <s v="No growth Potential"/>
    <s v="Ban Roamer"/>
    <x v="7"/>
    <x v="409"/>
    <n v="181209"/>
    <s v="22-04-2022"/>
    <n v="0"/>
    <d v="2022-02-05T00:00:00"/>
    <x v="0"/>
    <m/>
    <m/>
    <m/>
  </r>
  <r>
    <s v="swisspro AG"/>
    <s v="Not a Customer"/>
    <s v="No growth Potential"/>
    <s v="Ban Roamer"/>
    <x v="10"/>
    <x v="234"/>
    <n v="94757"/>
    <d v="2022-03-09T00:00:00"/>
    <n v="0"/>
    <d v="2022-02-11T00:00:00"/>
    <x v="0"/>
    <m/>
    <m/>
    <m/>
  </r>
  <r>
    <s v="KIDOH in der Verlagsgruppe Weltbild GmbH - kidoh.de"/>
    <s v="Not a Customer"/>
    <s v="No growth Potential"/>
    <s v="Ban Roamer"/>
    <x v="7"/>
    <x v="410"/>
    <n v="138924"/>
    <d v="2023-03-04T00:00:00"/>
    <n v="0"/>
    <d v="2023-02-06T00:00:00"/>
    <x v="2"/>
    <m/>
    <m/>
    <m/>
  </r>
  <r>
    <s v="Gries Deco Company GmbH"/>
    <s v="Not a Customer"/>
    <s v="No growth Potential"/>
    <s v="Ban Roamer"/>
    <x v="7"/>
    <x v="411"/>
    <n v="141274"/>
    <d v="2023-03-03T00:00:00"/>
    <n v="0"/>
    <d v="2023-02-04T00:00:00"/>
    <x v="2"/>
    <m/>
    <m/>
    <m/>
  </r>
  <r>
    <s v="noline.ch GmbH"/>
    <s v="Not a Customer"/>
    <s v="No growth Potential"/>
    <s v="Ban Roamer"/>
    <x v="10"/>
    <x v="412"/>
    <n v="149252"/>
    <s v="23-10-2022"/>
    <n v="0"/>
    <d v="2022-02-11T00:00:00"/>
    <x v="0"/>
    <m/>
    <m/>
    <m/>
  </r>
  <r>
    <s v="Deutsche Reiterliche Vereinigung e.V."/>
    <s v="Not a Customer"/>
    <s v="No growth Potential"/>
    <s v="Ban Roamer"/>
    <x v="7"/>
    <x v="413"/>
    <m/>
    <d v="2022-03-10T00:00:00"/>
    <n v="0"/>
    <d v="2022-02-11T00:00:00"/>
    <x v="0"/>
    <m/>
    <m/>
    <m/>
  </r>
  <r>
    <s v="Van Doorn &amp; Becker KG"/>
    <s v="Not a Customer"/>
    <s v="No growth Potential"/>
    <s v="Ban Roamer"/>
    <x v="7"/>
    <x v="414"/>
    <n v="457075"/>
    <s v="13-01-2022"/>
    <n v="0"/>
    <d v="2022-02-02T00:00:00"/>
    <x v="0"/>
    <m/>
    <m/>
    <m/>
  </r>
  <r>
    <s v="JAKO-O GmbH"/>
    <s v="Not a Customer"/>
    <s v="No growth Potential"/>
    <s v="Ban Roamer"/>
    <x v="7"/>
    <x v="375"/>
    <n v="115084"/>
    <d v="2022-03-10T00:00:00"/>
    <n v="0"/>
    <d v="2022-02-11T00:00:00"/>
    <x v="0"/>
    <m/>
    <m/>
    <m/>
  </r>
  <r>
    <s v="Bulthaup GmbH &amp; Co. KG"/>
    <s v="Not a Customer"/>
    <s v="No growth Potential"/>
    <s v="Ban Roamer"/>
    <x v="7"/>
    <x v="415"/>
    <n v="311196"/>
    <s v="23-04-2022"/>
    <n v="0"/>
    <d v="2022-02-06T00:00:00"/>
    <x v="0"/>
    <m/>
    <m/>
    <m/>
  </r>
  <r>
    <s v="HSL Informatik AG"/>
    <s v="Not a Customer"/>
    <s v="No growth Potential"/>
    <s v="Ban Roamer"/>
    <x v="14"/>
    <x v="416"/>
    <n v="237786"/>
    <s v="23-10-2022"/>
    <n v="0"/>
    <d v="2022-02-11T00:00:00"/>
    <x v="0"/>
    <m/>
    <m/>
    <m/>
  </r>
  <r>
    <s v="Ibbenburen"/>
    <s v="Not a Customer"/>
    <s v="No growth Potential"/>
    <s v="Ban Roamer"/>
    <x v="7"/>
    <x v="417"/>
    <n v="100561"/>
    <s v="23-10-2022"/>
    <n v="0"/>
    <d v="2022-02-11T00:00:00"/>
    <x v="0"/>
    <m/>
    <m/>
    <m/>
  </r>
  <r>
    <s v="Leder &amp; Schuh AG"/>
    <s v="Not a Customer"/>
    <s v="No growth Potential"/>
    <s v="Ban Roamer"/>
    <x v="9"/>
    <x v="333"/>
    <n v="118571"/>
    <d v="2022-03-09T00:00:00"/>
    <n v="0"/>
    <d v="2022-02-11T00:00:00"/>
    <x v="0"/>
    <m/>
    <m/>
    <m/>
  </r>
  <r>
    <s v="BORSIG GmbH"/>
    <s v="Not a Customer"/>
    <s v="No growth Potential"/>
    <s v="Ban Roamer"/>
    <x v="7"/>
    <x v="204"/>
    <m/>
    <d v="2022-03-09T00:00:00"/>
    <n v="0"/>
    <d v="2022-02-11T00:00:00"/>
    <x v="0"/>
    <m/>
    <m/>
    <m/>
  </r>
  <r>
    <s v="Happy Size Versand GmbH &amp; Co. KG"/>
    <s v="Not a Customer"/>
    <s v="No growth Potential"/>
    <s v="Ban Roamer"/>
    <x v="7"/>
    <x v="224"/>
    <n v="107100"/>
    <s v="23-01-2022"/>
    <n v="0"/>
    <d v="2022-02-02T00:00:00"/>
    <x v="0"/>
    <m/>
    <m/>
    <m/>
  </r>
  <r>
    <s v="kutscher.TEC GmbH"/>
    <s v="Not a Customer"/>
    <s v="No growth Potential"/>
    <s v="Ban Roamer"/>
    <x v="7"/>
    <x v="418"/>
    <n v="149252"/>
    <s v="23-09-2022"/>
    <n v="0"/>
    <d v="2022-02-11T00:00:00"/>
    <x v="0"/>
    <m/>
    <m/>
    <m/>
  </r>
  <r>
    <s v="AKD Inflatables GmbH"/>
    <s v="Not a Customer"/>
    <s v="No growth Potential"/>
    <s v="Ban Roamer"/>
    <x v="7"/>
    <x v="419"/>
    <n v="141255"/>
    <d v="2022-03-08T00:00:00"/>
    <n v="0"/>
    <d v="2022-02-09T00:00:00"/>
    <x v="0"/>
    <m/>
    <m/>
    <m/>
  </r>
  <r>
    <s v="CKW"/>
    <s v="Not a Customer"/>
    <s v="No growth Potential"/>
    <s v="Ban Roamer"/>
    <x v="10"/>
    <x v="420"/>
    <n v="143553"/>
    <d v="2022-03-10T00:00:00"/>
    <n v="0"/>
    <d v="2022-02-11T00:00:00"/>
    <x v="0"/>
    <m/>
    <m/>
    <m/>
  </r>
  <r>
    <s v="awinta DUMMY ACCOUNT"/>
    <s v="Not a Customer"/>
    <s v="No growth Potential"/>
    <s v="Ban Roamer"/>
    <x v="7"/>
    <x v="9"/>
    <n v="69905"/>
    <s v="23-12-2021"/>
    <n v="0"/>
    <d v="2022-02-01T00:00:00"/>
    <x v="0"/>
    <m/>
    <m/>
    <m/>
  </r>
  <r>
    <s v="University Of Basel"/>
    <s v="Not a Customer"/>
    <s v="No growth Potential"/>
    <s v="Ban Roamer"/>
    <x v="10"/>
    <x v="9"/>
    <n v="98844"/>
    <s v="23-03-2023"/>
    <n v="0"/>
    <d v="2023-02-04T00:00:00"/>
    <x v="2"/>
    <m/>
    <m/>
    <m/>
  </r>
  <r>
    <s v="net.DE AG"/>
    <s v="Not a Customer"/>
    <s v="No growth Potential"/>
    <s v="Ban Roamer"/>
    <x v="7"/>
    <x v="195"/>
    <n v="78985"/>
    <d v="2022-03-09T00:00:00"/>
    <n v="0"/>
    <d v="2022-02-11T00:00:00"/>
    <x v="0"/>
    <m/>
    <m/>
    <m/>
  </r>
  <r>
    <s v="Atos"/>
    <s v="Not a Customer"/>
    <s v="No growth Potential"/>
    <s v="Ban Roamer"/>
    <x v="10"/>
    <x v="9"/>
    <n v="397020"/>
    <s v="13-10-2022"/>
    <n v="0"/>
    <d v="2022-02-11T00:00:00"/>
    <x v="0"/>
    <m/>
    <m/>
    <m/>
  </r>
  <r>
    <s v="BEO GmbH"/>
    <s v="Not a Customer"/>
    <s v="No growth Potential"/>
    <s v="Ban Roamer"/>
    <x v="7"/>
    <x v="421"/>
    <n v="468134"/>
    <s v="24-08-2022"/>
    <n v="0"/>
    <d v="2022-02-11T00:00:00"/>
    <x v="0"/>
    <m/>
    <m/>
    <m/>
  </r>
  <r>
    <s v="MEDION AG"/>
    <s v="Active Customer"/>
    <s v="Medium Growth"/>
    <s v="Ban Roamer"/>
    <x v="7"/>
    <x v="362"/>
    <n v="50290"/>
    <s v="18-09-2022"/>
    <n v="12572"/>
    <s v="17-11-2022"/>
    <x v="1"/>
    <m/>
    <m/>
    <m/>
  </r>
  <r>
    <s v="ehorses GmbH &amp; Co. KG"/>
    <s v="Not a Customer"/>
    <s v="No growth Potential"/>
    <s v="Ban Roamer"/>
    <x v="7"/>
    <x v="422"/>
    <n v="58235"/>
    <s v="23-10-2022"/>
    <n v="0"/>
    <d v="2022-02-11T00:00:00"/>
    <x v="0"/>
    <m/>
    <m/>
    <m/>
  </r>
  <r>
    <s v="artvera GmbH &amp; Co. KG"/>
    <s v="Not a Customer"/>
    <s v="No growth Potential"/>
    <s v="Ban Roamer"/>
    <x v="7"/>
    <x v="204"/>
    <n v="107478"/>
    <s v="24-10-2021"/>
    <n v="0"/>
    <d v="2022-02-01T00:00:00"/>
    <x v="0"/>
    <m/>
    <m/>
    <m/>
  </r>
  <r>
    <s v="Herz-Zentrum Bad Krozingen"/>
    <s v="Not a Customer"/>
    <s v="No growth Potential"/>
    <s v="Ban Roamer"/>
    <x v="7"/>
    <x v="9"/>
    <n v="88249"/>
    <d v="2023-01-01T00:00:00"/>
    <n v="0"/>
    <d v="2023-02-03T00:00:00"/>
    <x v="2"/>
    <m/>
    <m/>
    <m/>
  </r>
  <r>
    <s v="Brauerei C. &amp; A. Veltins GmbH &amp; Co. KG"/>
    <s v="Not a Customer"/>
    <s v="No growth Potential"/>
    <s v="Ban Roamer"/>
    <x v="7"/>
    <x v="423"/>
    <n v="143593"/>
    <s v="31-01-2022"/>
    <n v="0"/>
    <d v="2022-02-03T00:00:00"/>
    <x v="0"/>
    <m/>
    <m/>
    <m/>
  </r>
  <r>
    <s v="Christoph Kroschke GmbH Germany"/>
    <s v="Not a Customer"/>
    <s v="No growth Potential"/>
    <s v="Ban Roamer"/>
    <x v="7"/>
    <x v="424"/>
    <n v="205072"/>
    <d v="2022-03-04T00:00:00"/>
    <n v="0"/>
    <d v="2022-02-06T00:00:00"/>
    <x v="0"/>
    <m/>
    <m/>
    <m/>
  </r>
  <r>
    <s v="Gerhard D. Wempe KG"/>
    <s v="Not a Customer"/>
    <s v="No growth Potential"/>
    <s v="Ban Roamer"/>
    <x v="7"/>
    <x v="227"/>
    <m/>
    <s v="21-02-2022"/>
    <n v="0"/>
    <d v="2022-02-05T00:00:00"/>
    <x v="0"/>
    <m/>
    <m/>
    <m/>
  </r>
  <r>
    <s v="ip.labs GmbH"/>
    <s v="Not a Customer"/>
    <s v="No growth Potential"/>
    <s v="Ban Roamer"/>
    <x v="7"/>
    <x v="9"/>
    <n v="104709"/>
    <s v="13-03-2022"/>
    <n v="0"/>
    <d v="2022-02-05T00:00:00"/>
    <x v="0"/>
    <m/>
    <m/>
    <m/>
  </r>
  <r>
    <s v="Event Hospitality Management Holding GmbH &amp; Co KG"/>
    <s v="Not a Customer"/>
    <s v="No growth Potential"/>
    <s v="Ban Roamer"/>
    <x v="7"/>
    <x v="223"/>
    <n v="228933"/>
    <s v="13-12-2022"/>
    <n v="0"/>
    <d v="2023-02-01T00:00:00"/>
    <x v="2"/>
    <m/>
    <m/>
    <m/>
  </r>
  <r>
    <s v="SSI International GmbH"/>
    <s v="Not a Customer"/>
    <s v="No growth Potential"/>
    <s v="Ban Roamer"/>
    <x v="7"/>
    <x v="425"/>
    <n v="126095"/>
    <d v="2022-03-10T00:00:00"/>
    <n v="0"/>
    <d v="2022-02-11T00:00:00"/>
    <x v="0"/>
    <m/>
    <m/>
    <m/>
  </r>
  <r>
    <s v="A.S. Ceation Tapeten AG"/>
    <s v="Not a Customer"/>
    <s v="No growth Potential"/>
    <s v="Ban Roamer"/>
    <x v="7"/>
    <x v="426"/>
    <n v="86919"/>
    <s v="23-06-2022"/>
    <n v="0"/>
    <d v="2022-02-08T00:00:00"/>
    <x v="0"/>
    <m/>
    <m/>
    <m/>
  </r>
  <r>
    <s v="KW Automotive GmbH"/>
    <s v="Not a Customer"/>
    <s v="No growth Potential"/>
    <s v="Ban Roamer"/>
    <x v="7"/>
    <x v="427"/>
    <n v="290520"/>
    <s v="13-10-2022"/>
    <n v="0"/>
    <d v="2022-02-11T00:00:00"/>
    <x v="0"/>
    <m/>
    <m/>
    <m/>
  </r>
  <r>
    <s v="LÜSCHER informatik"/>
    <s v="Not a Customer"/>
    <s v="No growth Potential"/>
    <s v="Ban Roamer"/>
    <x v="10"/>
    <x v="428"/>
    <n v="143043"/>
    <s v="21-01-2023"/>
    <n v="0"/>
    <d v="2023-02-03T00:00:00"/>
    <x v="2"/>
    <m/>
    <m/>
    <m/>
  </r>
  <r>
    <s v="Berndt GMBH"/>
    <s v="Not a Customer"/>
    <s v="No growth Potential"/>
    <s v="Ban Roamer"/>
    <x v="7"/>
    <x v="429"/>
    <n v="70910"/>
    <d v="2022-03-10T00:00:00"/>
    <n v="0"/>
    <d v="2022-02-11T00:00:00"/>
    <x v="0"/>
    <m/>
    <m/>
    <m/>
  </r>
  <r>
    <s v="Messe Duesseldorf GmbH"/>
    <s v="Active Customer"/>
    <s v="Medium Growth"/>
    <s v="Ban Roamer"/>
    <x v="7"/>
    <x v="430"/>
    <n v="260822"/>
    <s v="22-09-2022"/>
    <n v="130411"/>
    <d v="2022-11-11T00:00:00"/>
    <x v="1"/>
    <m/>
    <m/>
    <m/>
  </r>
  <r>
    <s v="DailyDeal GmbH"/>
    <s v="Not a Customer"/>
    <s v="No growth Potential"/>
    <s v="Ban Roamer"/>
    <x v="7"/>
    <x v="204"/>
    <n v="91171"/>
    <d v="2022-03-01T00:00:00"/>
    <n v="0"/>
    <d v="2022-02-02T00:00:00"/>
    <x v="0"/>
    <m/>
    <m/>
    <m/>
  </r>
  <r>
    <s v="Caritas Trägergesellschaft Saarbrücken mbH (cts)"/>
    <s v="Not a Customer"/>
    <s v="No growth Potential"/>
    <s v="Ban Roamer"/>
    <x v="7"/>
    <x v="431"/>
    <m/>
    <s v="13-01-2022"/>
    <n v="0"/>
    <d v="2022-02-02T00:00:00"/>
    <x v="0"/>
    <m/>
    <m/>
    <m/>
  </r>
  <r>
    <s v="LLOYD Shoes GmbH"/>
    <s v="Not a Customer"/>
    <s v="No growth Potential"/>
    <s v="Ban Roamer"/>
    <x v="7"/>
    <x v="432"/>
    <n v="109947"/>
    <d v="2022-03-10T00:00:00"/>
    <n v="0"/>
    <d v="2022-02-11T00:00:00"/>
    <x v="0"/>
    <m/>
    <m/>
    <m/>
  </r>
  <r>
    <s v="CATALINA DEUTSCHLAND GMBH"/>
    <s v="Not a Customer"/>
    <s v="No growth Potential"/>
    <s v="Ban Roamer"/>
    <x v="7"/>
    <x v="433"/>
    <n v="311129"/>
    <d v="2022-03-10T00:00:00"/>
    <n v="0"/>
    <d v="2022-02-11T00:00:00"/>
    <x v="0"/>
    <m/>
    <m/>
    <m/>
  </r>
  <r>
    <s v="AMAG Group AG"/>
    <s v="Not a Customer"/>
    <s v="No growth Potential"/>
    <s v="Ban Roamer"/>
    <x v="10"/>
    <x v="434"/>
    <n v="90072"/>
    <s v="24-08-2022"/>
    <n v="0"/>
    <d v="2022-02-11T00:00:00"/>
    <x v="0"/>
    <m/>
    <m/>
    <m/>
  </r>
  <r>
    <s v="VNG ? Verbundnetz Gas Aktiengesellschaft"/>
    <s v="Not a Customer"/>
    <s v="No growth Potential"/>
    <s v="Ban Roamer"/>
    <x v="7"/>
    <x v="393"/>
    <n v="33564"/>
    <d v="2021-03-07T00:00:00"/>
    <n v="0"/>
    <d v="2021-01-09T00:00:00"/>
    <x v="5"/>
    <m/>
    <m/>
    <m/>
  </r>
  <r>
    <s v="synalis GmbH &amp; Co. KG"/>
    <s v="Not a Customer"/>
    <s v="No growth Potential"/>
    <s v="Ban Roamer"/>
    <x v="7"/>
    <x v="198"/>
    <n v="115643"/>
    <d v="2022-03-03T00:00:00"/>
    <n v="0"/>
    <d v="2022-02-04T00:00:00"/>
    <x v="0"/>
    <m/>
    <m/>
    <m/>
  </r>
  <r>
    <s v="Questionmark GmbH"/>
    <s v="Not a Customer"/>
    <s v="No growth Potential"/>
    <s v="Ban Roamer"/>
    <x v="7"/>
    <x v="320"/>
    <n v="158341"/>
    <d v="2022-03-08T00:00:00"/>
    <n v="0"/>
    <d v="2022-02-10T00:00:00"/>
    <x v="0"/>
    <m/>
    <m/>
    <m/>
  </r>
  <r>
    <s v="Brent Dorsch"/>
    <s v="Not a Customer"/>
    <s v="No growth Potential"/>
    <s v="Ban Roamer"/>
    <x v="11"/>
    <x v="435"/>
    <n v="160759"/>
    <s v="24-08-2022"/>
    <n v="0"/>
    <d v="2022-02-11T00:00:00"/>
    <x v="0"/>
    <m/>
    <m/>
    <m/>
  </r>
  <r>
    <s v="Compass Group Deutschland GmbH"/>
    <s v="Not a Customer"/>
    <s v="No growth Potential"/>
    <s v="Ban Roamer"/>
    <x v="7"/>
    <x v="436"/>
    <n v="178915"/>
    <d v="2022-02-04T00:00:00"/>
    <n v="0"/>
    <d v="2022-02-05T00:00:00"/>
    <x v="0"/>
    <m/>
    <m/>
    <m/>
  </r>
  <r>
    <s v="Thalia Holding GmbH / Standort Muenster"/>
    <s v="Active Customer"/>
    <s v="Medium Growth"/>
    <s v="Ban Roamer"/>
    <x v="7"/>
    <x v="437"/>
    <n v="209815"/>
    <d v="2022-11-02T00:00:00"/>
    <n v="41963"/>
    <s v="23-03-2022"/>
    <x v="0"/>
    <m/>
    <m/>
    <m/>
  </r>
  <r>
    <s v="Secretariat of the Basel Rotterdam and Stockholm Conventions"/>
    <s v="Not a Customer"/>
    <s v="No growth Potential"/>
    <s v="Ban Roamer"/>
    <x v="10"/>
    <x v="438"/>
    <n v="52824"/>
    <s v="23-05-2022"/>
    <n v="0"/>
    <d v="2022-02-07T00:00:00"/>
    <x v="0"/>
    <m/>
    <m/>
    <m/>
  </r>
  <r>
    <s v="Inselspital Universitätsspital Bern"/>
    <s v="Not a Customer"/>
    <s v="No growth Potential"/>
    <s v="Ban Roamer"/>
    <x v="10"/>
    <x v="359"/>
    <n v="117495"/>
    <s v="22-09-2022"/>
    <n v="0"/>
    <d v="2022-02-10T00:00:00"/>
    <x v="0"/>
    <m/>
    <m/>
    <m/>
  </r>
  <r>
    <s v="Humbaur GmbH"/>
    <s v="Not a Customer"/>
    <s v="No growth Potential"/>
    <s v="Ban Roamer"/>
    <x v="7"/>
    <x v="439"/>
    <n v="88044"/>
    <s v="13-03-2022"/>
    <n v="0"/>
    <d v="2022-02-05T00:00:00"/>
    <x v="0"/>
    <m/>
    <m/>
    <m/>
  </r>
  <r>
    <s v="eprimo GmbH"/>
    <s v="Not a Customer"/>
    <s v="No growth Potential"/>
    <s v="Ban Roamer"/>
    <x v="7"/>
    <x v="440"/>
    <n v="33496"/>
    <s v="13-09-2022"/>
    <n v="0"/>
    <d v="2022-02-11T00:00:00"/>
    <x v="0"/>
    <m/>
    <m/>
    <m/>
  </r>
  <r>
    <s v="KÖNIG GmbH &amp; Co KG"/>
    <s v="Not a Customer"/>
    <s v="No growth Potential"/>
    <s v="Ban Roamer"/>
    <x v="7"/>
    <x v="441"/>
    <n v="74048"/>
    <s v="23-09-2022"/>
    <n v="0"/>
    <d v="2022-02-11T00:00:00"/>
    <x v="0"/>
    <m/>
    <m/>
    <m/>
  </r>
  <r>
    <s v="TUI Cruises GmbH"/>
    <s v="Not a Customer"/>
    <s v="No growth Potential"/>
    <s v="Ban Roamer"/>
    <x v="7"/>
    <x v="227"/>
    <n v="177894"/>
    <s v="24-08-2022"/>
    <n v="0"/>
    <d v="2022-02-11T00:00:00"/>
    <x v="0"/>
    <m/>
    <m/>
    <m/>
  </r>
  <r>
    <s v="Dialog Semiconductor GmbH"/>
    <s v="Active Customer"/>
    <s v="Medium Growth"/>
    <s v="Ban Roamer"/>
    <x v="7"/>
    <x v="442"/>
    <n v="88374"/>
    <d v="2022-08-02T00:00:00"/>
    <n v="44187"/>
    <s v="20-03-2022"/>
    <x v="0"/>
    <m/>
    <m/>
    <m/>
  </r>
  <r>
    <s v="Lenze SE"/>
    <s v="Not a Customer"/>
    <s v="No growth Potential"/>
    <s v="Ban Roamer"/>
    <x v="7"/>
    <x v="443"/>
    <n v="150659"/>
    <s v="13-10-2022"/>
    <n v="0"/>
    <d v="2022-02-11T00:00:00"/>
    <x v="0"/>
    <m/>
    <m/>
    <m/>
  </r>
  <r>
    <s v="Berlin Tourismus &amp; Kongress GmbH"/>
    <s v="Not a Customer"/>
    <s v="No growth Potential"/>
    <s v="Ban Roamer"/>
    <x v="7"/>
    <x v="204"/>
    <n v="106909"/>
    <s v="13-10-2022"/>
    <n v="0"/>
    <d v="2022-02-11T00:00:00"/>
    <x v="0"/>
    <m/>
    <m/>
    <m/>
  </r>
  <r>
    <s v="ALPINE Bau GmbH"/>
    <s v="Not a Customer"/>
    <s v="No growth Potential"/>
    <s v="Ban Roamer"/>
    <x v="9"/>
    <x v="444"/>
    <n v="94769"/>
    <s v="23-08-2022"/>
    <n v="0"/>
    <d v="2022-02-09T00:00:00"/>
    <x v="0"/>
    <m/>
    <m/>
    <m/>
  </r>
  <r>
    <s v="Fahrrad-XXL.de GmbH &amp; Co. KG"/>
    <s v="Not a Customer"/>
    <s v="No growth Potential"/>
    <s v="Ban Roamer"/>
    <x v="7"/>
    <x v="381"/>
    <n v="92190"/>
    <s v="24-12-2021"/>
    <n v="0"/>
    <d v="2022-02-02T00:00:00"/>
    <x v="0"/>
    <m/>
    <m/>
    <m/>
  </r>
  <r>
    <s v="Pcaide"/>
    <s v="Not a Customer"/>
    <s v="No growth Potential"/>
    <s v="Ban Roamer"/>
    <x v="10"/>
    <x v="9"/>
    <n v="29750"/>
    <s v="22-12-2021"/>
    <n v="0"/>
    <d v="2022-02-03T00:00:00"/>
    <x v="0"/>
    <m/>
    <m/>
    <m/>
  </r>
  <r>
    <s v="Keller &amp; Kalmbach GmbH"/>
    <s v="Not a Customer"/>
    <s v="No growth Potential"/>
    <s v="Ban Roamer"/>
    <x v="7"/>
    <x v="445"/>
    <n v="132213"/>
    <s v="23-10-2022"/>
    <n v="0"/>
    <d v="2022-02-11T00:00:00"/>
    <x v="0"/>
    <m/>
    <m/>
    <m/>
  </r>
  <r>
    <s v="HELBLING NETWORK CONSULTING"/>
    <s v="Not a Customer"/>
    <s v="No growth Potential"/>
    <s v="Ban Roamer"/>
    <x v="7"/>
    <x v="227"/>
    <n v="74394"/>
    <s v="23-09-2022"/>
    <n v="0"/>
    <d v="2022-02-11T00:00:00"/>
    <x v="0"/>
    <m/>
    <m/>
    <m/>
  </r>
  <r>
    <s v="JAB Anstoetz KG"/>
    <s v="Not a Customer"/>
    <s v="No growth Potential"/>
    <s v="Ban Roamer"/>
    <x v="7"/>
    <x v="446"/>
    <n v="143820"/>
    <d v="2022-03-10T00:00:00"/>
    <n v="0"/>
    <d v="2022-02-11T00:00:00"/>
    <x v="0"/>
    <m/>
    <m/>
    <m/>
  </r>
  <r>
    <s v="Busch-Jaeger Elektro GmbH"/>
    <s v="Not a Customer"/>
    <s v="No growth Potential"/>
    <s v="Ban Roamer"/>
    <x v="7"/>
    <x v="447"/>
    <n v="69927"/>
    <s v="24-05-2022"/>
    <n v="0"/>
    <d v="2022-02-08T00:00:00"/>
    <x v="0"/>
    <m/>
    <m/>
    <m/>
  </r>
  <r>
    <s v="Schmetterling International GmbH &amp; Co. KG"/>
    <s v="Not a Customer"/>
    <s v="No growth Potential"/>
    <s v="Ban Roamer"/>
    <x v="7"/>
    <x v="448"/>
    <n v="104065"/>
    <d v="2021-12-09T00:00:00"/>
    <n v="0"/>
    <d v="2021-02-10T00:00:00"/>
    <x v="5"/>
    <m/>
    <m/>
    <m/>
  </r>
  <r>
    <s v="Bit AG fur Informationstechnologien"/>
    <s v="Not a Customer"/>
    <s v="No growth Potential"/>
    <s v="Ban Roamer"/>
    <x v="10"/>
    <x v="449"/>
    <n v="203768"/>
    <s v="24-03-2023"/>
    <n v="0"/>
    <d v="2023-02-06T00:00:00"/>
    <x v="2"/>
    <m/>
    <m/>
    <m/>
  </r>
  <r>
    <s v="Ameropa"/>
    <s v="Not a Customer"/>
    <s v="No growth Potential"/>
    <s v="Ban Roamer"/>
    <x v="10"/>
    <x v="9"/>
    <n v="311132"/>
    <s v="13-05-2022"/>
    <n v="0"/>
    <d v="2022-02-07T00:00:00"/>
    <x v="0"/>
    <m/>
    <m/>
    <m/>
  </r>
  <r>
    <s v="Hans Geis GmbH + Co KG Internationale Spedition"/>
    <s v="Not a Customer"/>
    <s v="No growth Potential"/>
    <s v="Ban Roamer"/>
    <x v="7"/>
    <x v="450"/>
    <m/>
    <d v="2021-04-12T00:00:00"/>
    <n v="0"/>
    <d v="2022-02-02T00:00:00"/>
    <x v="0"/>
    <m/>
    <m/>
    <m/>
  </r>
  <r>
    <s v="btf GmbH"/>
    <s v="Not a Customer"/>
    <s v="No growth Potential"/>
    <s v="Ban Roamer"/>
    <x v="7"/>
    <x v="223"/>
    <n v="66219"/>
    <d v="2022-03-09T00:00:00"/>
    <n v="0"/>
    <d v="2022-02-11T00:00:00"/>
    <x v="0"/>
    <m/>
    <m/>
    <m/>
  </r>
  <r>
    <s v="Fujitsu Technology Solutions GmbH"/>
    <s v="Active Customer"/>
    <s v="Medium Growth"/>
    <s v="Ban Roamer"/>
    <x v="7"/>
    <x v="220"/>
    <n v="147772"/>
    <s v="22-09-2022"/>
    <n v="36943"/>
    <d v="2022-11-11T00:00:00"/>
    <x v="1"/>
    <m/>
    <m/>
    <m/>
  </r>
  <r>
    <s v="Landverein fur Innere Mission in der Pfalz e.V."/>
    <s v="Not a Customer"/>
    <s v="No growth Potential"/>
    <s v="Ban Roamer"/>
    <x v="7"/>
    <x v="451"/>
    <n v="146799"/>
    <d v="2022-03-01T00:00:00"/>
    <n v="0"/>
    <d v="2022-02-02T00:00:00"/>
    <x v="0"/>
    <m/>
    <m/>
    <m/>
  </r>
  <r>
    <s v="Endress+Hauser Wetzer GmbH+Co.KG"/>
    <s v="Not a Customer"/>
    <s v="No growth Potential"/>
    <s v="Ban Roamer"/>
    <x v="7"/>
    <x v="452"/>
    <n v="132359"/>
    <s v="24-07-2022"/>
    <n v="0"/>
    <d v="2022-02-10T00:00:00"/>
    <x v="0"/>
    <m/>
    <m/>
    <m/>
  </r>
  <r>
    <s v="commercetools GmbH"/>
    <s v="Not a Customer"/>
    <s v="No growth Potential"/>
    <s v="Ban Roamer"/>
    <x v="7"/>
    <x v="220"/>
    <n v="206073"/>
    <s v="23-10-2022"/>
    <n v="0"/>
    <d v="2022-02-11T00:00:00"/>
    <x v="0"/>
    <m/>
    <m/>
    <m/>
  </r>
  <r>
    <s v="Datamars SA"/>
    <s v="Not a Customer"/>
    <s v="No growth Potential"/>
    <s v="Ban Roamer"/>
    <x v="10"/>
    <x v="453"/>
    <n v="33497"/>
    <s v="23-01-2022"/>
    <n v="0"/>
    <d v="2022-02-02T00:00:00"/>
    <x v="0"/>
    <m/>
    <m/>
    <m/>
  </r>
  <r>
    <s v="SinusQuadrat GmbH"/>
    <s v="Not a Customer"/>
    <s v="No growth Potential"/>
    <s v="Ban Roamer"/>
    <x v="7"/>
    <x v="454"/>
    <n v="100210"/>
    <s v="13-07-2022"/>
    <n v="0"/>
    <d v="2022-02-08T00:00:00"/>
    <x v="0"/>
    <m/>
    <m/>
    <m/>
  </r>
  <r>
    <s v="Belenus LOB Informatic GmbH"/>
    <s v="Active Customer"/>
    <s v="Medium Growth"/>
    <s v="Ban Roamer"/>
    <x v="7"/>
    <x v="320"/>
    <n v="202434"/>
    <s v="17-07-2021"/>
    <n v="15572"/>
    <s v="16-08-2021"/>
    <x v="6"/>
    <m/>
    <m/>
    <m/>
  </r>
  <r>
    <s v="Smaser AG"/>
    <s v="Not a Customer"/>
    <s v="No growth Potential"/>
    <s v="Ban Roamer"/>
    <x v="7"/>
    <x v="382"/>
    <n v="138670"/>
    <d v="2022-11-01T00:00:00"/>
    <n v="0"/>
    <d v="2022-02-03T00:00:00"/>
    <x v="0"/>
    <m/>
    <m/>
    <m/>
  </r>
  <r>
    <s v="HairGroup GmbH"/>
    <s v="Not a Customer"/>
    <s v="No growth Potential"/>
    <s v="Ban Roamer"/>
    <x v="7"/>
    <x v="430"/>
    <n v="98815"/>
    <s v="13-01-2022"/>
    <n v="0"/>
    <d v="2022-02-02T00:00:00"/>
    <x v="0"/>
    <m/>
    <m/>
    <m/>
  </r>
  <r>
    <s v="Leineweber GmbH &amp; Co. KG"/>
    <s v="Not a Customer"/>
    <s v="No growth Potential"/>
    <s v="Ban Roamer"/>
    <x v="7"/>
    <x v="455"/>
    <n v="51410"/>
    <s v="13-10-2022"/>
    <n v="0"/>
    <d v="2022-02-11T00:00:00"/>
    <x v="0"/>
    <m/>
    <m/>
    <m/>
  </r>
  <r>
    <s v="KabelScheune"/>
    <s v="Not a Customer"/>
    <s v="No growth Potential"/>
    <s v="Ban Roamer"/>
    <x v="7"/>
    <x v="9"/>
    <n v="98643"/>
    <s v="24-11-2021"/>
    <n v="0"/>
    <d v="2022-02-02T00:00:00"/>
    <x v="0"/>
    <m/>
    <m/>
    <m/>
  </r>
  <r>
    <s v="Foodexplorer Fine Food GmbH"/>
    <s v="Not a Customer"/>
    <s v="No growth Potential"/>
    <s v="Ban Roamer"/>
    <x v="7"/>
    <x v="430"/>
    <n v="220632"/>
    <s v="23-10-2022"/>
    <n v="0"/>
    <d v="2022-02-11T00:00:00"/>
    <x v="0"/>
    <m/>
    <m/>
    <m/>
  </r>
  <r>
    <s v="Pascoe pharmazeutische Präparate GmbH"/>
    <s v="Not a Customer"/>
    <s v="No growth Potential"/>
    <s v="Ban Roamer"/>
    <x v="7"/>
    <x v="400"/>
    <n v="275652"/>
    <s v="14-12-2021"/>
    <n v="0"/>
    <d v="2022-02-02T00:00:00"/>
    <x v="0"/>
    <m/>
    <m/>
    <m/>
  </r>
  <r>
    <s v="FS eCommerce GmbH"/>
    <s v="Not a Customer"/>
    <s v="No growth Potential"/>
    <s v="Ban Roamer"/>
    <x v="7"/>
    <x v="393"/>
    <n v="112521"/>
    <d v="2022-03-09T00:00:00"/>
    <n v="0"/>
    <d v="2022-02-11T00:00:00"/>
    <x v="0"/>
    <m/>
    <m/>
    <m/>
  </r>
  <r>
    <s v="parfuemerie.de beauty alliance GmbH &amp; Co. KG"/>
    <s v="Not a Customer"/>
    <s v="No growth Potential"/>
    <s v="Ban Roamer"/>
    <x v="7"/>
    <x v="446"/>
    <n v="69911"/>
    <s v="13-01-2022"/>
    <n v="0"/>
    <d v="2022-02-02T00:00:00"/>
    <x v="0"/>
    <m/>
    <m/>
    <m/>
  </r>
  <r>
    <s v="ELCH"/>
    <s v="Not a Customer"/>
    <s v="No growth Potential"/>
    <s v="Ban Roamer"/>
    <x v="10"/>
    <x v="9"/>
    <n v="69912"/>
    <s v="13-09-2022"/>
    <n v="0"/>
    <d v="2022-02-11T00:00:00"/>
    <x v="0"/>
    <m/>
    <m/>
    <m/>
  </r>
  <r>
    <s v="Guenthart GmbH &amp; Co. KG"/>
    <s v="Not a Customer"/>
    <s v="No growth Potential"/>
    <s v="Ban Roamer"/>
    <x v="7"/>
    <x v="456"/>
    <n v="114000"/>
    <s v="23-05-2022"/>
    <n v="0"/>
    <d v="2022-02-07T00:00:00"/>
    <x v="0"/>
    <m/>
    <m/>
    <m/>
  </r>
  <r>
    <s v="Daenisches Bettenlager GmbH &amp; Co. KG"/>
    <s v="Not a Customer"/>
    <s v="No growth Potential"/>
    <s v="Ban Roamer"/>
    <x v="7"/>
    <x v="457"/>
    <m/>
    <s v="14-12-2021"/>
    <n v="0"/>
    <d v="2022-02-02T00:00:00"/>
    <x v="0"/>
    <m/>
    <m/>
    <m/>
  </r>
  <r>
    <s v="Crem Solutions GmbH &amp; Co. KG"/>
    <s v="Not a Customer"/>
    <s v="No growth Potential"/>
    <s v="Ban Roamer"/>
    <x v="7"/>
    <x v="203"/>
    <n v="72195"/>
    <s v="13-10-2022"/>
    <n v="0"/>
    <d v="2022-02-11T00:00:00"/>
    <x v="0"/>
    <m/>
    <m/>
    <m/>
  </r>
  <r>
    <s v="Geigar &amp; Haas GmbH"/>
    <s v="Not a Customer"/>
    <s v="No growth Potential"/>
    <s v="Ban Roamer"/>
    <x v="7"/>
    <x v="458"/>
    <n v="34002"/>
    <s v="22-04-2022"/>
    <n v="0"/>
    <d v="2022-02-05T00:00:00"/>
    <x v="0"/>
    <m/>
    <m/>
    <m/>
  </r>
  <r>
    <s v="Jacques' Wein-Depot Wein-Einzelhandel GmbH"/>
    <s v="Not a Customer"/>
    <s v="No growth Potential"/>
    <s v="Ban Roamer"/>
    <x v="7"/>
    <x v="430"/>
    <n v="157004"/>
    <s v="13-01-2022"/>
    <n v="0"/>
    <d v="2022-02-02T00:00:00"/>
    <x v="0"/>
    <m/>
    <m/>
    <m/>
  </r>
  <r>
    <s v="Iselasticum Services Ltd."/>
    <s v="Not a Customer"/>
    <s v="No growth Potential"/>
    <s v="Ban Roamer"/>
    <x v="10"/>
    <x v="459"/>
    <n v="40843"/>
    <s v="21-02-2022"/>
    <n v="0"/>
    <d v="2022-02-05T00:00:00"/>
    <x v="0"/>
    <m/>
    <m/>
    <m/>
  </r>
  <r>
    <s v="Beuth Verlag GmbH"/>
    <s v="Not a Customer"/>
    <s v="No growth Potential"/>
    <s v="Ban Roamer"/>
    <x v="7"/>
    <x v="204"/>
    <n v="417197"/>
    <s v="23-10-2022"/>
    <n v="0"/>
    <d v="2022-02-11T00:00:00"/>
    <x v="0"/>
    <m/>
    <m/>
    <m/>
  </r>
  <r>
    <s v="energis GmbH"/>
    <s v="Not a Customer"/>
    <s v="No growth Potential"/>
    <s v="Ban Roamer"/>
    <x v="7"/>
    <x v="431"/>
    <n v="126643"/>
    <d v="2022-03-10T00:00:00"/>
    <n v="0"/>
    <d v="2022-02-11T00:00:00"/>
    <x v="0"/>
    <m/>
    <m/>
    <m/>
  </r>
  <r>
    <s v="DaDi EDV GmbH"/>
    <s v="Not a Customer"/>
    <s v="No growth Potential"/>
    <s v="Ban Roamer"/>
    <x v="9"/>
    <x v="333"/>
    <n v="42359"/>
    <s v="14-12-2021"/>
    <n v="0"/>
    <d v="2022-02-02T00:00:00"/>
    <x v="0"/>
    <m/>
    <m/>
    <m/>
  </r>
  <r>
    <s v="Rösch Fashion GmbH &amp; Co. KG"/>
    <s v="Not a Customer"/>
    <s v="No growth Potential"/>
    <s v="Ban Roamer"/>
    <x v="7"/>
    <x v="460"/>
    <n v="86087"/>
    <s v="23-06-2022"/>
    <n v="0"/>
    <d v="2022-02-08T00:00:00"/>
    <x v="0"/>
    <m/>
    <m/>
    <m/>
  </r>
  <r>
    <s v="Unstrut Saale Güterlogistik GmbH"/>
    <s v="Not a Customer"/>
    <s v="No growth Potential"/>
    <s v="Ban Roamer"/>
    <x v="7"/>
    <x v="9"/>
    <n v="96867"/>
    <d v="2022-03-08T00:00:00"/>
    <n v="0"/>
    <d v="2022-02-10T00:00:00"/>
    <x v="0"/>
    <m/>
    <m/>
    <m/>
  </r>
  <r>
    <s v="E. Breuninger GmbH &amp; Co."/>
    <s v="Not a Customer"/>
    <s v="No growth Potential"/>
    <s v="Ban Roamer"/>
    <x v="7"/>
    <x v="241"/>
    <n v="122808"/>
    <s v="13-09-2022"/>
    <n v="0"/>
    <d v="2022-02-11T00:00:00"/>
    <x v="0"/>
    <m/>
    <m/>
    <m/>
  </r>
  <r>
    <s v="GKN Aftermarket Operations GKN Service International GmbH"/>
    <s v="Not a Customer"/>
    <s v="No growth Potential"/>
    <s v="Ban Roamer"/>
    <x v="7"/>
    <x v="461"/>
    <n v="288804"/>
    <s v="24-08-2022"/>
    <n v="0"/>
    <d v="2022-02-11T00:00:00"/>
    <x v="0"/>
    <m/>
    <m/>
    <m/>
  </r>
  <r>
    <s v="Schroders"/>
    <s v="Not a Customer"/>
    <s v="No growth Potential"/>
    <s v="Ban Roamer"/>
    <x v="10"/>
    <x v="9"/>
    <n v="120910"/>
    <d v="2022-03-09T00:00:00"/>
    <n v="0"/>
    <d v="2022-02-11T00:00:00"/>
    <x v="0"/>
    <m/>
    <m/>
    <m/>
  </r>
  <r>
    <s v="Amann Informatik AG"/>
    <s v="Not a Customer"/>
    <s v="No growth Potential"/>
    <s v="Ban Roamer"/>
    <x v="10"/>
    <x v="462"/>
    <n v="100342"/>
    <s v="31-01-2022"/>
    <n v="0"/>
    <d v="2022-02-03T00:00:00"/>
    <x v="0"/>
    <m/>
    <m/>
    <m/>
  </r>
  <r>
    <s v="Atelco Computer AG"/>
    <s v="Not a Customer"/>
    <s v="No growth Potential"/>
    <s v="Ban Roamer"/>
    <x v="7"/>
    <x v="463"/>
    <n v="103313"/>
    <s v="13-10-2022"/>
    <n v="0"/>
    <d v="2022-02-11T00:00:00"/>
    <x v="0"/>
    <m/>
    <m/>
    <m/>
  </r>
  <r>
    <s v="KUNERT FASHION GmbH"/>
    <s v="Not a Customer"/>
    <s v="No growth Potential"/>
    <s v="Ban Roamer"/>
    <x v="7"/>
    <x v="464"/>
    <n v="38843"/>
    <d v="2022-03-10T00:00:00"/>
    <n v="0"/>
    <d v="2022-02-11T00:00:00"/>
    <x v="0"/>
    <m/>
    <m/>
    <m/>
  </r>
  <r>
    <s v="Wiener Festwochen Gesellschaft m.b.H."/>
    <s v="Not a Customer"/>
    <s v="No growth Potential"/>
    <s v="Ban Roamer"/>
    <x v="9"/>
    <x v="330"/>
    <n v="93843"/>
    <s v="14-03-2022"/>
    <n v="0"/>
    <d v="2022-03-05T00:00:00"/>
    <x v="0"/>
    <m/>
    <m/>
    <m/>
  </r>
  <r>
    <s v="WINGAS GmbH &amp; Co. KG"/>
    <s v="Not a Customer"/>
    <s v="No growth Potential"/>
    <s v="Ban Roamer"/>
    <x v="7"/>
    <x v="465"/>
    <n v="32208"/>
    <s v="13-09-2022"/>
    <n v="0"/>
    <d v="2022-02-11T00:00:00"/>
    <x v="0"/>
    <m/>
    <m/>
    <m/>
  </r>
  <r>
    <s v="Hi-Media Deutschland AG"/>
    <s v="Not a Customer"/>
    <s v="No growth Potential"/>
    <s v="Ban Roamer"/>
    <x v="7"/>
    <x v="430"/>
    <n v="83498"/>
    <d v="2022-03-07T00:00:00"/>
    <n v="0"/>
    <d v="2022-02-08T00:00:00"/>
    <x v="0"/>
    <m/>
    <m/>
    <m/>
  </r>
  <r>
    <s v="Goodyear Dunlop Tires Germany GmbH"/>
    <s v="Not a Customer"/>
    <s v="No growth Potential"/>
    <s v="Ban Roamer"/>
    <x v="7"/>
    <x v="466"/>
    <n v="152451"/>
    <d v="2022-03-05T00:00:00"/>
    <n v="0"/>
    <d v="2022-02-07T00:00:00"/>
    <x v="0"/>
    <m/>
    <m/>
    <m/>
  </r>
  <r>
    <s v="bett1.de GmbH"/>
    <s v="Not a Customer"/>
    <s v="No growth Potential"/>
    <s v="Ban Roamer"/>
    <x v="7"/>
    <x v="204"/>
    <n v="54000"/>
    <s v="13-09-2022"/>
    <n v="0"/>
    <d v="2022-02-11T00:00:00"/>
    <x v="0"/>
    <m/>
    <m/>
    <m/>
  </r>
  <r>
    <s v="MTC-Grossenbacher"/>
    <s v="Not a Customer"/>
    <s v="No growth Potential"/>
    <s v="Ban Roamer"/>
    <x v="10"/>
    <x v="467"/>
    <n v="204793"/>
    <d v="2022-03-12T00:00:00"/>
    <n v="0"/>
    <d v="2023-02-01T00:00:00"/>
    <x v="2"/>
    <m/>
    <m/>
    <m/>
  </r>
  <r>
    <s v="Avaloq"/>
    <s v="Not a Customer"/>
    <s v="No growth Potential"/>
    <s v="Ban Roamer"/>
    <x v="10"/>
    <x v="9"/>
    <n v="154445"/>
    <s v="22-12-2021"/>
    <n v="0"/>
    <d v="2022-02-03T00:00:00"/>
    <x v="0"/>
    <m/>
    <m/>
    <m/>
  </r>
  <r>
    <s v="CeTris GmBh"/>
    <s v="Not a Customer"/>
    <s v="No growth Potential"/>
    <s v="Ban Roamer"/>
    <x v="10"/>
    <x v="9"/>
    <n v="90023"/>
    <s v="23-09-2022"/>
    <n v="0"/>
    <d v="2022-02-11T00:00:00"/>
    <x v="0"/>
    <m/>
    <m/>
    <m/>
  </r>
  <r>
    <s v="baby-walz GmbH"/>
    <s v="Not a Customer"/>
    <s v="No growth Potential"/>
    <s v="Ban Roamer"/>
    <x v="7"/>
    <x v="394"/>
    <n v="296726"/>
    <s v="23-01-2022"/>
    <n v="0"/>
    <d v="2022-02-02T00:00:00"/>
    <x v="0"/>
    <m/>
    <m/>
    <m/>
  </r>
  <r>
    <s v="Seven Principles AG"/>
    <s v="Not a Customer"/>
    <s v="No growth Potential"/>
    <s v="Ban Roamer"/>
    <x v="7"/>
    <x v="223"/>
    <n v="362848"/>
    <d v="2022-03-10T00:00:00"/>
    <n v="0"/>
    <d v="2022-02-11T00:00:00"/>
    <x v="0"/>
    <m/>
    <m/>
    <m/>
  </r>
  <r>
    <s v="mediaBEAM GmbH"/>
    <s v="Not a Customer"/>
    <s v="No growth Potential"/>
    <s v="Ban Roamer"/>
    <x v="7"/>
    <x v="468"/>
    <n v="52325"/>
    <d v="2022-03-03T00:00:00"/>
    <n v="0"/>
    <d v="2022-02-05T00:00:00"/>
    <x v="0"/>
    <m/>
    <m/>
    <m/>
  </r>
  <r>
    <s v="EGLO LEUCHTEN GMBH"/>
    <s v="Not a Customer"/>
    <s v="No growth Potential"/>
    <s v="Ban Roamer"/>
    <x v="9"/>
    <x v="469"/>
    <n v="101567"/>
    <s v="23-10-2022"/>
    <n v="0"/>
    <d v="2022-02-11T00:00:00"/>
    <x v="0"/>
    <m/>
    <m/>
    <m/>
  </r>
  <r>
    <s v="energy &amp; meteo systems GmbH"/>
    <s v="Not a Customer"/>
    <s v="No growth Potential"/>
    <s v="Ban Roamer"/>
    <x v="7"/>
    <x v="470"/>
    <n v="42000"/>
    <d v="2022-03-09T00:00:00"/>
    <n v="0"/>
    <d v="2022-02-11T00:00:00"/>
    <x v="0"/>
    <m/>
    <m/>
    <m/>
  </r>
  <r>
    <s v="Optonet AG"/>
    <s v="Not a Customer"/>
    <s v="No growth Potential"/>
    <s v="Ban Roamer"/>
    <x v="10"/>
    <x v="471"/>
    <n v="336223"/>
    <s v="13-09-2022"/>
    <n v="0"/>
    <d v="2022-02-11T00:00:00"/>
    <x v="0"/>
    <m/>
    <m/>
    <m/>
  </r>
  <r>
    <s v="Blickle Räder+Rollen GmbH u. Co. KG"/>
    <s v="Not a Customer"/>
    <s v="No growth Potential"/>
    <s v="Ban Roamer"/>
    <x v="7"/>
    <x v="472"/>
    <n v="123208"/>
    <d v="2022-03-10T00:00:00"/>
    <n v="0"/>
    <d v="2022-02-11T00:00:00"/>
    <x v="0"/>
    <m/>
    <m/>
    <m/>
  </r>
  <r>
    <s v="dahme spreewald.d"/>
    <s v="Not a Customer"/>
    <s v="No growth Potential"/>
    <s v="Ban Roamer"/>
    <x v="7"/>
    <x v="9"/>
    <n v="55088"/>
    <d v="2021-04-12T00:00:00"/>
    <n v="0"/>
    <d v="2022-02-02T00:00:00"/>
    <x v="0"/>
    <m/>
    <m/>
    <m/>
  </r>
  <r>
    <s v="Lampenwelt GmbH &amp; Co KG"/>
    <s v="Not a Customer"/>
    <s v="No growth Potential"/>
    <s v="Ban Roamer"/>
    <x v="7"/>
    <x v="473"/>
    <n v="203774"/>
    <s v="14-12-2021"/>
    <n v="0"/>
    <d v="2022-02-02T00:00:00"/>
    <x v="0"/>
    <m/>
    <m/>
    <m/>
  </r>
  <r>
    <s v="CLICKCONCEPTS GmbH"/>
    <s v="Not a Customer"/>
    <s v="No growth Potential"/>
    <s v="Ban Roamer"/>
    <x v="7"/>
    <x v="474"/>
    <n v="101473"/>
    <s v="24-08-2022"/>
    <n v="0"/>
    <d v="2022-02-11T00:00:00"/>
    <x v="0"/>
    <m/>
    <m/>
    <m/>
  </r>
  <r>
    <s v="JAGO AG"/>
    <s v="Not a Customer"/>
    <s v="No growth Potential"/>
    <s v="Ban Roamer"/>
    <x v="7"/>
    <x v="241"/>
    <n v="178416"/>
    <s v="13-09-2022"/>
    <n v="0"/>
    <d v="2022-02-11T00:00:00"/>
    <x v="0"/>
    <m/>
    <m/>
    <m/>
  </r>
  <r>
    <s v="Hans Soldan GmbH"/>
    <s v="Not a Customer"/>
    <s v="No growth Potential"/>
    <s v="Ban Roamer"/>
    <x v="7"/>
    <x v="362"/>
    <n v="99512"/>
    <s v="13-01-2022"/>
    <n v="0"/>
    <d v="2022-02-02T00:00:00"/>
    <x v="0"/>
    <m/>
    <m/>
    <m/>
  </r>
  <r>
    <s v="Metrohm"/>
    <s v="Not a Customer"/>
    <s v="No growth Potential"/>
    <s v="Ban Roamer"/>
    <x v="10"/>
    <x v="475"/>
    <n v="232779"/>
    <s v="13-09-2022"/>
    <n v="0"/>
    <d v="2022-02-11T00:00:00"/>
    <x v="0"/>
    <m/>
    <m/>
    <m/>
  </r>
  <r>
    <s v="Schulthess Clinic"/>
    <s v="Not a Customer"/>
    <s v="No growth Potential"/>
    <s v="Ban Roamer"/>
    <x v="10"/>
    <x v="404"/>
    <n v="226308"/>
    <d v="2022-03-10T00:00:00"/>
    <n v="0"/>
    <d v="2022-02-11T00:00:00"/>
    <x v="0"/>
    <m/>
    <m/>
    <m/>
  </r>
  <r>
    <s v="HIAG Data"/>
    <s v="Not a Customer"/>
    <s v="No growth Potential"/>
    <s v="Ban Roamer"/>
    <x v="10"/>
    <x v="9"/>
    <n v="228010"/>
    <s v="13-05-2022"/>
    <n v="0"/>
    <d v="2022-02-07T00:00:00"/>
    <x v="0"/>
    <m/>
    <m/>
    <m/>
  </r>
  <r>
    <s v="Triaz GmbH"/>
    <s v="Not a Customer"/>
    <s v="No growth Potential"/>
    <s v="Ban Roamer"/>
    <x v="7"/>
    <x v="476"/>
    <n v="81128"/>
    <s v="23-03-2022"/>
    <n v="0"/>
    <d v="2022-02-04T00:00:00"/>
    <x v="0"/>
    <m/>
    <m/>
    <m/>
  </r>
  <r>
    <s v="Leopold Kostal GmbH &amp; Co. KG"/>
    <s v="Not a Customer"/>
    <s v="No growth Potential"/>
    <s v="Ban Roamer"/>
    <x v="7"/>
    <x v="447"/>
    <n v="182444"/>
    <s v="23-11-2022"/>
    <n v="0"/>
    <d v="2023-02-01T00:00:00"/>
    <x v="2"/>
    <m/>
    <m/>
    <m/>
  </r>
  <r>
    <s v="ams AG"/>
    <s v="Not a Customer"/>
    <s v="No growth Potential"/>
    <s v="Ban Roamer"/>
    <x v="9"/>
    <x v="477"/>
    <n v="80117"/>
    <s v="24-10-2021"/>
    <n v="0"/>
    <d v="2022-02-01T00:00:00"/>
    <x v="0"/>
    <m/>
    <m/>
    <m/>
  </r>
  <r>
    <s v="ADM Germany GmbH"/>
    <s v="Not a Customer"/>
    <s v="No growth Potential"/>
    <s v="Ban Roamer"/>
    <x v="7"/>
    <x v="227"/>
    <m/>
    <s v="24-07-2022"/>
    <n v="0"/>
    <d v="2022-02-09T00:00:00"/>
    <x v="0"/>
    <m/>
    <m/>
    <m/>
  </r>
  <r>
    <s v="AVL LIST GMBH"/>
    <s v="Not a Customer"/>
    <s v="No growth Potential"/>
    <s v="Ban Roamer"/>
    <x v="9"/>
    <x v="333"/>
    <n v="115130"/>
    <s v="24-08-2022"/>
    <n v="0"/>
    <d v="2022-02-11T00:00:00"/>
    <x v="0"/>
    <m/>
    <m/>
    <m/>
  </r>
  <r>
    <s v="Fronius International GmbH"/>
    <s v="Not a Customer"/>
    <s v="No growth Potential"/>
    <s v="Ban Roamer"/>
    <x v="9"/>
    <x v="478"/>
    <n v="499883"/>
    <s v="22-12-2022"/>
    <n v="0"/>
    <d v="2023-02-03T00:00:00"/>
    <x v="2"/>
    <m/>
    <m/>
    <m/>
  </r>
  <r>
    <s v="Stadtwerke Gießen AG"/>
    <s v="Not a Customer"/>
    <s v="No growth Potential"/>
    <s v="Ban Roamer"/>
    <x v="7"/>
    <x v="400"/>
    <n v="181194"/>
    <s v="20-02-2022"/>
    <n v="0"/>
    <d v="2022-02-03T00:00:00"/>
    <x v="0"/>
    <m/>
    <m/>
    <m/>
  </r>
  <r>
    <s v="ebm-papst Mulfingen GmbH &amp; Co. KG"/>
    <s v="Not a Customer"/>
    <s v="No growth Potential"/>
    <s v="Ban Roamer"/>
    <x v="7"/>
    <x v="479"/>
    <n v="144507"/>
    <s v="13-05-2022"/>
    <n v="0"/>
    <d v="2022-02-06T00:00:00"/>
    <x v="0"/>
    <m/>
    <m/>
    <m/>
  </r>
  <r>
    <s v="HUBER+SUHNER"/>
    <s v="Not a Customer"/>
    <s v="No growth Potential"/>
    <s v="Ban Roamer"/>
    <x v="10"/>
    <x v="9"/>
    <n v="80575"/>
    <s v="13-10-2022"/>
    <n v="0"/>
    <d v="2022-02-11T00:00:00"/>
    <x v="0"/>
    <m/>
    <m/>
    <m/>
  </r>
  <r>
    <s v="A + E Informatik GmbH"/>
    <s v="Not a Customer"/>
    <s v="No growth Potential"/>
    <s v="Ban Roamer"/>
    <x v="10"/>
    <x v="9"/>
    <n v="42403"/>
    <s v="13-12-2022"/>
    <n v="0"/>
    <d v="2023-02-01T00:00:00"/>
    <x v="2"/>
    <m/>
    <m/>
    <m/>
  </r>
  <r>
    <s v="Hamburg Messe und Congress GmbH"/>
    <s v="Not a Customer"/>
    <s v="No growth Potential"/>
    <s v="Ban Roamer"/>
    <x v="7"/>
    <x v="227"/>
    <n v="107201"/>
    <d v="2021-04-12T00:00:00"/>
    <n v="0"/>
    <d v="2022-02-02T00:00:00"/>
    <x v="0"/>
    <m/>
    <m/>
    <m/>
  </r>
  <r>
    <s v="Tectake Gmbh"/>
    <s v="Not a Customer"/>
    <s v="No growth Potential"/>
    <s v="Ban Roamer"/>
    <x v="7"/>
    <x v="480"/>
    <n v="115531"/>
    <s v="22-04-2022"/>
    <n v="0"/>
    <d v="2022-02-05T00:00:00"/>
    <x v="0"/>
    <m/>
    <m/>
    <m/>
  </r>
  <r>
    <s v="Curated Shopping GmbH"/>
    <s v="Not a Customer"/>
    <s v="No growth Potential"/>
    <s v="Ban Roamer"/>
    <x v="7"/>
    <x v="204"/>
    <n v="51557"/>
    <s v="23-03-2022"/>
    <n v="0"/>
    <d v="2022-02-04T00:00:00"/>
    <x v="0"/>
    <m/>
    <m/>
    <m/>
  </r>
  <r>
    <s v="Krombacher Brauerei B. Schadeberg GmbH &amp; Co.KG"/>
    <s v="Not a Customer"/>
    <s v="No growth Potential"/>
    <s v="Ban Roamer"/>
    <x v="7"/>
    <x v="481"/>
    <n v="434322"/>
    <s v="13-05-2022"/>
    <n v="0"/>
    <d v="2022-02-06T00:00:00"/>
    <x v="0"/>
    <m/>
    <m/>
    <m/>
  </r>
  <r>
    <s v="Elster GmbH"/>
    <s v="Not a Customer"/>
    <s v="No growth Potential"/>
    <s v="Ban Roamer"/>
    <x v="7"/>
    <x v="482"/>
    <n v="88374"/>
    <d v="2022-03-09T00:00:00"/>
    <n v="0"/>
    <d v="2022-02-11T00:00:00"/>
    <x v="0"/>
    <m/>
    <m/>
    <m/>
  </r>
  <r>
    <s v="Landkreis Celle"/>
    <s v="Not a Customer"/>
    <s v="No growth Potential"/>
    <s v="Ban Roamer"/>
    <x v="7"/>
    <x v="483"/>
    <n v="118485"/>
    <s v="14-12-2021"/>
    <n v="0"/>
    <d v="2022-02-02T00:00:00"/>
    <x v="0"/>
    <m/>
    <m/>
    <m/>
  </r>
  <r>
    <s v="hagebau IT GmbH"/>
    <s v="Not a Customer"/>
    <s v="No growth Potential"/>
    <s v="Ban Roamer"/>
    <x v="7"/>
    <x v="484"/>
    <n v="94837"/>
    <s v="24-12-2021"/>
    <n v="0"/>
    <d v="2022-02-02T00:00:00"/>
    <x v="0"/>
    <m/>
    <m/>
    <m/>
  </r>
  <r>
    <s v="Centre hospitalier universitaire vaudois"/>
    <s v="Not a Customer"/>
    <s v="No growth Potential"/>
    <s v="Ban Roamer"/>
    <x v="10"/>
    <x v="9"/>
    <n v="77575"/>
    <d v="2023-03-01T00:00:00"/>
    <n v="0"/>
    <d v="2023-02-02T00:00:00"/>
    <x v="2"/>
    <m/>
    <m/>
    <m/>
  </r>
  <r>
    <s v="Deloitte &amp; Touche Corporate Finance GmbH"/>
    <s v="Not a Customer"/>
    <s v="No growth Potential"/>
    <s v="Ban Roamer"/>
    <x v="7"/>
    <x v="430"/>
    <n v="39050"/>
    <d v="2022-02-01T00:00:00"/>
    <n v="0"/>
    <d v="2022-01-02T00:00:00"/>
    <x v="0"/>
    <m/>
    <m/>
    <m/>
  </r>
  <r>
    <s v="ELV Elektronik AG"/>
    <s v="Not a Customer"/>
    <s v="No growth Potential"/>
    <s v="Ban Roamer"/>
    <x v="7"/>
    <x v="485"/>
    <n v="114024"/>
    <s v="13-09-2022"/>
    <n v="0"/>
    <d v="2022-02-11T00:00:00"/>
    <x v="0"/>
    <m/>
    <m/>
    <m/>
  </r>
  <r>
    <s v="Holz-Richter GmbH"/>
    <s v="Not a Customer"/>
    <s v="No growth Potential"/>
    <s v="Ban Roamer"/>
    <x v="7"/>
    <x v="486"/>
    <n v="57390"/>
    <d v="2022-03-10T00:00:00"/>
    <n v="0"/>
    <d v="2022-02-11T00:00:00"/>
    <x v="0"/>
    <m/>
    <m/>
    <m/>
  </r>
  <r>
    <s v="Hela Gewürzwerk Hermann Laue GmbH"/>
    <s v="Not a Customer"/>
    <s v="No growth Potential"/>
    <s v="Ban Roamer"/>
    <x v="7"/>
    <x v="424"/>
    <n v="144896"/>
    <s v="13-03-2022"/>
    <n v="0"/>
    <d v="2022-02-04T00:00:00"/>
    <x v="0"/>
    <m/>
    <m/>
    <m/>
  </r>
  <r>
    <s v="itnetx"/>
    <s v="Not a Customer"/>
    <s v="No growth Potential"/>
    <s v="Ban Roamer"/>
    <x v="10"/>
    <x v="9"/>
    <n v="220731"/>
    <s v="24-08-2022"/>
    <n v="0"/>
    <d v="2022-02-11T00:00:00"/>
    <x v="0"/>
    <m/>
    <m/>
    <m/>
  </r>
  <r>
    <s v="Berlin Institute for Population and Development"/>
    <s v="Not a Customer"/>
    <s v="No growth Potential"/>
    <s v="Ban Roamer"/>
    <x v="7"/>
    <x v="9"/>
    <n v="48311"/>
    <s v="13-03-2022"/>
    <n v="0"/>
    <d v="2022-02-04T00:00:00"/>
    <x v="0"/>
    <m/>
    <m/>
    <m/>
  </r>
  <r>
    <s v="Kiddy GmbH"/>
    <s v="Not a Customer"/>
    <s v="No growth Potential"/>
    <s v="Ban Roamer"/>
    <x v="7"/>
    <x v="487"/>
    <n v="143728"/>
    <s v="13-09-2022"/>
    <n v="0"/>
    <d v="2022-02-11T00:00:00"/>
    <x v="0"/>
    <m/>
    <m/>
    <m/>
  </r>
  <r>
    <s v="Valentins GmbH"/>
    <s v="Not a Customer"/>
    <s v="No growth Potential"/>
    <s v="Ban Roamer"/>
    <x v="7"/>
    <x v="488"/>
    <m/>
    <s v="24-12-2021"/>
    <n v="0"/>
    <d v="2022-02-02T00:00:00"/>
    <x v="0"/>
    <m/>
    <m/>
    <m/>
  </r>
  <r>
    <s v="Kölner Verkehrs-Betriebe AG"/>
    <s v="Not a Customer"/>
    <s v="No growth Potential"/>
    <s v="Ban Roamer"/>
    <x v="7"/>
    <x v="223"/>
    <n v="80553"/>
    <s v="23-10-2022"/>
    <n v="0"/>
    <d v="2022-02-11T00:00:00"/>
    <x v="0"/>
    <m/>
    <m/>
    <m/>
  </r>
  <r>
    <s v="MiRO Mineral oil refinery Oberrhein GmbH &amp; Co. KG"/>
    <s v="Not a Customer"/>
    <s v="No growth Potential"/>
    <s v="Ban Roamer"/>
    <x v="7"/>
    <x v="350"/>
    <n v="59996"/>
    <d v="2022-03-10T00:00:00"/>
    <n v="0"/>
    <d v="2022-02-11T00:00:00"/>
    <x v="0"/>
    <m/>
    <m/>
    <m/>
  </r>
  <r>
    <s v="TimoCom Soft- und Hardware GmbH"/>
    <s v="Not a Customer"/>
    <s v="No growth Potential"/>
    <s v="Ban Roamer"/>
    <x v="7"/>
    <x v="430"/>
    <n v="121681"/>
    <s v="13-07-2021"/>
    <n v="0"/>
    <d v="2021-01-09T00:00:00"/>
    <x v="5"/>
    <m/>
    <m/>
    <m/>
  </r>
  <r>
    <s v="Prym Consumer Europe GmbH"/>
    <s v="Not a Customer"/>
    <s v="No growth Potential"/>
    <s v="Ban Roamer"/>
    <x v="7"/>
    <x v="489"/>
    <n v="113613"/>
    <s v="24-08-2022"/>
    <n v="0"/>
    <d v="2022-02-11T00:00:00"/>
    <x v="0"/>
    <m/>
    <m/>
    <m/>
  </r>
  <r>
    <s v="MeinAuto GmbH"/>
    <s v="Not a Customer"/>
    <s v="No growth Potential"/>
    <s v="Ban Roamer"/>
    <x v="7"/>
    <x v="223"/>
    <n v="100385"/>
    <s v="23-09-2022"/>
    <n v="0"/>
    <d v="2022-02-11T00:00:00"/>
    <x v="0"/>
    <m/>
    <m/>
    <m/>
  </r>
  <r>
    <s v="SH Telekommunikation Deutschland GmbH"/>
    <s v="Not a Customer"/>
    <s v="No growth Potential"/>
    <s v="Ban Roamer"/>
    <x v="7"/>
    <x v="223"/>
    <n v="120907"/>
    <s v="13-03-2023"/>
    <n v="0"/>
    <d v="2023-02-04T00:00:00"/>
    <x v="2"/>
    <m/>
    <m/>
    <m/>
  </r>
  <r>
    <s v="MKS (Switzerland) SA"/>
    <s v="Not a Customer"/>
    <s v="No growth Potential"/>
    <s v="Ban Roamer"/>
    <x v="10"/>
    <x v="245"/>
    <n v="38854"/>
    <d v="2023-03-01T00:00:00"/>
    <n v="0"/>
    <d v="2023-02-02T00:00:00"/>
    <x v="2"/>
    <m/>
    <m/>
    <m/>
  </r>
  <r>
    <s v="Leica Geosystems AG"/>
    <s v="Not a Customer"/>
    <s v="No growth Potential"/>
    <s v="Ban Roamer"/>
    <x v="10"/>
    <x v="9"/>
    <n v="88044"/>
    <s v="13-03-2022"/>
    <n v="0"/>
    <d v="2022-02-05T00:00:00"/>
    <x v="0"/>
    <m/>
    <m/>
    <m/>
  </r>
  <r>
    <s v="Brüder Schlau GmbH &amp; Co. KG"/>
    <s v="Not a Customer"/>
    <s v="No growth Potential"/>
    <s v="Ban Roamer"/>
    <x v="7"/>
    <x v="490"/>
    <n v="118810"/>
    <s v="23-09-2022"/>
    <n v="0"/>
    <d v="2022-02-12T00:00:00"/>
    <x v="0"/>
    <m/>
    <m/>
    <m/>
  </r>
  <r>
    <s v="Christian Goldschmiede AG"/>
    <s v="Not a Customer"/>
    <s v="No growth Potential"/>
    <s v="Ban Roamer"/>
    <x v="10"/>
    <x v="234"/>
    <n v="85086"/>
    <s v="23-06-2022"/>
    <n v="0"/>
    <d v="2022-02-08T00:00:00"/>
    <x v="0"/>
    <m/>
    <m/>
    <m/>
  </r>
  <r>
    <s v="BUTLERS GmbH &amp; Co. KG"/>
    <s v="Not a Customer"/>
    <s v="No growth Potential"/>
    <s v="Ban Roamer"/>
    <x v="7"/>
    <x v="223"/>
    <n v="118955"/>
    <d v="2022-03-09T00:00:00"/>
    <n v="0"/>
    <d v="2022-02-11T00:00:00"/>
    <x v="0"/>
    <m/>
    <m/>
    <m/>
  </r>
  <r>
    <s v="European Energy Exchange AG"/>
    <s v="Not a Customer"/>
    <s v="No growth Potential"/>
    <s v="Ban Roamer"/>
    <x v="7"/>
    <x v="393"/>
    <n v="40909"/>
    <s v="13-05-2022"/>
    <n v="0"/>
    <d v="2022-02-07T00:00:00"/>
    <x v="0"/>
    <m/>
    <m/>
    <m/>
  </r>
  <r>
    <s v="AnyDesk Software GmbH"/>
    <s v="Not a Customer"/>
    <s v="No growth Potential"/>
    <s v="Ban Roamer"/>
    <x v="7"/>
    <x v="241"/>
    <n v="92898"/>
    <s v="13-01-2023"/>
    <n v="0"/>
    <d v="2023-02-02T00:00:00"/>
    <x v="2"/>
    <m/>
    <m/>
    <m/>
  </r>
  <r>
    <s v="Braas Alles Gut Bedacht"/>
    <s v="Not a Customer"/>
    <s v="No growth Potential"/>
    <s v="Ban Roamer"/>
    <x v="7"/>
    <x v="9"/>
    <n v="44975"/>
    <s v="22-12-2021"/>
    <n v="0"/>
    <d v="2022-02-03T00:00:00"/>
    <x v="0"/>
    <m/>
    <m/>
    <m/>
  </r>
  <r>
    <s v="Stadtgemeinde Leonding"/>
    <s v="Not a Customer"/>
    <s v="No growth Potential"/>
    <s v="Ban Roamer"/>
    <x v="9"/>
    <x v="491"/>
    <n v="143641"/>
    <d v="2022-01-01T00:00:00"/>
    <n v="0"/>
    <d v="2022-02-03T00:00:00"/>
    <x v="0"/>
    <m/>
    <m/>
    <m/>
  </r>
  <r>
    <s v="B·A·D Gesundheitsvorsorge und Sicherheitstechnik GmbH"/>
    <s v="Not a Customer"/>
    <s v="No growth Potential"/>
    <s v="Ban Roamer"/>
    <x v="7"/>
    <x v="198"/>
    <n v="199851"/>
    <d v="2022-03-09T00:00:00"/>
    <n v="0"/>
    <d v="2022-02-11T00:00:00"/>
    <x v="0"/>
    <m/>
    <m/>
    <m/>
  </r>
  <r>
    <s v="Landesärztekammer Hessen"/>
    <s v="Not a Customer"/>
    <s v="No growth Potential"/>
    <s v="Ban Roamer"/>
    <x v="7"/>
    <x v="381"/>
    <n v="42413"/>
    <s v="24-11-2021"/>
    <n v="0"/>
    <d v="2022-02-02T00:00:00"/>
    <x v="0"/>
    <m/>
    <m/>
    <m/>
  </r>
  <r>
    <s v="BIKE &amp; OUTDOOR COMPANY GmbH &amp; Co. KG"/>
    <s v="Not a Customer"/>
    <s v="No growth Potential"/>
    <s v="Ban Roamer"/>
    <x v="7"/>
    <x v="227"/>
    <n v="57603"/>
    <s v="23-09-2022"/>
    <n v="0"/>
    <d v="2022-02-11T00:00:00"/>
    <x v="0"/>
    <m/>
    <m/>
    <m/>
  </r>
  <r>
    <s v="die.interaktiven GmbH &amp; Co. KG"/>
    <s v="Not a Customer"/>
    <s v="No growth Potential"/>
    <s v="Ban Roamer"/>
    <x v="7"/>
    <x v="9"/>
    <n v="162488"/>
    <s v="13-08-2022"/>
    <n v="0"/>
    <d v="2022-02-10T00:00:00"/>
    <x v="0"/>
    <m/>
    <m/>
    <m/>
  </r>
  <r>
    <s v="Siegfried AG"/>
    <s v="Not a Customer"/>
    <s v="No growth Potential"/>
    <s v="Ban Roamer"/>
    <x v="10"/>
    <x v="492"/>
    <n v="79855"/>
    <s v="23-09-2022"/>
    <n v="0"/>
    <d v="2022-02-11T00:00:00"/>
    <x v="0"/>
    <m/>
    <m/>
    <m/>
  </r>
  <r>
    <s v="EFG International"/>
    <s v="Not a Customer"/>
    <s v="No growth Potential"/>
    <s v="Ban Roamer"/>
    <x v="10"/>
    <x v="404"/>
    <n v="100788"/>
    <s v="23-09-2022"/>
    <n v="0"/>
    <d v="2022-02-11T00:00:00"/>
    <x v="0"/>
    <m/>
    <m/>
    <m/>
  </r>
  <r>
    <s v="Diringer &amp; Scheidel Gmbh"/>
    <s v="Not a Customer"/>
    <s v="No growth Potential"/>
    <s v="Ban Roamer"/>
    <x v="7"/>
    <x v="190"/>
    <n v="178327"/>
    <s v="24-08-2022"/>
    <n v="0"/>
    <d v="2022-02-11T00:00:00"/>
    <x v="0"/>
    <m/>
    <m/>
    <m/>
  </r>
  <r>
    <s v="Kamps"/>
    <s v="Not a Customer"/>
    <s v="No growth Potential"/>
    <s v="Ban Roamer"/>
    <x v="7"/>
    <x v="430"/>
    <n v="103310"/>
    <s v="23-01-2022"/>
    <n v="0"/>
    <d v="2022-02-02T00:00:00"/>
    <x v="0"/>
    <m/>
    <m/>
    <m/>
  </r>
  <r>
    <s v="UDG United Digital Group GmbH"/>
    <s v="Active Customer"/>
    <s v="Medium Growth"/>
    <s v="Ban Roamer"/>
    <x v="7"/>
    <x v="493"/>
    <n v="170814"/>
    <d v="2023-03-05T00:00:00"/>
    <n v="24402"/>
    <s v="23-05-2023"/>
    <x v="9"/>
    <m/>
    <m/>
    <m/>
  </r>
  <r>
    <s v="regio iT gesellschaft für informationstechnologie mbh"/>
    <s v="Not a Customer"/>
    <s v="No growth Potential"/>
    <s v="Ban Roamer"/>
    <x v="7"/>
    <x v="316"/>
    <n v="80118"/>
    <s v="23-05-2021"/>
    <n v="0"/>
    <d v="2021-01-08T00:00:00"/>
    <x v="5"/>
    <m/>
    <m/>
    <m/>
  </r>
  <r>
    <s v="Kreisverwaltung Unna"/>
    <s v="Not a Customer"/>
    <s v="No growth Potential"/>
    <s v="Ban Roamer"/>
    <x v="7"/>
    <x v="494"/>
    <n v="124559"/>
    <s v="24-07-2022"/>
    <n v="0"/>
    <d v="2022-02-10T00:00:00"/>
    <x v="0"/>
    <m/>
    <m/>
    <m/>
  </r>
  <r>
    <s v="Senvion GmbH"/>
    <s v="Not a Customer"/>
    <s v="No growth Potential"/>
    <s v="Ban Roamer"/>
    <x v="7"/>
    <x v="227"/>
    <n v="122620"/>
    <s v="13-09-2022"/>
    <n v="0"/>
    <d v="2022-02-11T00:00:00"/>
    <x v="0"/>
    <m/>
    <m/>
    <m/>
  </r>
  <r>
    <s v="Blume 2000 new media ag"/>
    <s v="Not a Customer"/>
    <s v="No growth Potential"/>
    <s v="Ban Roamer"/>
    <x v="7"/>
    <x v="353"/>
    <n v="47890"/>
    <s v="22-08-2021"/>
    <n v="0"/>
    <d v="2021-01-09T00:00:00"/>
    <x v="5"/>
    <m/>
    <m/>
    <m/>
  </r>
  <r>
    <s v="DOK SYSTEME"/>
    <s v="Not a Customer"/>
    <s v="No growth Potential"/>
    <s v="Ban Roamer"/>
    <x v="7"/>
    <x v="213"/>
    <n v="113694"/>
    <s v="13-09-2022"/>
    <n v="0"/>
    <d v="2022-02-11T00:00:00"/>
    <x v="0"/>
    <m/>
    <m/>
    <m/>
  </r>
  <r>
    <s v="Hans Segmüller Polstermöbelfabrik GmbH &amp; Co. KG"/>
    <s v="Not a Customer"/>
    <s v="No growth Potential"/>
    <s v="Ban Roamer"/>
    <x v="7"/>
    <x v="495"/>
    <n v="131573"/>
    <s v="14-12-2021"/>
    <n v="0"/>
    <d v="2022-02-02T00:00:00"/>
    <x v="0"/>
    <m/>
    <m/>
    <m/>
  </r>
  <r>
    <s v="OOEV"/>
    <s v="Not a Customer"/>
    <s v="No growth Potential"/>
    <s v="Ban Roamer"/>
    <x v="9"/>
    <x v="9"/>
    <n v="92127"/>
    <s v="23-10-2022"/>
    <n v="0"/>
    <d v="2022-02-11T00:00:00"/>
    <x v="0"/>
    <m/>
    <m/>
    <m/>
  </r>
  <r>
    <s v="Erich NETZSCH GmbH &amp; Co. Holding KG"/>
    <s v="Not a Customer"/>
    <s v="No growth Potential"/>
    <s v="Ban Roamer"/>
    <x v="7"/>
    <x v="496"/>
    <n v="122628"/>
    <s v="23-09-2022"/>
    <n v="0"/>
    <d v="2022-02-11T00:00:00"/>
    <x v="0"/>
    <m/>
    <m/>
    <m/>
  </r>
  <r>
    <s v="KHS GmbH"/>
    <s v="Not a Customer"/>
    <s v="No growth Potential"/>
    <s v="Ban Roamer"/>
    <x v="7"/>
    <x v="363"/>
    <n v="74399"/>
    <s v="24-08-2022"/>
    <n v="0"/>
    <d v="2022-02-11T00:00:00"/>
    <x v="0"/>
    <m/>
    <m/>
    <m/>
  </r>
  <r>
    <s v="eCom Logistik GmbH &amp; Co. KG"/>
    <s v="Not a Customer"/>
    <s v="No growth Potential"/>
    <s v="Ban Roamer"/>
    <x v="7"/>
    <x v="497"/>
    <n v="58295"/>
    <s v="24-08-2022"/>
    <n v="0"/>
    <d v="2022-02-11T00:00:00"/>
    <x v="0"/>
    <m/>
    <m/>
    <m/>
  </r>
  <r>
    <s v="Ankerkraut GmbH"/>
    <s v="Not a Customer"/>
    <s v="No growth Potential"/>
    <s v="Ban Roamer"/>
    <x v="7"/>
    <x v="498"/>
    <n v="118703"/>
    <s v="13-07-2022"/>
    <n v="0"/>
    <d v="2022-02-08T00:00:00"/>
    <x v="0"/>
    <m/>
    <m/>
    <m/>
  </r>
  <r>
    <s v="Cotecna"/>
    <s v="Not a Customer"/>
    <s v="No growth Potential"/>
    <s v="Ban Roamer"/>
    <x v="10"/>
    <x v="9"/>
    <n v="140673"/>
    <s v="13-05-2022"/>
    <n v="0"/>
    <d v="2022-02-07T00:00:00"/>
    <x v="0"/>
    <m/>
    <m/>
    <m/>
  </r>
  <r>
    <s v="Keramik Keramische Werke GmbH"/>
    <s v="Not a Customer"/>
    <s v="No growth Potential"/>
    <s v="Ban Roamer"/>
    <x v="7"/>
    <x v="203"/>
    <n v="136262"/>
    <s v="22-01-2022"/>
    <n v="0"/>
    <d v="2022-02-04T00:00:00"/>
    <x v="0"/>
    <m/>
    <m/>
    <m/>
  </r>
  <r>
    <s v="Ev. Krankenhausgemeinschaft Herne-Castrop-Rauxel"/>
    <s v="Not a Customer"/>
    <s v="No growth Potential"/>
    <s v="Ban Roamer"/>
    <x v="7"/>
    <x v="499"/>
    <n v="55063"/>
    <d v="2022-12-06T00:00:00"/>
    <n v="0"/>
    <d v="2022-02-07T00:00:00"/>
    <x v="0"/>
    <m/>
    <m/>
    <m/>
  </r>
  <r>
    <s v="E/D/E ? Einkaufsbüro Deutscher Eisenhändler"/>
    <s v="Not a Customer"/>
    <s v="No growth Potential"/>
    <s v="Ban Roamer"/>
    <x v="7"/>
    <x v="238"/>
    <n v="113586"/>
    <d v="2022-03-11T00:00:00"/>
    <n v="0"/>
    <d v="2023-02-01T00:00:00"/>
    <x v="2"/>
    <m/>
    <m/>
    <m/>
  </r>
  <r>
    <s v="CHRIST Juweliere und Uhrmacher seit 1863 GmbH"/>
    <s v="Not a Customer"/>
    <s v="No growth Potential"/>
    <s v="Ban Roamer"/>
    <x v="7"/>
    <x v="384"/>
    <n v="105276"/>
    <s v="22-02-2022"/>
    <n v="0"/>
    <d v="2022-04-03T00:00:00"/>
    <x v="4"/>
    <m/>
    <m/>
    <m/>
  </r>
  <r>
    <s v="item Industrietechnik GmbH"/>
    <s v="Not a Customer"/>
    <s v="No growth Potential"/>
    <s v="Ban Roamer"/>
    <x v="7"/>
    <x v="192"/>
    <n v="101400"/>
    <s v="23-10-2022"/>
    <n v="0"/>
    <d v="2022-02-11T00:00:00"/>
    <x v="0"/>
    <m/>
    <m/>
    <m/>
  </r>
  <r>
    <s v="EBF-EDV Beratung Föllmer GmbH"/>
    <s v="Not a Customer"/>
    <s v="No growth Potential"/>
    <s v="Ban Roamer"/>
    <x v="7"/>
    <x v="223"/>
    <n v="93074"/>
    <d v="2022-03-10T00:00:00"/>
    <n v="0"/>
    <d v="2022-02-12T00:00:00"/>
    <x v="0"/>
    <m/>
    <m/>
    <m/>
  </r>
  <r>
    <s v="HTBLA Traun"/>
    <s v="Not a Customer"/>
    <s v="No growth Potential"/>
    <s v="Ban Roamer"/>
    <x v="9"/>
    <x v="500"/>
    <n v="103312"/>
    <d v="2022-04-07T00:00:00"/>
    <n v="0"/>
    <d v="2022-02-09T00:00:00"/>
    <x v="0"/>
    <m/>
    <m/>
    <m/>
  </r>
  <r>
    <s v="NORDSEE GmbH"/>
    <s v="Not a Customer"/>
    <s v="No growth Potential"/>
    <s v="Ban Roamer"/>
    <x v="7"/>
    <x v="501"/>
    <n v="164828"/>
    <d v="2022-03-10T00:00:00"/>
    <n v="0"/>
    <d v="2022-02-11T00:00:00"/>
    <x v="0"/>
    <m/>
    <m/>
    <m/>
  </r>
  <r>
    <s v="SVA System Vertrieb Alexander GmbH"/>
    <s v="Not a Customer"/>
    <s v="No growth Potential"/>
    <s v="Ban Roamer"/>
    <x v="7"/>
    <x v="363"/>
    <n v="403644"/>
    <d v="2021-03-12T00:00:00"/>
    <n v="0"/>
    <d v="2022-01-02T00:00:00"/>
    <x v="0"/>
    <m/>
    <m/>
    <m/>
  </r>
  <r>
    <s v="Büromarkt Böttcher AG"/>
    <s v="Not a Customer"/>
    <s v="No growth Potential"/>
    <s v="Ban Roamer"/>
    <x v="7"/>
    <x v="9"/>
    <n v="403777"/>
    <s v="23-04-2022"/>
    <n v="0"/>
    <d v="2022-02-06T00:00:00"/>
    <x v="0"/>
    <m/>
    <m/>
    <m/>
  </r>
  <r>
    <s v="Degussa Goldhandel GmbH"/>
    <s v="Not a Customer"/>
    <s v="No growth Potential"/>
    <s v="Ban Roamer"/>
    <x v="7"/>
    <x v="220"/>
    <n v="350877"/>
    <s v="23-05-2022"/>
    <n v="0"/>
    <d v="2022-02-07T00:00:00"/>
    <x v="0"/>
    <m/>
    <m/>
    <m/>
  </r>
  <r>
    <s v="Lapado Handelsgesellschaft mbH"/>
    <s v="Not a Customer"/>
    <s v="No growth Potential"/>
    <s v="Ban Roamer"/>
    <x v="7"/>
    <x v="502"/>
    <n v="218991"/>
    <s v="23-01-2022"/>
    <n v="0"/>
    <d v="2022-02-02T00:00:00"/>
    <x v="0"/>
    <m/>
    <m/>
    <m/>
  </r>
  <r>
    <s v="Mekra"/>
    <s v="Not a Customer"/>
    <s v="No growth Potential"/>
    <s v="Ban Roamer"/>
    <x v="7"/>
    <x v="9"/>
    <n v="121680"/>
    <d v="2022-12-04T00:00:00"/>
    <n v="0"/>
    <d v="2022-02-05T00:00:00"/>
    <x v="0"/>
    <m/>
    <m/>
    <m/>
  </r>
  <r>
    <s v="erfal GmbH &amp; Co. KG"/>
    <s v="Not a Customer"/>
    <s v="No growth Potential"/>
    <s v="Ban Roamer"/>
    <x v="7"/>
    <x v="503"/>
    <m/>
    <s v="13-03-2022"/>
    <n v="0"/>
    <d v="2022-02-04T00:00:00"/>
    <x v="0"/>
    <m/>
    <m/>
    <m/>
  </r>
  <r>
    <s v="SDV Vergabe GmbH"/>
    <s v="Not a Customer"/>
    <s v="No growth Potential"/>
    <s v="Ban Roamer"/>
    <x v="7"/>
    <x v="504"/>
    <n v="209133"/>
    <s v="24-07-2022"/>
    <n v="0"/>
    <d v="2022-02-09T00:00:00"/>
    <x v="0"/>
    <m/>
    <m/>
    <m/>
  </r>
  <r>
    <s v="Ernst Dello GmbH &amp; Co. KG"/>
    <s v="Not a Customer"/>
    <s v="No growth Potential"/>
    <s v="Ban Roamer"/>
    <x v="7"/>
    <x v="227"/>
    <n v="184665"/>
    <s v="24-08-2022"/>
    <n v="0"/>
    <d v="2022-02-11T00:00:00"/>
    <x v="0"/>
    <m/>
    <m/>
    <m/>
  </r>
  <r>
    <s v="GöTel GmbH"/>
    <s v="Not a Customer"/>
    <s v="No growth Potential"/>
    <s v="Ban Roamer"/>
    <x v="7"/>
    <x v="505"/>
    <n v="42980"/>
    <s v="24-08-2022"/>
    <n v="0"/>
    <d v="2022-02-11T00:00:00"/>
    <x v="0"/>
    <m/>
    <m/>
    <m/>
  </r>
  <r>
    <s v="DER Fuchs GmbH"/>
    <s v="Not a Customer"/>
    <s v="No growth Potential"/>
    <s v="Ban Roamer"/>
    <x v="7"/>
    <x v="506"/>
    <n v="149219"/>
    <s v="13-10-2022"/>
    <n v="0"/>
    <d v="2022-02-11T00:00:00"/>
    <x v="0"/>
    <m/>
    <m/>
    <m/>
  </r>
  <r>
    <s v="CPC Unternehmensmanagement AG"/>
    <s v="Not a Customer"/>
    <s v="No growth Potential"/>
    <s v="Ban Roamer"/>
    <x v="7"/>
    <x v="381"/>
    <n v="132275"/>
    <s v="13-05-2023"/>
    <n v="0"/>
    <d v="2023-02-06T00:00:00"/>
    <x v="2"/>
    <m/>
    <m/>
    <m/>
  </r>
  <r>
    <s v="Springlane GmbH"/>
    <s v="Not a Customer"/>
    <s v="No growth Potential"/>
    <s v="Ban Roamer"/>
    <x v="7"/>
    <x v="430"/>
    <n v="146500"/>
    <s v="13-07-2022"/>
    <n v="0"/>
    <d v="2022-02-08T00:00:00"/>
    <x v="0"/>
    <m/>
    <m/>
    <m/>
  </r>
  <r>
    <s v="Reichelt Elektronik GmbH &amp; Co. KG"/>
    <s v="Not a Customer"/>
    <s v="No growth Potential"/>
    <s v="Ban Roamer"/>
    <x v="7"/>
    <x v="507"/>
    <n v="126360"/>
    <d v="2022-03-10T00:00:00"/>
    <n v="0"/>
    <d v="2022-02-11T00:00:00"/>
    <x v="0"/>
    <m/>
    <m/>
    <m/>
  </r>
  <r>
    <s v="SCHUNK GmbH &amp; Co. KG"/>
    <s v="Not a Customer"/>
    <s v="No growth Potential"/>
    <s v="Ban Roamer"/>
    <x v="7"/>
    <x v="508"/>
    <n v="109475"/>
    <s v="13-10-2022"/>
    <n v="0"/>
    <d v="2022-02-11T00:00:00"/>
    <x v="0"/>
    <m/>
    <m/>
    <m/>
  </r>
  <r>
    <s v="Roast Market GmbH"/>
    <s v="Not a Customer"/>
    <s v="No growth Potential"/>
    <s v="Ban Roamer"/>
    <x v="7"/>
    <x v="381"/>
    <n v="130170"/>
    <s v="22-12-2021"/>
    <n v="0"/>
    <d v="2022-02-03T00:00:00"/>
    <x v="0"/>
    <m/>
    <m/>
    <m/>
  </r>
  <r>
    <s v="Handelshaus Wagner GmbH"/>
    <s v="Not a Customer"/>
    <s v="No growth Potential"/>
    <s v="Ban Roamer"/>
    <x v="7"/>
    <x v="509"/>
    <n v="139354"/>
    <s v="23-01-2022"/>
    <n v="0"/>
    <d v="2022-02-02T00:00:00"/>
    <x v="0"/>
    <m/>
    <m/>
    <m/>
  </r>
  <r>
    <s v="RatePAY GmbH"/>
    <s v="Active Customer"/>
    <s v="High Growth potential"/>
    <s v="Ban Roamer"/>
    <x v="7"/>
    <x v="204"/>
    <n v="143630"/>
    <s v="25-12-2021"/>
    <n v="71815"/>
    <s v="23-02-2022"/>
    <x v="0"/>
    <m/>
    <m/>
    <m/>
  </r>
  <r>
    <s v="Neopoly GmbH"/>
    <s v="Not a Customer"/>
    <s v="No growth Potential"/>
    <s v="Ban Roamer"/>
    <x v="7"/>
    <x v="376"/>
    <n v="383121"/>
    <s v="13-09-2022"/>
    <n v="0"/>
    <d v="2022-02-11T00:00:00"/>
    <x v="0"/>
    <m/>
    <m/>
    <m/>
  </r>
  <r>
    <s v="KAISER+KRAFT GmbH"/>
    <s v="Not a Customer"/>
    <s v="No growth Potential"/>
    <s v="Ban Roamer"/>
    <x v="7"/>
    <x v="241"/>
    <n v="78686"/>
    <d v="2022-03-09T00:00:00"/>
    <n v="0"/>
    <d v="2022-02-11T00:00:00"/>
    <x v="0"/>
    <m/>
    <m/>
    <m/>
  </r>
  <r>
    <s v="Fielmann AG"/>
    <s v="Active Customer"/>
    <s v="Medium Growth"/>
    <s v="Ban Roamer"/>
    <x v="7"/>
    <x v="227"/>
    <n v="85668"/>
    <s v="26-04-2022"/>
    <n v="42834"/>
    <d v="2022-05-06T00:00:00"/>
    <x v="4"/>
    <m/>
    <m/>
    <m/>
  </r>
  <r>
    <s v="KATAG AG"/>
    <s v="Not a Customer"/>
    <s v="No growth Potential"/>
    <s v="Ban Roamer"/>
    <x v="7"/>
    <x v="446"/>
    <n v="114524"/>
    <d v="2022-03-09T00:00:00"/>
    <n v="0"/>
    <d v="2022-02-11T00:00:00"/>
    <x v="0"/>
    <m/>
    <m/>
    <m/>
  </r>
  <r>
    <s v="Caseking GmbH"/>
    <s v="Not a Customer"/>
    <s v="No growth Potential"/>
    <s v="Ban Roamer"/>
    <x v="7"/>
    <x v="204"/>
    <n v="126095"/>
    <d v="2022-03-01T00:00:00"/>
    <n v="0"/>
    <d v="2022-02-02T00:00:00"/>
    <x v="0"/>
    <m/>
    <m/>
    <m/>
  </r>
  <r>
    <s v="RIEDEL Communications GmbH &amp; Co. KG"/>
    <s v="Not a Customer"/>
    <s v="No growth Potential"/>
    <s v="Ban Roamer"/>
    <x v="7"/>
    <x v="238"/>
    <n v="28516"/>
    <s v="21-02-2023"/>
    <n v="0"/>
    <d v="2023-02-04T00:00:00"/>
    <x v="2"/>
    <m/>
    <m/>
    <m/>
  </r>
  <r>
    <s v="MONACOR INTERNATIONAL GmbH &amp; Co. KG"/>
    <s v="Not a Customer"/>
    <s v="No growth Potential"/>
    <s v="Ban Roamer"/>
    <x v="7"/>
    <x v="387"/>
    <n v="218565"/>
    <d v="2022-03-10T00:00:00"/>
    <n v="0"/>
    <d v="2022-02-11T00:00:00"/>
    <x v="0"/>
    <m/>
    <m/>
    <m/>
  </r>
  <r>
    <s v="UTM Muellergroup"/>
    <s v="Not a Customer"/>
    <s v="No growth Potential"/>
    <s v="Ban Roamer"/>
    <x v="7"/>
    <x v="510"/>
    <n v="118900"/>
    <s v="23-10-2022"/>
    <n v="0"/>
    <d v="2022-02-11T00:00:00"/>
    <x v="0"/>
    <m/>
    <m/>
    <m/>
  </r>
  <r>
    <s v="Futurways GmbH"/>
    <s v="Not a Customer"/>
    <s v="No growth Potential"/>
    <s v="Ban Roamer"/>
    <x v="10"/>
    <x v="9"/>
    <n v="172647"/>
    <d v="2022-02-06T00:00:00"/>
    <n v="0"/>
    <d v="2022-02-07T00:00:00"/>
    <x v="0"/>
    <m/>
    <m/>
    <m/>
  </r>
  <r>
    <s v="bc GmbH &amp; Co."/>
    <s v="Not a Customer"/>
    <s v="No growth Potential"/>
    <s v="Ban Roamer"/>
    <x v="7"/>
    <x v="511"/>
    <n v="103753"/>
    <d v="2022-03-10T00:00:00"/>
    <n v="0"/>
    <d v="2022-02-11T00:00:00"/>
    <x v="0"/>
    <m/>
    <m/>
    <m/>
  </r>
  <r>
    <s v="ATP Auto-Teile-Pöllath Handels GmbH"/>
    <s v="Not a Customer"/>
    <s v="No growth Potential"/>
    <s v="Ban Roamer"/>
    <x v="7"/>
    <x v="512"/>
    <n v="122275"/>
    <s v="22-08-2021"/>
    <n v="0"/>
    <d v="2021-01-09T00:00:00"/>
    <x v="5"/>
    <m/>
    <m/>
    <m/>
  </r>
  <r>
    <s v="GetYourGuide AG"/>
    <s v="Not a Customer"/>
    <s v="No growth Potential"/>
    <s v="Ban Roamer"/>
    <x v="10"/>
    <x v="404"/>
    <n v="144595"/>
    <s v="24-08-2022"/>
    <n v="0"/>
    <d v="2022-02-11T00:00:00"/>
    <x v="0"/>
    <m/>
    <m/>
    <m/>
  </r>
  <r>
    <s v="BOA Group"/>
    <s v="Not a Customer"/>
    <s v="No growth Potential"/>
    <s v="Ban Roamer"/>
    <x v="7"/>
    <x v="513"/>
    <n v="143620"/>
    <s v="24-08-2022"/>
    <n v="0"/>
    <d v="2022-02-11T00:00:00"/>
    <x v="0"/>
    <m/>
    <m/>
    <m/>
  </r>
  <r>
    <s v="Bausch+Ströbel"/>
    <s v="Not a Customer"/>
    <s v="No growth Potential"/>
    <s v="Ban Roamer"/>
    <x v="7"/>
    <x v="9"/>
    <m/>
    <s v="14-12-2021"/>
    <n v="0"/>
    <d v="2022-02-02T00:00:00"/>
    <x v="0"/>
    <m/>
    <m/>
    <m/>
  </r>
  <r>
    <s v="WERU GmbH"/>
    <s v="Not a Customer"/>
    <s v="No growth Potential"/>
    <s v="Ban Roamer"/>
    <x v="7"/>
    <x v="514"/>
    <n v="86471"/>
    <s v="13-10-2022"/>
    <n v="0"/>
    <d v="2022-02-11T00:00:00"/>
    <x v="0"/>
    <m/>
    <m/>
    <m/>
  </r>
  <r>
    <s v="Schecker GmbH"/>
    <s v="Not a Customer"/>
    <s v="No growth Potential"/>
    <s v="Ban Roamer"/>
    <x v="7"/>
    <x v="515"/>
    <n v="189466"/>
    <s v="23-09-2022"/>
    <n v="0"/>
    <d v="2022-02-11T00:00:00"/>
    <x v="0"/>
    <m/>
    <m/>
    <m/>
  </r>
  <r>
    <s v="Evangelische Perthes-Stiftung eV"/>
    <s v="Not a Customer"/>
    <s v="No growth Potential"/>
    <s v="Ban Roamer"/>
    <x v="7"/>
    <x v="516"/>
    <n v="311127"/>
    <d v="2022-10-02T00:00:00"/>
    <n v="0"/>
    <d v="2022-02-03T00:00:00"/>
    <x v="0"/>
    <m/>
    <m/>
    <m/>
  </r>
  <r>
    <s v="M+W Group GmbH"/>
    <s v="Not a Customer"/>
    <s v="No growth Potential"/>
    <s v="Ban Roamer"/>
    <x v="7"/>
    <x v="241"/>
    <n v="72195"/>
    <s v="13-09-2022"/>
    <n v="0"/>
    <d v="2022-02-11T00:00:00"/>
    <x v="0"/>
    <m/>
    <m/>
    <m/>
  </r>
  <r>
    <s v="CureVac AG"/>
    <s v="Not a Customer"/>
    <s v="No growth Potential"/>
    <s v="Ban Roamer"/>
    <x v="7"/>
    <x v="460"/>
    <n v="87983"/>
    <s v="13-05-2022"/>
    <n v="0"/>
    <d v="2022-02-06T00:00:00"/>
    <x v="0"/>
    <m/>
    <m/>
    <m/>
  </r>
  <r>
    <s v="KHD Humboldt Wedag International AG"/>
    <s v="Not a Customer"/>
    <s v="No growth Potential"/>
    <s v="Ban Roamer"/>
    <x v="7"/>
    <x v="517"/>
    <n v="153536"/>
    <s v="21-02-2023"/>
    <n v="0"/>
    <d v="2023-02-05T00:00:00"/>
    <x v="2"/>
    <m/>
    <m/>
    <m/>
  </r>
  <r>
    <s v="Information Service Center WBF ISCeco"/>
    <s v="Not a Customer"/>
    <s v="No growth Potential"/>
    <s v="Ban Roamer"/>
    <x v="10"/>
    <x v="359"/>
    <n v="100504"/>
    <s v="23-05-2022"/>
    <n v="0"/>
    <d v="2022-02-07T00:00:00"/>
    <x v="0"/>
    <m/>
    <m/>
    <m/>
  </r>
  <r>
    <s v="Miele &amp; Cie. KG"/>
    <s v="Active Customer"/>
    <s v="No growth Potential"/>
    <s v="Ban Roamer"/>
    <x v="7"/>
    <x v="518"/>
    <n v="143789"/>
    <s v="25-10-2022"/>
    <n v="71894"/>
    <s v="14-11-2022"/>
    <x v="1"/>
    <m/>
    <m/>
    <m/>
  </r>
  <r>
    <s v="GEFRO-Reformversand Frommlet KG - gefro.de"/>
    <s v="Not a Customer"/>
    <s v="No growth Potential"/>
    <s v="Ban Roamer"/>
    <x v="7"/>
    <x v="519"/>
    <n v="101425"/>
    <s v="21-02-2023"/>
    <n v="0"/>
    <d v="2023-02-05T00:00:00"/>
    <x v="2"/>
    <m/>
    <m/>
    <m/>
  </r>
  <r>
    <s v="Symrise AG"/>
    <s v="Not a Customer"/>
    <s v="No growth Potential"/>
    <s v="Ban Roamer"/>
    <x v="7"/>
    <x v="520"/>
    <n v="288868"/>
    <s v="24-08-2022"/>
    <n v="0"/>
    <d v="2022-02-11T00:00:00"/>
    <x v="0"/>
    <m/>
    <m/>
    <m/>
  </r>
  <r>
    <s v="Picanova GmbH"/>
    <s v="Not a Customer"/>
    <s v="No growth Potential"/>
    <s v="Ban Roamer"/>
    <x v="7"/>
    <x v="521"/>
    <n v="74394"/>
    <s v="23-03-2022"/>
    <n v="0"/>
    <d v="2022-02-04T00:00:00"/>
    <x v="0"/>
    <m/>
    <m/>
    <m/>
  </r>
  <r>
    <s v="Neuspur"/>
    <s v="Not a Customer"/>
    <s v="No growth Potential"/>
    <s v="Ban Roamer"/>
    <x v="7"/>
    <x v="204"/>
    <n v="105714"/>
    <s v="24-08-2022"/>
    <n v="0"/>
    <d v="2022-02-11T00:00:00"/>
    <x v="0"/>
    <m/>
    <m/>
    <m/>
  </r>
  <r>
    <s v="Corden Pharma"/>
    <s v="Not a Customer"/>
    <s v="No growth Potential"/>
    <s v="Ban Roamer"/>
    <x v="10"/>
    <x v="9"/>
    <n v="209804"/>
    <d v="2022-12-09T00:00:00"/>
    <n v="0"/>
    <d v="2022-02-10T00:00:00"/>
    <x v="0"/>
    <m/>
    <m/>
    <m/>
  </r>
  <r>
    <s v="EPAM Systems GmbH"/>
    <s v="Not a Customer"/>
    <s v="No growth Potential"/>
    <s v="Ban Roamer"/>
    <x v="7"/>
    <x v="381"/>
    <n v="104785"/>
    <s v="13-10-2022"/>
    <n v="0"/>
    <d v="2022-02-11T00:00:00"/>
    <x v="0"/>
    <m/>
    <m/>
    <m/>
  </r>
  <r>
    <s v="Triple A Marketing GmbH"/>
    <s v="Not a Customer"/>
    <s v="No growth Potential"/>
    <s v="Ban Roamer"/>
    <x v="7"/>
    <x v="446"/>
    <n v="353362"/>
    <d v="2022-03-09T00:00:00"/>
    <n v="0"/>
    <d v="2022-02-11T00:00:00"/>
    <x v="0"/>
    <m/>
    <m/>
    <m/>
  </r>
  <r>
    <s v="Herrenknecht AG"/>
    <s v="Not a Customer"/>
    <s v="No growth Potential"/>
    <s v="Ban Roamer"/>
    <x v="7"/>
    <x v="522"/>
    <n v="182024"/>
    <d v="2022-03-10T00:00:00"/>
    <n v="0"/>
    <d v="2022-02-11T00:00:00"/>
    <x v="0"/>
    <m/>
    <m/>
    <m/>
  </r>
  <r>
    <s v="LAYER-Grosshandel GmbH &amp; Co. KG"/>
    <s v="Not a Customer"/>
    <s v="No growth Potential"/>
    <s v="Ban Roamer"/>
    <x v="7"/>
    <x v="523"/>
    <n v="246074"/>
    <s v="23-12-2022"/>
    <n v="0"/>
    <d v="2023-02-01T00:00:00"/>
    <x v="2"/>
    <m/>
    <m/>
    <m/>
  </r>
  <r>
    <s v="Flightright GmbH"/>
    <s v="Not a Customer"/>
    <s v="No growth Potential"/>
    <s v="Ban Roamer"/>
    <x v="7"/>
    <x v="502"/>
    <n v="202454"/>
    <s v="24-08-2022"/>
    <n v="0"/>
    <d v="2022-02-11T00:00:00"/>
    <x v="0"/>
    <m/>
    <m/>
    <m/>
  </r>
  <r>
    <s v="Helen of Troy"/>
    <s v="Not a Customer"/>
    <s v="No growth Potential"/>
    <s v="Ban Roamer"/>
    <x v="10"/>
    <x v="9"/>
    <n v="118499"/>
    <d v="2022-03-09T00:00:00"/>
    <n v="0"/>
    <d v="2022-02-11T00:00:00"/>
    <x v="0"/>
    <m/>
    <m/>
    <m/>
  </r>
  <r>
    <s v="Riedel Networks GmbH &amp; Co. KG"/>
    <s v="Not a Customer"/>
    <s v="No growth Potential"/>
    <s v="Ban Roamer"/>
    <x v="7"/>
    <x v="357"/>
    <n v="124768"/>
    <s v="24-08-2022"/>
    <n v="0"/>
    <d v="2022-02-11T00:00:00"/>
    <x v="0"/>
    <m/>
    <m/>
    <m/>
  </r>
  <r>
    <s v="Getec Energie"/>
    <s v="Not a Customer"/>
    <s v="No growth Potential"/>
    <s v="Ban Roamer"/>
    <x v="7"/>
    <x v="9"/>
    <n v="330450"/>
    <s v="23-09-2022"/>
    <n v="0"/>
    <d v="2022-02-11T00:00:00"/>
    <x v="0"/>
    <m/>
    <m/>
    <m/>
  </r>
  <r>
    <s v="Einrichtungshaus Ostermann GmbH &amp; Co.KG"/>
    <s v="Not a Customer"/>
    <s v="No growth Potential"/>
    <s v="Ban Roamer"/>
    <x v="7"/>
    <x v="524"/>
    <n v="39036"/>
    <s v="14-12-2022"/>
    <n v="0"/>
    <d v="2023-02-02T00:00:00"/>
    <x v="2"/>
    <m/>
    <m/>
    <m/>
  </r>
  <r>
    <s v="Last Minute Tours - Reisen in letzter Minute Flugticket - und Restplatzbörse Ges.m.b.H."/>
    <s v="Not a Customer"/>
    <s v="No growth Potential"/>
    <s v="Ban Roamer"/>
    <x v="9"/>
    <x v="330"/>
    <n v="56381"/>
    <s v="14-12-2021"/>
    <n v="0"/>
    <d v="2022-02-02T00:00:00"/>
    <x v="0"/>
    <m/>
    <m/>
    <m/>
  </r>
  <r>
    <s v="energis GmbH+"/>
    <s v="Not a Customer"/>
    <s v="No growth Potential"/>
    <s v="Ban Roamer"/>
    <x v="7"/>
    <x v="431"/>
    <n v="184685"/>
    <d v="2022-03-09T00:00:00"/>
    <n v="0"/>
    <d v="2022-02-11T00:00:00"/>
    <x v="0"/>
    <m/>
    <m/>
    <m/>
  </r>
  <r>
    <s v="Mikron"/>
    <s v="Not a Customer"/>
    <s v="No growth Potential"/>
    <s v="Ban Roamer"/>
    <x v="10"/>
    <x v="525"/>
    <n v="121682"/>
    <d v="2022-03-10T00:00:00"/>
    <n v="0"/>
    <d v="2022-02-11T00:00:00"/>
    <x v="0"/>
    <m/>
    <m/>
    <m/>
  </r>
  <r>
    <s v="Widder Hotel"/>
    <s v="Not a Customer"/>
    <s v="No growth Potential"/>
    <s v="Ban Roamer"/>
    <x v="10"/>
    <x v="9"/>
    <n v="217224"/>
    <s v="13-10-2022"/>
    <n v="0"/>
    <d v="2022-02-11T00:00:00"/>
    <x v="0"/>
    <m/>
    <m/>
    <m/>
  </r>
  <r>
    <s v="Buchbinder Rent-a-car"/>
    <s v="Not a Customer"/>
    <s v="No growth Potential"/>
    <s v="Ban Roamer"/>
    <x v="7"/>
    <x v="526"/>
    <n v="176371"/>
    <s v="22-04-2023"/>
    <n v="0"/>
    <d v="2023-02-05T00:00:00"/>
    <x v="2"/>
    <m/>
    <m/>
    <m/>
  </r>
  <r>
    <s v="Valartis Group AG"/>
    <s v="Not a Customer"/>
    <s v="No growth Potential"/>
    <s v="Ban Roamer"/>
    <x v="10"/>
    <x v="407"/>
    <n v="159032"/>
    <d v="2021-04-12T00:00:00"/>
    <n v="0"/>
    <d v="2022-02-02T00:00:00"/>
    <x v="0"/>
    <m/>
    <m/>
    <m/>
  </r>
  <r>
    <s v="Park Hyatt Zurich"/>
    <s v="Not a Customer"/>
    <s v="No growth Potential"/>
    <s v="Ban Roamer"/>
    <x v="10"/>
    <x v="9"/>
    <n v="70911"/>
    <s v="24-11-2021"/>
    <n v="0"/>
    <d v="2022-02-02T00:00:00"/>
    <x v="0"/>
    <m/>
    <m/>
    <m/>
  </r>
  <r>
    <s v="Giesswein Walkwaren AG"/>
    <s v="Not a Customer"/>
    <s v="No growth Potential"/>
    <s v="Ban Roamer"/>
    <x v="9"/>
    <x v="527"/>
    <n v="128399"/>
    <s v="22-11-2022"/>
    <n v="0"/>
    <d v="2022-02-12T00:00:00"/>
    <x v="0"/>
    <m/>
    <m/>
    <m/>
  </r>
  <r>
    <s v="3tre"/>
    <s v="Not a Customer"/>
    <s v="No growth Potential"/>
    <s v="Ban Roamer"/>
    <x v="10"/>
    <x v="9"/>
    <n v="74251"/>
    <s v="13-09-2022"/>
    <n v="0"/>
    <d v="2022-02-11T00:00:00"/>
    <x v="0"/>
    <m/>
    <m/>
    <m/>
  </r>
  <r>
    <s v="Gebrüder Martin GmbH &amp; Co. KG"/>
    <s v="Not a Customer"/>
    <s v="No growth Potential"/>
    <s v="Ban Roamer"/>
    <x v="7"/>
    <x v="528"/>
    <n v="115057"/>
    <s v="24-08-2022"/>
    <n v="0"/>
    <d v="2022-02-11T00:00:00"/>
    <x v="0"/>
    <m/>
    <m/>
    <m/>
  </r>
  <r>
    <s v="Tirendo Holding GmbH"/>
    <s v="Not a Customer"/>
    <s v="No growth Potential"/>
    <s v="Ban Roamer"/>
    <x v="7"/>
    <x v="204"/>
    <n v="116925"/>
    <d v="2022-03-09T00:00:00"/>
    <n v="0"/>
    <d v="2022-02-11T00:00:00"/>
    <x v="0"/>
    <m/>
    <m/>
    <m/>
  </r>
  <r>
    <s v="BBVA"/>
    <s v="Not a Customer"/>
    <s v="No growth Potential"/>
    <s v="Ban Roamer"/>
    <x v="10"/>
    <x v="9"/>
    <n v="218431"/>
    <d v="2022-03-10T00:00:00"/>
    <n v="0"/>
    <d v="2022-02-11T00:00:00"/>
    <x v="0"/>
    <m/>
    <m/>
    <m/>
  </r>
  <r>
    <s v="Kral AG"/>
    <s v="Not a Customer"/>
    <s v="No growth Potential"/>
    <s v="Ban Roamer"/>
    <x v="9"/>
    <x v="529"/>
    <n v="114529"/>
    <d v="2022-11-01T00:00:00"/>
    <n v="0"/>
    <d v="2022-02-03T00:00:00"/>
    <x v="0"/>
    <m/>
    <m/>
    <m/>
  </r>
  <r>
    <s v="Cineplex Deutschland GmbH &amp; Co. KG"/>
    <s v="Not a Customer"/>
    <s v="No growth Potential"/>
    <s v="Ban Roamer"/>
    <x v="7"/>
    <x v="238"/>
    <n v="61811"/>
    <s v="13-04-2023"/>
    <n v="0"/>
    <d v="2023-02-06T00:00:00"/>
    <x v="2"/>
    <m/>
    <m/>
    <m/>
  </r>
  <r>
    <s v="WIR Bank Cooperative"/>
    <s v="Not a Customer"/>
    <s v="No growth Potential"/>
    <s v="Ban Roamer"/>
    <x v="10"/>
    <x v="530"/>
    <n v="80117"/>
    <s v="24-03-2022"/>
    <n v="0"/>
    <d v="2022-02-06T00:00:00"/>
    <x v="0"/>
    <m/>
    <m/>
    <m/>
  </r>
  <r>
    <s v="zPDC GmbH"/>
    <s v="Not a Customer"/>
    <s v="No growth Potential"/>
    <s v="Ban Roamer"/>
    <x v="7"/>
    <x v="387"/>
    <n v="162884"/>
    <s v="23-10-2022"/>
    <n v="0"/>
    <d v="2022-02-11T00:00:00"/>
    <x v="0"/>
    <m/>
    <m/>
    <m/>
  </r>
  <r>
    <s v="KUKA AG"/>
    <s v="Active Customer"/>
    <s v="Medium Growth"/>
    <s v="Ban Roamer"/>
    <x v="7"/>
    <x v="410"/>
    <n v="199473"/>
    <d v="2022-04-11T00:00:00"/>
    <n v="99736"/>
    <s v="14-11-2022"/>
    <x v="1"/>
    <m/>
    <m/>
    <m/>
  </r>
  <r>
    <s v="Kanton Zug"/>
    <s v="Not a Customer"/>
    <s v="No growth Potential"/>
    <s v="Ban Roamer"/>
    <x v="10"/>
    <x v="459"/>
    <n v="74410"/>
    <d v="2022-03-01T00:00:00"/>
    <n v="0"/>
    <d v="2022-02-02T00:00:00"/>
    <x v="0"/>
    <m/>
    <m/>
    <m/>
  </r>
  <r>
    <s v="Schumacher GmbH"/>
    <s v="Not a Customer"/>
    <s v="No growth Potential"/>
    <s v="Ban Roamer"/>
    <x v="7"/>
    <x v="190"/>
    <n v="118668"/>
    <s v="24-03-2022"/>
    <n v="0"/>
    <d v="2022-02-06T00:00:00"/>
    <x v="0"/>
    <m/>
    <m/>
    <m/>
  </r>
  <r>
    <s v="Seal One AG"/>
    <s v="Not a Customer"/>
    <s v="No growth Potential"/>
    <s v="Ban Roamer"/>
    <x v="7"/>
    <x v="381"/>
    <n v="63766"/>
    <s v="21-01-2022"/>
    <n v="0"/>
    <d v="2022-02-03T00:00:00"/>
    <x v="0"/>
    <m/>
    <m/>
    <m/>
  </r>
  <r>
    <s v="J.Wagner GmbH"/>
    <s v="Not a Customer"/>
    <s v="No growth Potential"/>
    <s v="Ban Roamer"/>
    <x v="7"/>
    <x v="531"/>
    <n v="101282"/>
    <s v="22-01-2022"/>
    <n v="0"/>
    <d v="2022-02-04T00:00:00"/>
    <x v="0"/>
    <m/>
    <m/>
    <m/>
  </r>
  <r>
    <s v="ZWILLING J. A. Henckels AG"/>
    <s v="Not a Customer"/>
    <s v="No growth Potential"/>
    <s v="Ban Roamer"/>
    <x v="7"/>
    <x v="192"/>
    <n v="109936"/>
    <d v="2022-03-09T00:00:00"/>
    <n v="0"/>
    <d v="2022-02-11T00:00:00"/>
    <x v="0"/>
    <m/>
    <m/>
    <m/>
  </r>
  <r>
    <s v="Dieffenbacher GmbH &amp; Co. KG"/>
    <s v="Not a Customer"/>
    <s v="No growth Potential"/>
    <s v="Ban Roamer"/>
    <x v="7"/>
    <x v="532"/>
    <n v="112460"/>
    <s v="24-06-2022"/>
    <n v="0"/>
    <d v="2022-02-09T00:00:00"/>
    <x v="0"/>
    <m/>
    <m/>
    <m/>
  </r>
  <r>
    <s v="Meteomatics AG"/>
    <s v="Not a Customer"/>
    <s v="No growth Potential"/>
    <s v="Ban Roamer"/>
    <x v="10"/>
    <x v="221"/>
    <n v="368222"/>
    <s v="23-04-2022"/>
    <n v="0"/>
    <d v="2022-02-07T00:00:00"/>
    <x v="0"/>
    <m/>
    <m/>
    <m/>
  </r>
  <r>
    <s v="TEKFOR Holding GmbH"/>
    <s v="Not a Customer"/>
    <s v="No growth Potential"/>
    <s v="Ban Roamer"/>
    <x v="7"/>
    <x v="454"/>
    <n v="100356"/>
    <s v="13-10-2022"/>
    <n v="0"/>
    <d v="2022-02-11T00:00:00"/>
    <x v="0"/>
    <m/>
    <m/>
    <m/>
  </r>
  <r>
    <s v="METRO International AG"/>
    <s v="Not a Customer"/>
    <s v="No growth Potential"/>
    <s v="Ban Roamer"/>
    <x v="10"/>
    <x v="533"/>
    <n v="98316"/>
    <d v="2022-03-12T00:00:00"/>
    <n v="0"/>
    <d v="2023-02-01T00:00:00"/>
    <x v="2"/>
    <m/>
    <m/>
    <m/>
  </r>
  <r>
    <s v="Von Roll"/>
    <s v="Not a Customer"/>
    <s v="No growth Potential"/>
    <s v="Ban Roamer"/>
    <x v="10"/>
    <x v="9"/>
    <n v="106685"/>
    <s v="13-09-2022"/>
    <n v="0"/>
    <d v="2022-02-11T00:00:00"/>
    <x v="0"/>
    <m/>
    <m/>
    <m/>
  </r>
  <r>
    <s v="Oryx Energies"/>
    <s v="Not a Customer"/>
    <s v="No growth Potential"/>
    <s v="Ban Roamer"/>
    <x v="10"/>
    <x v="9"/>
    <n v="111923"/>
    <s v="23-09-2022"/>
    <n v="0"/>
    <d v="2022-02-11T00:00:00"/>
    <x v="0"/>
    <m/>
    <m/>
    <m/>
  </r>
  <r>
    <s v="Axians GNS AG"/>
    <s v="Not a Customer"/>
    <s v="No growth Potential"/>
    <s v="Ban Roamer"/>
    <x v="10"/>
    <x v="216"/>
    <n v="115032"/>
    <s v="21-02-2022"/>
    <n v="0"/>
    <d v="2022-02-04T00:00:00"/>
    <x v="0"/>
    <m/>
    <m/>
    <m/>
  </r>
  <r>
    <s v="Kepler Cheuvreux"/>
    <s v="Not a Customer"/>
    <s v="No growth Potential"/>
    <s v="Ban Roamer"/>
    <x v="10"/>
    <x v="197"/>
    <n v="104002"/>
    <s v="24-08-2022"/>
    <n v="0"/>
    <d v="2022-02-11T00:00:00"/>
    <x v="0"/>
    <m/>
    <m/>
    <m/>
  </r>
  <r>
    <s v="Bertschi AG"/>
    <s v="Not a Customer"/>
    <s v="No growth Potential"/>
    <s v="Ban Roamer"/>
    <x v="10"/>
    <x v="534"/>
    <n v="42376"/>
    <d v="2022-03-09T00:00:00"/>
    <n v="0"/>
    <d v="2022-02-11T00:00:00"/>
    <x v="0"/>
    <m/>
    <m/>
    <m/>
  </r>
  <r>
    <s v="Hoppe AG"/>
    <s v="Not a Customer"/>
    <s v="No growth Potential"/>
    <s v="Ban Roamer"/>
    <x v="10"/>
    <x v="9"/>
    <n v="75938"/>
    <s v="23-09-2022"/>
    <n v="0"/>
    <d v="2022-02-11T00:00:00"/>
    <x v="0"/>
    <m/>
    <m/>
    <m/>
  </r>
  <r>
    <s v="CPNV"/>
    <s v="Not a Customer"/>
    <s v="No growth Potential"/>
    <s v="Ban Roamer"/>
    <x v="10"/>
    <x v="9"/>
    <n v="98548"/>
    <s v="24-08-2022"/>
    <n v="0"/>
    <d v="2022-02-11T00:00:00"/>
    <x v="0"/>
    <m/>
    <m/>
    <m/>
  </r>
  <r>
    <s v="La Mobiliere"/>
    <s v="Not a Customer"/>
    <s v="No growth Potential"/>
    <s v="Ban Roamer"/>
    <x v="10"/>
    <x v="9"/>
    <n v="55019"/>
    <s v="13-01-2022"/>
    <n v="0"/>
    <d v="2022-02-02T00:00:00"/>
    <x v="0"/>
    <m/>
    <m/>
    <m/>
  </r>
  <r>
    <s v="Senn"/>
    <s v="Not a Customer"/>
    <s v="No growth Potential"/>
    <s v="Ban Roamer"/>
    <x v="10"/>
    <x v="9"/>
    <n v="139351"/>
    <s v="23-09-2022"/>
    <n v="0"/>
    <d v="2022-02-11T00:00:00"/>
    <x v="0"/>
    <m/>
    <m/>
    <m/>
  </r>
  <r>
    <s v="First Sensor AG"/>
    <s v="Not a Customer"/>
    <s v="No growth Potential"/>
    <s v="Ban Roamer"/>
    <x v="7"/>
    <x v="204"/>
    <n v="178875"/>
    <s v="23-09-2022"/>
    <n v="0"/>
    <d v="2022-02-11T00:00:00"/>
    <x v="0"/>
    <m/>
    <m/>
    <m/>
  </r>
  <r>
    <s v="EBS Sp. z o.o."/>
    <s v="Active Customer"/>
    <s v="High Growth potential"/>
    <s v="Rinika Oprah"/>
    <x v="12"/>
    <x v="535"/>
    <n v="144738"/>
    <s v="18-09-2022"/>
    <n v="72369"/>
    <s v="17-11-2022"/>
    <x v="1"/>
    <m/>
    <m/>
    <m/>
  </r>
  <r>
    <s v="Trading 212 LTD"/>
    <s v="Active Customer"/>
    <s v="High Growth potential"/>
    <s v="Rinika Oprah"/>
    <x v="15"/>
    <x v="536"/>
    <n v="139449"/>
    <s v="15-02-2022"/>
    <n v="27890"/>
    <s v="17-03-2022"/>
    <x v="0"/>
    <m/>
    <m/>
    <m/>
  </r>
  <r>
    <s v="S.C WEEGOO E-VOLVE S.R.L."/>
    <s v="Active Customer"/>
    <s v="High Growth potential"/>
    <s v="Rinika Oprah"/>
    <x v="16"/>
    <x v="537"/>
    <n v="101707"/>
    <d v="2022-03-11T00:00:00"/>
    <n v="50854"/>
    <s v="23-11-2022"/>
    <x v="1"/>
    <m/>
    <m/>
    <m/>
  </r>
  <r>
    <s v="Graphisoft SE"/>
    <s v="Active Customer"/>
    <s v="High Growth potential"/>
    <s v="Rinika Oprah"/>
    <x v="17"/>
    <x v="538"/>
    <n v="95993"/>
    <s v="13-02-2022"/>
    <n v="15999"/>
    <d v="2022-05-03T00:00:00"/>
    <x v="4"/>
    <m/>
    <m/>
    <m/>
  </r>
  <r>
    <s v="Solarity"/>
    <s v="Active Customer"/>
    <s v="High Growth potential"/>
    <s v="Rinika Oprah"/>
    <x v="18"/>
    <x v="539"/>
    <n v="54776"/>
    <d v="2022-04-02T00:00:00"/>
    <n v="9129"/>
    <d v="2022-05-04T00:00:00"/>
    <x v="4"/>
    <m/>
    <m/>
    <m/>
  </r>
  <r>
    <s v="SIIX EMS Slovakia s.r.o."/>
    <s v="Active Customer"/>
    <s v="High Growth potential"/>
    <s v="Rinika Oprah"/>
    <x v="19"/>
    <x v="540"/>
    <n v="50316"/>
    <s v="26-01-2023"/>
    <n v="25158"/>
    <d v="2023-05-02T00:00:00"/>
    <x v="9"/>
    <m/>
    <m/>
    <m/>
  </r>
  <r>
    <s v="Gedecom"/>
    <s v="Active Customer"/>
    <s v="High Growth potential"/>
    <s v="Josh Bolton"/>
    <x v="3"/>
    <x v="541"/>
    <n v="109064"/>
    <s v="29-09-2022"/>
    <n v="54532"/>
    <d v="2022-08-11T00:00:00"/>
    <x v="3"/>
    <m/>
    <m/>
    <m/>
  </r>
  <r>
    <s v="VPG"/>
    <s v="Not a Customer"/>
    <s v="No growth Potential"/>
    <s v="Josh Bolton"/>
    <x v="3"/>
    <x v="542"/>
    <n v="97965"/>
    <d v="2022-03-10T00:00:00"/>
    <n v="0"/>
    <d v="2022-02-11T00:00:00"/>
    <x v="0"/>
    <m/>
    <m/>
    <m/>
  </r>
  <r>
    <s v="Boardriders Inc - Na Pali"/>
    <s v="Active Customer"/>
    <s v="High Growth potential"/>
    <s v="Josh Bolton"/>
    <x v="3"/>
    <x v="543"/>
    <n v="96608"/>
    <s v="28-12-2021"/>
    <n v="13801"/>
    <d v="2022-08-03T00:00:00"/>
    <x v="3"/>
    <m/>
    <m/>
    <m/>
  </r>
  <r>
    <s v="SAS Clarins Fragrance Group OU CFG"/>
    <s v="Not a Customer"/>
    <s v="No growth Potential"/>
    <s v="Josh Bolton"/>
    <x v="3"/>
    <x v="41"/>
    <n v="189357"/>
    <s v="23-04-2022"/>
    <n v="0"/>
    <d v="2022-02-07T00:00:00"/>
    <x v="0"/>
    <m/>
    <m/>
    <m/>
  </r>
  <r>
    <s v="Selectour"/>
    <s v="Not a Customer"/>
    <s v="No growth Potential"/>
    <s v="Josh Bolton"/>
    <x v="3"/>
    <x v="41"/>
    <n v="122764"/>
    <s v="13-10-2022"/>
    <n v="0"/>
    <d v="2022-02-11T00:00:00"/>
    <x v="0"/>
    <m/>
    <m/>
    <m/>
  </r>
  <r>
    <s v="Tereos"/>
    <s v="Not a Customer"/>
    <s v="No growth Potential"/>
    <s v="Josh Bolton"/>
    <x v="3"/>
    <x v="544"/>
    <n v="124768"/>
    <d v="2022-03-09T00:00:00"/>
    <n v="0"/>
    <d v="2022-02-11T00:00:00"/>
    <x v="0"/>
    <m/>
    <m/>
    <m/>
  </r>
  <r>
    <s v="One2team"/>
    <s v="Not a Customer"/>
    <s v="No growth Potential"/>
    <s v="Josh Bolton"/>
    <x v="3"/>
    <x v="545"/>
    <m/>
    <d v="2022-07-07T00:00:00"/>
    <n v="0"/>
    <s v="17-07-2022"/>
    <x v="3"/>
    <m/>
    <m/>
    <m/>
  </r>
  <r>
    <s v="Afibel"/>
    <s v="Not a Customer"/>
    <s v="No growth Potential"/>
    <s v="Josh Bolton"/>
    <x v="3"/>
    <x v="263"/>
    <n v="110414"/>
    <d v="2022-03-10T00:00:00"/>
    <n v="0"/>
    <d v="2022-02-11T00:00:00"/>
    <x v="0"/>
    <m/>
    <m/>
    <m/>
  </r>
  <r>
    <s v="SOFTTHINKS SAS"/>
    <s v="Active Customer"/>
    <s v="High Growth potential"/>
    <s v="Josh Bolton"/>
    <x v="3"/>
    <x v="546"/>
    <n v="508956"/>
    <s v="15-09-2022"/>
    <n v="72708"/>
    <s v="14-11-2022"/>
    <x v="1"/>
    <m/>
    <m/>
    <m/>
  </r>
  <r>
    <s v="Paris Inn Group"/>
    <s v="Not a Customer"/>
    <s v="No growth Potential"/>
    <s v="Josh Bolton"/>
    <x v="3"/>
    <x v="9"/>
    <n v="118485"/>
    <d v="2021-04-12T00:00:00"/>
    <n v="0"/>
    <d v="2022-02-02T00:00:00"/>
    <x v="0"/>
    <m/>
    <m/>
    <m/>
  </r>
  <r>
    <s v="MILIBOO.COM"/>
    <s v="Not a Customer"/>
    <s v="No growth Potential"/>
    <s v="Josh Bolton"/>
    <x v="3"/>
    <x v="547"/>
    <n v="189357"/>
    <s v="23-10-2022"/>
    <n v="0"/>
    <d v="2022-02-11T00:00:00"/>
    <x v="0"/>
    <m/>
    <m/>
    <m/>
  </r>
  <r>
    <s v="Elle &amp; Vire"/>
    <s v="Not a Customer"/>
    <s v="No growth Potential"/>
    <s v="Josh Bolton"/>
    <x v="3"/>
    <x v="548"/>
    <m/>
    <d v="2022-11-10T00:00:00"/>
    <n v="0"/>
    <s v="20-11-2022"/>
    <x v="1"/>
    <m/>
    <m/>
    <m/>
  </r>
  <r>
    <s v="Sonovente"/>
    <s v="Not a Customer"/>
    <s v="No growth Potential"/>
    <s v="Josh Bolton"/>
    <x v="3"/>
    <x v="549"/>
    <n v="674447"/>
    <s v="23-09-2022"/>
    <n v="0"/>
    <d v="2022-02-11T00:00:00"/>
    <x v="0"/>
    <m/>
    <m/>
    <m/>
  </r>
  <r>
    <s v="Fifty Five"/>
    <s v="Not a Customer"/>
    <s v="No growth Potential"/>
    <s v="Josh Bolton"/>
    <x v="3"/>
    <x v="41"/>
    <n v="76100"/>
    <s v="13-09-2022"/>
    <n v="0"/>
    <d v="2022-02-11T00:00:00"/>
    <x v="0"/>
    <m/>
    <m/>
    <m/>
  </r>
  <r>
    <s v="Fioulmarket"/>
    <s v="Not a Customer"/>
    <s v="No growth Potential"/>
    <s v="Josh Bolton"/>
    <x v="3"/>
    <x v="550"/>
    <m/>
    <s v="22-06-2022"/>
    <n v="0"/>
    <d v="2022-02-07T00:00:00"/>
    <x v="0"/>
    <m/>
    <m/>
    <m/>
  </r>
  <r>
    <s v="MADE IN DESIGN SAS"/>
    <s v="Not a Customer"/>
    <s v="No growth Potential"/>
    <s v="Josh Bolton"/>
    <x v="3"/>
    <x v="551"/>
    <n v="96217"/>
    <s v="23-10-2022"/>
    <n v="0"/>
    <d v="2022-02-11T00:00:00"/>
    <x v="0"/>
    <m/>
    <m/>
    <m/>
  </r>
  <r>
    <s v="Ship24"/>
    <s v="Not a Customer"/>
    <s v="No growth Potential"/>
    <s v="Josh Bolton"/>
    <x v="3"/>
    <x v="9"/>
    <n v="60997"/>
    <d v="2022-03-10T00:00:00"/>
    <n v="0"/>
    <d v="2022-02-11T00:00:00"/>
    <x v="0"/>
    <m/>
    <m/>
    <m/>
  </r>
  <r>
    <s v="Momindum"/>
    <s v="Active Customer"/>
    <s v="High Growth potential"/>
    <s v="Josh Bolton"/>
    <x v="3"/>
    <x v="41"/>
    <n v="97719"/>
    <s v="15-10-2022"/>
    <n v="24430"/>
    <s v="14-11-2022"/>
    <x v="1"/>
    <m/>
    <m/>
    <m/>
  </r>
  <r>
    <s v="NOUVELLES FRONTIERES"/>
    <s v="Not a Customer"/>
    <s v="No growth Potential"/>
    <s v="Josh Bolton"/>
    <x v="3"/>
    <x v="552"/>
    <n v="144674"/>
    <s v="24-08-2022"/>
    <n v="0"/>
    <d v="2022-02-11T00:00:00"/>
    <x v="0"/>
    <m/>
    <m/>
    <m/>
  </r>
  <r>
    <s v="Brico Prive"/>
    <s v="Not a Customer"/>
    <s v="No growth Potential"/>
    <s v="Josh Bolton"/>
    <x v="3"/>
    <x v="553"/>
    <n v="50755"/>
    <d v="2022-03-09T00:00:00"/>
    <n v="0"/>
    <d v="2022-02-11T00:00:00"/>
    <x v="0"/>
    <m/>
    <m/>
    <m/>
  </r>
  <r>
    <s v="DFi Service SA"/>
    <s v="Active Customer"/>
    <s v="High Growth potential"/>
    <s v="Josh Bolton"/>
    <x v="10"/>
    <x v="554"/>
    <n v="396857"/>
    <d v="2022-03-11T00:00:00"/>
    <n v="132286"/>
    <s v="23-11-2022"/>
    <x v="1"/>
    <m/>
    <m/>
    <m/>
  </r>
  <r>
    <s v="Team Vitality"/>
    <s v="Not a Customer"/>
    <s v="No growth Potential"/>
    <s v="Josh Bolton"/>
    <x v="3"/>
    <x v="41"/>
    <n v="77629"/>
    <d v="2022-11-01T00:00:00"/>
    <n v="0"/>
    <d v="2022-02-03T00:00:00"/>
    <x v="0"/>
    <m/>
    <m/>
    <m/>
  </r>
  <r>
    <s v="Vivescia"/>
    <s v="Not a Customer"/>
    <s v="No growth Potential"/>
    <s v="Josh Bolton"/>
    <x v="3"/>
    <x v="555"/>
    <n v="94763"/>
    <s v="23-06-2022"/>
    <n v="0"/>
    <d v="2022-02-08T00:00:00"/>
    <x v="0"/>
    <m/>
    <m/>
    <m/>
  </r>
  <r>
    <s v="CHRISTOFLE"/>
    <s v="Not a Customer"/>
    <s v="No growth Potential"/>
    <s v="Josh Bolton"/>
    <x v="3"/>
    <x v="41"/>
    <n v="96600"/>
    <s v="23-10-2022"/>
    <n v="0"/>
    <d v="2022-02-11T00:00:00"/>
    <x v="0"/>
    <m/>
    <m/>
    <m/>
  </r>
  <r>
    <s v="Matelsom"/>
    <s v="Not a Customer"/>
    <s v="No growth Potential"/>
    <s v="Josh Bolton"/>
    <x v="3"/>
    <x v="297"/>
    <n v="101483"/>
    <d v="2021-04-12T00:00:00"/>
    <n v="0"/>
    <d v="2022-02-02T00:00:00"/>
    <x v="0"/>
    <m/>
    <m/>
    <m/>
  </r>
  <r>
    <s v="Weekendesk"/>
    <s v="Not a Customer"/>
    <s v="No growth Potential"/>
    <s v="Josh Bolton"/>
    <x v="3"/>
    <x v="556"/>
    <n v="157796"/>
    <d v="2022-03-10T00:00:00"/>
    <n v="0"/>
    <d v="2022-02-11T00:00:00"/>
    <x v="0"/>
    <m/>
    <m/>
    <m/>
  </r>
  <r>
    <s v="CELIO"/>
    <s v="Not a Customer"/>
    <s v="No growth Potential"/>
    <s v="Josh Bolton"/>
    <x v="3"/>
    <x v="557"/>
    <n v="132351"/>
    <s v="24-08-2022"/>
    <n v="0"/>
    <d v="2022-02-11T00:00:00"/>
    <x v="0"/>
    <m/>
    <m/>
    <m/>
  </r>
  <r>
    <s v="ETAM"/>
    <s v="Not a Customer"/>
    <s v="No growth Potential"/>
    <s v="Josh Bolton"/>
    <x v="3"/>
    <x v="558"/>
    <n v="86478"/>
    <s v="13-09-2022"/>
    <n v="0"/>
    <d v="2022-02-11T00:00:00"/>
    <x v="0"/>
    <m/>
    <m/>
    <m/>
  </r>
  <r>
    <s v="INTERPLAST FITT"/>
    <s v="Not a Customer"/>
    <s v="No growth Potential"/>
    <s v="Josh Bolton"/>
    <x v="3"/>
    <x v="559"/>
    <m/>
    <s v="23-10-2022"/>
    <n v="0"/>
    <d v="2022-02-11T00:00:00"/>
    <x v="0"/>
    <m/>
    <m/>
    <m/>
  </r>
  <r>
    <s v="Unowhy"/>
    <s v="Active Customer"/>
    <s v="High Growth potential"/>
    <s v="Josh Bolton"/>
    <x v="3"/>
    <x v="560"/>
    <n v="113625"/>
    <s v="28-09-2022"/>
    <n v="56813"/>
    <s v="17-11-2022"/>
    <x v="1"/>
    <m/>
    <m/>
    <m/>
  </r>
  <r>
    <s v="INTERSPORT LA HUTT"/>
    <s v="Not a Customer"/>
    <s v="No growth Potential"/>
    <s v="Josh Bolton"/>
    <x v="3"/>
    <x v="561"/>
    <n v="143476"/>
    <s v="24-08-2022"/>
    <n v="0"/>
    <d v="2022-02-11T00:00:00"/>
    <x v="0"/>
    <m/>
    <m/>
    <m/>
  </r>
  <r>
    <s v="Oogarden"/>
    <s v="Not a Customer"/>
    <s v="No growth Potential"/>
    <s v="Josh Bolton"/>
    <x v="3"/>
    <x v="562"/>
    <n v="115471"/>
    <s v="21-02-2022"/>
    <n v="0"/>
    <d v="2022-02-04T00:00:00"/>
    <x v="0"/>
    <m/>
    <m/>
    <m/>
  </r>
  <r>
    <s v="Vivaticket"/>
    <s v="Not a Customer"/>
    <s v="No growth Potential"/>
    <s v="Josh Bolton"/>
    <x v="3"/>
    <x v="563"/>
    <n v="89781"/>
    <s v="22-01-2022"/>
    <n v="0"/>
    <d v="2022-02-04T00:00:00"/>
    <x v="0"/>
    <m/>
    <m/>
    <m/>
  </r>
  <r>
    <s v="Fleetward"/>
    <s v="Not a Customer"/>
    <s v="No growth Potential"/>
    <s v="Josh Bolton"/>
    <x v="20"/>
    <x v="9"/>
    <n v="143711"/>
    <s v="13-05-2022"/>
    <n v="0"/>
    <d v="2022-02-07T00:00:00"/>
    <x v="0"/>
    <m/>
    <m/>
    <m/>
  </r>
  <r>
    <s v="Groupe Vivarte"/>
    <s v="Not a Customer"/>
    <s v="No growth Potential"/>
    <s v="Josh Bolton"/>
    <x v="3"/>
    <x v="564"/>
    <n v="95495"/>
    <s v="13-10-2022"/>
    <n v="0"/>
    <d v="2022-02-11T00:00:00"/>
    <x v="0"/>
    <m/>
    <m/>
    <m/>
  </r>
  <r>
    <s v="Bestwestern France"/>
    <s v="Not a Customer"/>
    <s v="No growth Potential"/>
    <s v="Josh Bolton"/>
    <x v="3"/>
    <x v="565"/>
    <n v="69503"/>
    <d v="2023-10-02T00:00:00"/>
    <n v="0"/>
    <d v="2023-02-03T00:00:00"/>
    <x v="2"/>
    <m/>
    <m/>
    <m/>
  </r>
  <r>
    <s v="European Society of Cardiology"/>
    <s v="Active Customer"/>
    <s v="Medium Growth"/>
    <s v="Josh Bolton"/>
    <x v="3"/>
    <x v="566"/>
    <n v="115094"/>
    <s v="19-05-2022"/>
    <n v="8853"/>
    <d v="2022-08-07T00:00:00"/>
    <x v="3"/>
    <m/>
    <m/>
    <m/>
  </r>
  <r>
    <s v="VSC Technologies"/>
    <s v="Active Customer"/>
    <s v="High Growth potential"/>
    <s v="Josh Bolton"/>
    <x v="3"/>
    <x v="567"/>
    <n v="88021"/>
    <s v="14-09-2022"/>
    <n v="6287"/>
    <s v="23-11-2022"/>
    <x v="1"/>
    <m/>
    <m/>
    <m/>
  </r>
  <r>
    <s v="Clarins SA"/>
    <s v="Active Customer"/>
    <s v="High Growth potential"/>
    <s v="Josh Bolton"/>
    <x v="3"/>
    <x v="560"/>
    <n v="78207"/>
    <s v="29-01-2022"/>
    <n v="15641"/>
    <s v="20-03-2022"/>
    <x v="0"/>
    <m/>
    <m/>
    <m/>
  </r>
  <r>
    <s v="Ducatillon"/>
    <s v="Not a Customer"/>
    <s v="No growth Potential"/>
    <s v="Josh Bolton"/>
    <x v="3"/>
    <x v="568"/>
    <n v="77468"/>
    <s v="22-01-2022"/>
    <n v="0"/>
    <d v="2022-02-04T00:00:00"/>
    <x v="0"/>
    <m/>
    <m/>
    <m/>
  </r>
  <r>
    <s v="Al Balad"/>
    <s v="Not a Customer"/>
    <s v="No growth Potential"/>
    <s v="Josh Bolton"/>
    <x v="3"/>
    <x v="569"/>
    <n v="51499"/>
    <s v="23-03-2022"/>
    <n v="0"/>
    <d v="2022-02-05T00:00:00"/>
    <x v="0"/>
    <m/>
    <m/>
    <m/>
  </r>
  <r>
    <s v="Quintiles France"/>
    <s v="Active Customer"/>
    <s v="High Growth potential"/>
    <s v="Josh Bolton"/>
    <x v="3"/>
    <x v="556"/>
    <n v="209804"/>
    <d v="2022-06-12T00:00:00"/>
    <n v="69935"/>
    <d v="2023-05-01T00:00:00"/>
    <x v="9"/>
    <m/>
    <m/>
    <m/>
  </r>
  <r>
    <s v="DOUX"/>
    <s v="Not a Customer"/>
    <s v="No growth Potential"/>
    <s v="Josh Bolton"/>
    <x v="3"/>
    <x v="570"/>
    <n v="74071"/>
    <s v="13-10-2022"/>
    <n v="0"/>
    <d v="2022-02-11T00:00:00"/>
    <x v="0"/>
    <m/>
    <m/>
    <m/>
  </r>
  <r>
    <s v="Aéroport de Paris"/>
    <s v="Not a Customer"/>
    <s v="No growth Potential"/>
    <s v="Josh Bolton"/>
    <x v="3"/>
    <x v="571"/>
    <n v="413847"/>
    <s v="24-11-2022"/>
    <n v="0"/>
    <d v="2023-02-02T00:00:00"/>
    <x v="2"/>
    <m/>
    <m/>
    <m/>
  </r>
  <r>
    <s v="Look voyages"/>
    <s v="Not a Customer"/>
    <s v="No growth Potential"/>
    <s v="Josh Bolton"/>
    <x v="3"/>
    <x v="572"/>
    <m/>
    <s v="24-07-2022"/>
    <n v="0"/>
    <d v="2022-02-09T00:00:00"/>
    <x v="0"/>
    <m/>
    <m/>
    <m/>
  </r>
  <r>
    <s v="ACTEAM-IT"/>
    <s v="Not a Customer"/>
    <s v="No growth Potential"/>
    <s v="Josh Bolton"/>
    <x v="3"/>
    <x v="9"/>
    <n v="111942"/>
    <s v="23-09-2022"/>
    <n v="0"/>
    <d v="2022-02-11T00:00:00"/>
    <x v="0"/>
    <m/>
    <m/>
    <m/>
  </r>
  <r>
    <s v="GROUPE PARTOUCHE SAAD"/>
    <s v="Not a Customer"/>
    <s v="No growth Potential"/>
    <s v="Josh Bolton"/>
    <x v="3"/>
    <x v="41"/>
    <m/>
    <s v="13-09-2022"/>
    <n v="0"/>
    <d v="2022-02-11T00:00:00"/>
    <x v="0"/>
    <m/>
    <m/>
    <m/>
  </r>
  <r>
    <s v="Rentreediscount"/>
    <s v="Not a Customer"/>
    <s v="No growth Potential"/>
    <s v="Josh Bolton"/>
    <x v="3"/>
    <x v="573"/>
    <n v="110357"/>
    <s v="13-09-2022"/>
    <n v="0"/>
    <d v="2022-02-11T00:00:00"/>
    <x v="0"/>
    <m/>
    <m/>
    <m/>
  </r>
  <r>
    <s v="CHARAL"/>
    <s v="Not a Customer"/>
    <s v="No growth Potential"/>
    <s v="Josh Bolton"/>
    <x v="3"/>
    <x v="574"/>
    <n v="209215"/>
    <d v="2022-03-10T00:00:00"/>
    <n v="0"/>
    <d v="2022-02-11T00:00:00"/>
    <x v="0"/>
    <m/>
    <m/>
    <m/>
  </r>
  <r>
    <s v="SODIAAL"/>
    <s v="Not a Customer"/>
    <s v="No growth Potential"/>
    <s v="Josh Bolton"/>
    <x v="3"/>
    <x v="41"/>
    <n v="118106"/>
    <s v="13-10-2022"/>
    <n v="0"/>
    <d v="2022-02-11T00:00:00"/>
    <x v="0"/>
    <m/>
    <m/>
    <m/>
  </r>
  <r>
    <s v="JM Bruneau"/>
    <s v="Not a Customer"/>
    <s v="No growth Potential"/>
    <s v="Josh Bolton"/>
    <x v="3"/>
    <x v="575"/>
    <n v="74071"/>
    <s v="23-08-2022"/>
    <n v="0"/>
    <d v="2022-02-09T00:00:00"/>
    <x v="0"/>
    <m/>
    <m/>
    <m/>
  </r>
  <r>
    <s v="DESIGN MARKET SAS"/>
    <s v="Active Customer"/>
    <s v="High Growth potential"/>
    <s v="Josh Bolton"/>
    <x v="3"/>
    <x v="41"/>
    <n v="229821"/>
    <s v="22-09-2022"/>
    <n v="57455"/>
    <d v="2022-11-11T00:00:00"/>
    <x v="1"/>
    <m/>
    <m/>
    <m/>
  </r>
  <r>
    <s v="Groupe ORIENTIS"/>
    <s v="Not a Customer"/>
    <s v="No growth Potential"/>
    <s v="Josh Bolton"/>
    <x v="3"/>
    <x v="41"/>
    <n v="124635"/>
    <s v="23-10-2022"/>
    <n v="0"/>
    <d v="2022-02-11T00:00:00"/>
    <x v="0"/>
    <m/>
    <m/>
    <m/>
  </r>
  <r>
    <s v="PARISCITYVISION"/>
    <s v="Not a Customer"/>
    <s v="No growth Potential"/>
    <s v="Josh Bolton"/>
    <x v="3"/>
    <x v="9"/>
    <n v="155753"/>
    <d v="2022-03-10T00:00:00"/>
    <n v="0"/>
    <d v="2022-02-11T00:00:00"/>
    <x v="0"/>
    <m/>
    <m/>
    <m/>
  </r>
  <r>
    <s v="SAMSE"/>
    <s v="Not a Customer"/>
    <s v="No growth Potential"/>
    <s v="Josh Bolton"/>
    <x v="3"/>
    <x v="301"/>
    <n v="86462"/>
    <d v="2022-03-10T00:00:00"/>
    <n v="0"/>
    <d v="2022-02-11T00:00:00"/>
    <x v="0"/>
    <m/>
    <m/>
    <m/>
  </r>
  <r>
    <s v="NOCIBE"/>
    <s v="Not a Customer"/>
    <s v="No growth Potential"/>
    <s v="Josh Bolton"/>
    <x v="3"/>
    <x v="576"/>
    <n v="209272"/>
    <s v="23-10-2022"/>
    <n v="0"/>
    <d v="2022-02-11T00:00:00"/>
    <x v="0"/>
    <m/>
    <m/>
    <m/>
  </r>
  <r>
    <s v="PRESTASHOP France"/>
    <s v="Active Customer"/>
    <s v="High Growth potential"/>
    <s v="Josh Bolton"/>
    <x v="3"/>
    <x v="556"/>
    <n v="164446"/>
    <d v="2023-04-01T00:00:00"/>
    <n v="82223"/>
    <s v="23-02-2023"/>
    <x v="2"/>
    <m/>
    <m/>
    <m/>
  </r>
  <r>
    <s v="BONDUELLE"/>
    <s v="Not a Customer"/>
    <s v="No growth Potential"/>
    <s v="Josh Bolton"/>
    <x v="3"/>
    <x v="577"/>
    <n v="179049"/>
    <s v="13-10-2022"/>
    <n v="0"/>
    <d v="2022-02-11T00:00:00"/>
    <x v="0"/>
    <m/>
    <m/>
    <m/>
  </r>
  <r>
    <s v="SMCP"/>
    <s v="Not a Customer"/>
    <s v="No growth Potential"/>
    <s v="Josh Bolton"/>
    <x v="3"/>
    <x v="578"/>
    <n v="96628"/>
    <s v="23-10-2022"/>
    <n v="0"/>
    <d v="2022-02-11T00:00:00"/>
    <x v="0"/>
    <m/>
    <m/>
    <m/>
  </r>
  <r>
    <s v="Cora"/>
    <s v="Not a Customer"/>
    <s v="No growth Potential"/>
    <s v="Josh Bolton"/>
    <x v="3"/>
    <x v="579"/>
    <n v="81192"/>
    <d v="2022-03-03T00:00:00"/>
    <n v="0"/>
    <d v="2022-02-04T00:00:00"/>
    <x v="0"/>
    <m/>
    <m/>
    <m/>
  </r>
  <r>
    <s v="Euralis"/>
    <s v="Not a Customer"/>
    <s v="No growth Potential"/>
    <s v="Josh Bolton"/>
    <x v="3"/>
    <x v="580"/>
    <n v="54000"/>
    <d v="2022-11-02T00:00:00"/>
    <n v="0"/>
    <d v="2022-02-04T00:00:00"/>
    <x v="0"/>
    <m/>
    <m/>
    <m/>
  </r>
  <r>
    <s v="MAISONS DU MONDE"/>
    <s v="Not a Customer"/>
    <s v="No growth Potential"/>
    <s v="Josh Bolton"/>
    <x v="3"/>
    <x v="581"/>
    <n v="91200"/>
    <s v="13-10-2022"/>
    <n v="0"/>
    <d v="2022-02-11T00:00:00"/>
    <x v="0"/>
    <m/>
    <m/>
    <m/>
  </r>
  <r>
    <s v="Damart"/>
    <s v="Not a Customer"/>
    <s v="No growth Potential"/>
    <s v="Josh Bolton"/>
    <x v="3"/>
    <x v="260"/>
    <n v="105486"/>
    <d v="2022-03-01T00:00:00"/>
    <n v="0"/>
    <d v="2022-02-02T00:00:00"/>
    <x v="0"/>
    <m/>
    <m/>
    <m/>
  </r>
  <r>
    <s v="Actimagine"/>
    <s v="Not a Customer"/>
    <s v="No growth Potential"/>
    <s v="Josh Bolton"/>
    <x v="3"/>
    <x v="41"/>
    <n v="89775"/>
    <s v="24-03-2022"/>
    <n v="0"/>
    <d v="2022-02-06T00:00:00"/>
    <x v="0"/>
    <m/>
    <m/>
    <m/>
  </r>
  <r>
    <s v="PIXID"/>
    <s v="Active Customer"/>
    <s v="High Growth potential"/>
    <s v="Josh Bolton"/>
    <x v="3"/>
    <x v="302"/>
    <n v="58527"/>
    <d v="2022-02-09T00:00:00"/>
    <n v="29264"/>
    <d v="2022-11-11T00:00:00"/>
    <x v="1"/>
    <m/>
    <m/>
    <m/>
  </r>
  <r>
    <s v="Cite des Sciences"/>
    <s v="Active Customer"/>
    <s v="High Growth potential"/>
    <s v="Josh Bolton"/>
    <x v="3"/>
    <x v="41"/>
    <n v="45774"/>
    <s v="21-10-2022"/>
    <n v="22887"/>
    <s v="20-11-2022"/>
    <x v="1"/>
    <m/>
    <m/>
    <m/>
  </r>
  <r>
    <s v="Commerce BtoC"/>
    <s v="Not a Customer"/>
    <s v="No growth Potential"/>
    <s v="Josh Bolton"/>
    <x v="3"/>
    <x v="263"/>
    <n v="110363"/>
    <d v="2022-03-10T00:00:00"/>
    <n v="0"/>
    <d v="2022-02-11T00:00:00"/>
    <x v="0"/>
    <m/>
    <m/>
    <m/>
  </r>
  <r>
    <s v="AB Tasty SAS"/>
    <s v="Active Customer"/>
    <s v="High Growth potential"/>
    <s v="Josh Bolton"/>
    <x v="3"/>
    <x v="41"/>
    <n v="62653"/>
    <s v="27-02-2022"/>
    <n v="31326"/>
    <d v="2022-08-05T00:00:00"/>
    <x v="3"/>
    <m/>
    <m/>
    <m/>
  </r>
  <r>
    <s v="Lagardere Active Digital"/>
    <s v="Not a Customer"/>
    <s v="No growth Potential"/>
    <s v="Josh Bolton"/>
    <x v="3"/>
    <x v="556"/>
    <n v="118984"/>
    <s v="24-11-2021"/>
    <n v="0"/>
    <d v="2022-02-02T00:00:00"/>
    <x v="0"/>
    <m/>
    <m/>
    <m/>
  </r>
  <r>
    <s v="Groupe Savencia (Soparind Bongrain)"/>
    <s v="Not a Customer"/>
    <s v="No growth Potential"/>
    <s v="Josh Bolton"/>
    <x v="3"/>
    <x v="548"/>
    <n v="103313"/>
    <s v="24-06-2022"/>
    <n v="0"/>
    <d v="2022-02-09T00:00:00"/>
    <x v="0"/>
    <m/>
    <m/>
    <m/>
  </r>
  <r>
    <s v="Gifi"/>
    <s v="Not a Customer"/>
    <s v="No growth Potential"/>
    <s v="Josh Bolton"/>
    <x v="21"/>
    <x v="582"/>
    <n v="100029"/>
    <d v="2022-03-09T00:00:00"/>
    <n v="0"/>
    <d v="2022-02-11T00:00:00"/>
    <x v="0"/>
    <m/>
    <m/>
    <m/>
  </r>
  <r>
    <s v="CAMAIEU INTERNATIONAL"/>
    <s v="Not a Customer"/>
    <s v="No growth Potential"/>
    <s v="Josh Bolton"/>
    <x v="3"/>
    <x v="260"/>
    <n v="118894"/>
    <s v="13-09-2022"/>
    <n v="0"/>
    <d v="2022-02-11T00:00:00"/>
    <x v="0"/>
    <m/>
    <m/>
    <m/>
  </r>
  <r>
    <s v="ALCYON"/>
    <s v="Not a Customer"/>
    <s v="No growth Potential"/>
    <s v="Josh Bolton"/>
    <x v="3"/>
    <x v="41"/>
    <n v="107464"/>
    <s v="13-10-2022"/>
    <n v="0"/>
    <d v="2022-02-11T00:00:00"/>
    <x v="0"/>
    <m/>
    <m/>
    <m/>
  </r>
  <r>
    <s v="Continental Reifen Deutschland GmbH"/>
    <s v="Active Customer"/>
    <s v="No growth Potential"/>
    <s v="Nikita Hareigye"/>
    <x v="7"/>
    <x v="195"/>
    <n v="128110"/>
    <s v="24-08-2022"/>
    <n v="25622"/>
    <s v="23-10-2022"/>
    <x v="1"/>
    <m/>
    <m/>
    <m/>
  </r>
  <r>
    <s v="Goethe-Institut e.V."/>
    <s v="Active Customer"/>
    <s v="High Growth potential"/>
    <s v="Nikita Hareigye"/>
    <x v="7"/>
    <x v="326"/>
    <n v="164277"/>
    <s v="16-09-2022"/>
    <n v="20535"/>
    <d v="2022-05-11T00:00:00"/>
    <x v="4"/>
    <m/>
    <m/>
    <m/>
  </r>
  <r>
    <s v="Claas KGaA mbH"/>
    <s v="Active Customer"/>
    <s v="Medium Growth"/>
    <s v="Nikita Hareigye"/>
    <x v="7"/>
    <x v="583"/>
    <n v="40829"/>
    <s v="17-01-2022"/>
    <n v="20415"/>
    <d v="2022-08-03T00:00:00"/>
    <x v="3"/>
    <m/>
    <m/>
    <m/>
  </r>
  <r>
    <s v="ThurVgG"/>
    <s v="Active Customer"/>
    <s v="High Growth potential"/>
    <s v="Nikita Hareigye"/>
    <x v="7"/>
    <x v="584"/>
    <n v="132248"/>
    <s v="14-10-2022"/>
    <n v="66124"/>
    <s v="23-11-2022"/>
    <x v="1"/>
    <m/>
    <m/>
    <m/>
  </r>
  <r>
    <s v="Jungheinrich AG"/>
    <s v="Not a Customer"/>
    <s v="No growth Potential"/>
    <s v="Nikita Hareigye"/>
    <x v="7"/>
    <x v="227"/>
    <n v="59999"/>
    <s v="24-08-2022"/>
    <n v="0"/>
    <d v="2022-02-11T00:00:00"/>
    <x v="0"/>
    <m/>
    <m/>
    <m/>
  </r>
  <r>
    <s v="Masterpayment GmbH"/>
    <s v="Active Customer"/>
    <s v="High Growth potential"/>
    <s v="Nikita Hareigye"/>
    <x v="7"/>
    <x v="585"/>
    <n v="77527"/>
    <s v="13-12-2021"/>
    <n v="38763"/>
    <d v="2022-11-02T00:00:00"/>
    <x v="1"/>
    <m/>
    <m/>
    <m/>
  </r>
  <r>
    <s v="Bayerisches Landesamt fuer Steuern"/>
    <s v="Active Customer"/>
    <s v="High Growth potential"/>
    <s v="Nikita Hareigye"/>
    <x v="7"/>
    <x v="326"/>
    <n v="106193"/>
    <d v="2022-05-01T00:00:00"/>
    <n v="17699"/>
    <s v="14-02-2022"/>
    <x v="0"/>
    <m/>
    <m/>
    <m/>
  </r>
  <r>
    <s v="PETTENON COSMETICS SPA"/>
    <s v="Not a Customer"/>
    <s v="No growth Potential"/>
    <s v="Naz Ismail"/>
    <x v="2"/>
    <x v="586"/>
    <n v="103333"/>
    <s v="13-10-2022"/>
    <n v="0"/>
    <d v="2022-02-11T00:00:00"/>
    <x v="0"/>
    <m/>
    <m/>
    <m/>
  </r>
  <r>
    <s v="MASTROTTO SPA"/>
    <s v="Not a Customer"/>
    <s v="No growth Potential"/>
    <s v="Naz Ismail"/>
    <x v="2"/>
    <x v="587"/>
    <n v="69907"/>
    <d v="2022-03-10T00:00:00"/>
    <n v="0"/>
    <d v="2022-02-11T00:00:00"/>
    <x v="0"/>
    <m/>
    <m/>
    <m/>
  </r>
  <r>
    <s v="Bravofly SA"/>
    <s v="Active Customer"/>
    <s v="No growth Potential"/>
    <s v="Naz Ismail"/>
    <x v="10"/>
    <x v="588"/>
    <n v="58013"/>
    <s v="13-03-2022"/>
    <n v="29006"/>
    <s v="23-03-2022"/>
    <x v="0"/>
    <m/>
    <m/>
    <m/>
  </r>
  <r>
    <s v="A. Testoni SpA"/>
    <s v="Not a Customer"/>
    <s v="No growth Potential"/>
    <s v="Naz Ismail"/>
    <x v="2"/>
    <x v="589"/>
    <n v="181195"/>
    <s v="13-10-2022"/>
    <n v="0"/>
    <d v="2022-02-11T00:00:00"/>
    <x v="0"/>
    <m/>
    <m/>
    <m/>
  </r>
  <r>
    <s v="Kedrion SpA"/>
    <s v="Not a Customer"/>
    <s v="No growth Potential"/>
    <s v="Naz Ismail"/>
    <x v="2"/>
    <x v="590"/>
    <n v="120380"/>
    <s v="13-10-2022"/>
    <n v="0"/>
    <d v="2022-02-11T00:00:00"/>
    <x v="0"/>
    <m/>
    <m/>
    <m/>
  </r>
  <r>
    <s v="AEFFE Fashion group"/>
    <s v="Not a Customer"/>
    <s v="No growth Potential"/>
    <s v="Naz Ismail"/>
    <x v="2"/>
    <x v="591"/>
    <n v="33481"/>
    <d v="2022-03-06T00:00:00"/>
    <n v="0"/>
    <d v="2022-02-08T00:00:00"/>
    <x v="0"/>
    <m/>
    <m/>
    <m/>
  </r>
  <r>
    <s v="Jacobacci &amp; Partners"/>
    <s v="Not a Customer"/>
    <s v="No growth Potential"/>
    <s v="Naz Ismail"/>
    <x v="2"/>
    <x v="592"/>
    <n v="123922"/>
    <s v="24-11-2021"/>
    <n v="0"/>
    <d v="2022-02-02T00:00:00"/>
    <x v="0"/>
    <m/>
    <m/>
    <m/>
  </r>
  <r>
    <s v="Gottardo Spa"/>
    <s v="Not a Customer"/>
    <s v="No growth Potential"/>
    <s v="Naz Ismail"/>
    <x v="2"/>
    <x v="593"/>
    <n v="156936"/>
    <d v="2022-12-04T00:00:00"/>
    <n v="0"/>
    <d v="2022-02-05T00:00:00"/>
    <x v="0"/>
    <m/>
    <m/>
    <m/>
  </r>
  <r>
    <s v="chl"/>
    <s v="Not a Customer"/>
    <s v="No growth Potential"/>
    <s v="Naz Ismail"/>
    <x v="2"/>
    <x v="594"/>
    <n v="120242"/>
    <d v="2022-03-10T00:00:00"/>
    <n v="0"/>
    <d v="2022-02-11T00:00:00"/>
    <x v="0"/>
    <m/>
    <m/>
    <m/>
  </r>
  <r>
    <s v="Bluindaco - inblu"/>
    <s v="Not a Customer"/>
    <s v="No growth Potential"/>
    <s v="Naz Ismail"/>
    <x v="2"/>
    <x v="595"/>
    <n v="51469"/>
    <s v="22-06-2022"/>
    <n v="0"/>
    <d v="2022-02-07T00:00:00"/>
    <x v="0"/>
    <m/>
    <m/>
    <m/>
  </r>
  <r>
    <s v="IREN MERCATO SPA"/>
    <s v="Not a Customer"/>
    <s v="No growth Potential"/>
    <s v="Naz Ismail"/>
    <x v="2"/>
    <x v="9"/>
    <n v="39592"/>
    <s v="23-10-2022"/>
    <n v="0"/>
    <d v="2022-02-11T00:00:00"/>
    <x v="0"/>
    <m/>
    <m/>
    <m/>
  </r>
  <r>
    <s v="NeroGiardini"/>
    <s v="Not a Customer"/>
    <s v="No growth Potential"/>
    <s v="Naz Ismail"/>
    <x v="2"/>
    <x v="596"/>
    <n v="189637"/>
    <s v="23-04-2022"/>
    <n v="0"/>
    <d v="2022-02-07T00:00:00"/>
    <x v="0"/>
    <m/>
    <m/>
    <m/>
  </r>
  <r>
    <s v="Admenta Italia SpA"/>
    <s v="Not a Customer"/>
    <s v="No growth Potential"/>
    <s v="Naz Ismail"/>
    <x v="2"/>
    <x v="597"/>
    <n v="171668"/>
    <d v="2022-03-05T00:00:00"/>
    <n v="0"/>
    <d v="2022-02-07T00:00:00"/>
    <x v="0"/>
    <m/>
    <m/>
    <m/>
  </r>
  <r>
    <s v="Novamont SpA"/>
    <s v="Not a Customer"/>
    <s v="No growth Potential"/>
    <s v="Naz Ismail"/>
    <x v="2"/>
    <x v="598"/>
    <n v="82556"/>
    <d v="2022-11-02T00:00:00"/>
    <n v="0"/>
    <d v="2022-02-04T00:00:00"/>
    <x v="0"/>
    <m/>
    <m/>
    <m/>
  </r>
  <r>
    <s v="Axenso srl"/>
    <s v="Not a Customer"/>
    <s v="No growth Potential"/>
    <s v="Naz Ismail"/>
    <x v="2"/>
    <x v="70"/>
    <n v="103308"/>
    <s v="13-09-2022"/>
    <n v="0"/>
    <d v="2022-02-11T00:00:00"/>
    <x v="0"/>
    <m/>
    <m/>
    <m/>
  </r>
  <r>
    <s v="Preca Brummel"/>
    <s v="Not a Customer"/>
    <s v="No growth Potential"/>
    <s v="Naz Ismail"/>
    <x v="11"/>
    <x v="599"/>
    <n v="174080"/>
    <d v="2022-12-04T00:00:00"/>
    <n v="0"/>
    <d v="2022-02-05T00:00:00"/>
    <x v="0"/>
    <m/>
    <m/>
    <m/>
  </r>
  <r>
    <s v="zeroasette"/>
    <s v="Not a Customer"/>
    <s v="No growth Potential"/>
    <s v="Naz Ismail"/>
    <x v="2"/>
    <x v="600"/>
    <n v="143768"/>
    <d v="2022-02-04T00:00:00"/>
    <n v="0"/>
    <d v="2022-02-05T00:00:00"/>
    <x v="0"/>
    <m/>
    <m/>
    <m/>
  </r>
  <r>
    <s v="Vega Soc. Coop."/>
    <s v="Not a Customer"/>
    <s v="No growth Potential"/>
    <s v="Naz Ismail"/>
    <x v="2"/>
    <x v="601"/>
    <n v="143585"/>
    <s v="23-03-2022"/>
    <n v="0"/>
    <d v="2022-02-04T00:00:00"/>
    <x v="0"/>
    <m/>
    <m/>
    <m/>
  </r>
  <r>
    <s v="Softec Spa"/>
    <s v="Not a Customer"/>
    <s v="No growth Potential"/>
    <s v="Naz Ismail"/>
    <x v="2"/>
    <x v="602"/>
    <n v="86471"/>
    <s v="23-08-2022"/>
    <n v="0"/>
    <d v="2022-02-10T00:00:00"/>
    <x v="0"/>
    <m/>
    <m/>
    <m/>
  </r>
  <r>
    <s v="Comas Srl"/>
    <s v="Not a Customer"/>
    <s v="No growth Potential"/>
    <s v="Naz Ismail"/>
    <x v="2"/>
    <x v="9"/>
    <n v="69323"/>
    <s v="22-01-2022"/>
    <n v="0"/>
    <d v="2022-02-04T00:00:00"/>
    <x v="0"/>
    <m/>
    <m/>
    <m/>
  </r>
  <r>
    <s v="Miroglio SpA - Vestebene"/>
    <s v="Not a Customer"/>
    <s v="No growth Potential"/>
    <s v="Naz Ismail"/>
    <x v="2"/>
    <x v="603"/>
    <n v="132337"/>
    <s v="13-10-2022"/>
    <n v="0"/>
    <d v="2022-02-11T00:00:00"/>
    <x v="0"/>
    <m/>
    <m/>
    <m/>
  </r>
  <r>
    <s v="Bennet SpA"/>
    <s v="Not a Customer"/>
    <s v="No growth Potential"/>
    <s v="Naz Ismail"/>
    <x v="2"/>
    <x v="604"/>
    <n v="118894"/>
    <s v="13-09-2022"/>
    <n v="0"/>
    <d v="2022-02-11T00:00:00"/>
    <x v="0"/>
    <m/>
    <m/>
    <m/>
  </r>
  <r>
    <s v="Verallia Italia"/>
    <s v="Not a Customer"/>
    <s v="No growth Potential"/>
    <s v="Naz Ismail"/>
    <x v="2"/>
    <x v="605"/>
    <n v="123212"/>
    <s v="21-02-2022"/>
    <n v="0"/>
    <d v="2022-02-04T00:00:00"/>
    <x v="0"/>
    <m/>
    <m/>
    <m/>
  </r>
  <r>
    <s v="Masterwood SpA"/>
    <s v="Not a Customer"/>
    <s v="No growth Potential"/>
    <s v="Naz Ismail"/>
    <x v="2"/>
    <x v="606"/>
    <n v="158032"/>
    <s v="24-12-2021"/>
    <n v="0"/>
    <d v="2022-02-02T00:00:00"/>
    <x v="0"/>
    <m/>
    <m/>
    <m/>
  </r>
  <r>
    <s v="European Space Agency"/>
    <s v="Not a Customer"/>
    <s v="No growth Potential"/>
    <s v="Naz Ismail"/>
    <x v="2"/>
    <x v="74"/>
    <n v="76775"/>
    <s v="22-06-2022"/>
    <n v="0"/>
    <d v="2022-02-07T00:00:00"/>
    <x v="0"/>
    <m/>
    <m/>
    <m/>
  </r>
  <r>
    <s v="EVCO S.p.A."/>
    <s v="Not a Customer"/>
    <s v="No growth Potential"/>
    <s v="Naz Ismail"/>
    <x v="2"/>
    <x v="607"/>
    <n v="96751"/>
    <d v="2022-03-09T00:00:00"/>
    <n v="0"/>
    <d v="2022-02-11T00:00:00"/>
    <x v="0"/>
    <m/>
    <m/>
    <m/>
  </r>
  <r>
    <s v="UBL USED BOTTLING LINES SA"/>
    <s v="Not a Customer"/>
    <s v="No growth Potential"/>
    <s v="Naz Ismail"/>
    <x v="2"/>
    <x v="608"/>
    <n v="97720"/>
    <s v="24-08-2022"/>
    <n v="0"/>
    <d v="2022-02-11T00:00:00"/>
    <x v="0"/>
    <m/>
    <m/>
    <m/>
  </r>
  <r>
    <s v="Nomination Srl"/>
    <s v="Not a Customer"/>
    <s v="No growth Potential"/>
    <s v="Naz Ismail"/>
    <x v="2"/>
    <x v="609"/>
    <n v="66827"/>
    <s v="24-03-2022"/>
    <n v="0"/>
    <d v="2022-02-06T00:00:00"/>
    <x v="0"/>
    <m/>
    <m/>
    <m/>
  </r>
  <r>
    <s v="Progetto Ulisse srl"/>
    <s v="Not a Customer"/>
    <s v="No growth Potential"/>
    <s v="Naz Ismail"/>
    <x v="2"/>
    <x v="9"/>
    <n v="91200"/>
    <s v="24-08-2022"/>
    <n v="0"/>
    <d v="2022-02-11T00:00:00"/>
    <x v="0"/>
    <m/>
    <m/>
    <m/>
  </r>
  <r>
    <s v="Frette srl"/>
    <s v="Not a Customer"/>
    <s v="No growth Potential"/>
    <s v="Naz Ismail"/>
    <x v="2"/>
    <x v="610"/>
    <n v="50294"/>
    <s v="13-09-2022"/>
    <n v="0"/>
    <d v="2022-02-11T00:00:00"/>
    <x v="0"/>
    <m/>
    <m/>
    <m/>
  </r>
  <r>
    <s v="Montenegro"/>
    <s v="Not a Customer"/>
    <s v="No growth Potential"/>
    <s v="Naz Ismail"/>
    <x v="2"/>
    <x v="611"/>
    <n v="92898"/>
    <s v="24-08-2022"/>
    <n v="0"/>
    <d v="2022-02-11T00:00:00"/>
    <x v="0"/>
    <m/>
    <m/>
    <m/>
  </r>
  <r>
    <s v="Valentini SpA"/>
    <s v="Not a Customer"/>
    <s v="No growth Potential"/>
    <s v="Naz Ismail"/>
    <x v="2"/>
    <x v="606"/>
    <n v="171389"/>
    <s v="14-12-2021"/>
    <n v="0"/>
    <d v="2022-02-02T00:00:00"/>
    <x v="0"/>
    <m/>
    <m/>
    <m/>
  </r>
  <r>
    <s v="Garofalo Health Care"/>
    <s v="Not a Customer"/>
    <s v="No growth Potential"/>
    <s v="Naz Ismail"/>
    <x v="2"/>
    <x v="74"/>
    <n v="33516"/>
    <d v="2022-03-01T00:00:00"/>
    <n v="0"/>
    <d v="2022-02-02T00:00:00"/>
    <x v="0"/>
    <m/>
    <m/>
    <m/>
  </r>
  <r>
    <s v="Merlin Wizard"/>
    <s v="Not a Customer"/>
    <s v="No growth Potential"/>
    <s v="Naz Ismail"/>
    <x v="2"/>
    <x v="612"/>
    <n v="135009"/>
    <s v="13-10-2022"/>
    <n v="0"/>
    <d v="2022-02-11T00:00:00"/>
    <x v="0"/>
    <m/>
    <m/>
    <m/>
  </r>
  <r>
    <s v="Altea"/>
    <s v="Not a Customer"/>
    <s v="No growth Potential"/>
    <s v="Naz Ismail"/>
    <x v="2"/>
    <x v="9"/>
    <n v="45780"/>
    <s v="23-03-2022"/>
    <n v="0"/>
    <d v="2022-02-05T00:00:00"/>
    <x v="0"/>
    <m/>
    <m/>
    <m/>
  </r>
  <r>
    <s v="KME Group S.p.A."/>
    <s v="Not a Customer"/>
    <s v="No growth Potential"/>
    <s v="Naz Ismail"/>
    <x v="2"/>
    <x v="594"/>
    <n v="110074"/>
    <s v="13-10-2022"/>
    <n v="0"/>
    <d v="2022-02-11T00:00:00"/>
    <x v="0"/>
    <m/>
    <m/>
    <m/>
  </r>
  <r>
    <s v="Streamit Srl"/>
    <s v="Not a Customer"/>
    <s v="No growth Potential"/>
    <s v="Naz Ismail"/>
    <x v="2"/>
    <x v="70"/>
    <n v="74927"/>
    <d v="2022-03-03T00:00:00"/>
    <n v="0"/>
    <d v="2022-02-05T00:00:00"/>
    <x v="0"/>
    <m/>
    <m/>
    <m/>
  </r>
  <r>
    <s v="Metalcastello SpA"/>
    <s v="Not a Customer"/>
    <s v="No growth Potential"/>
    <s v="Naz Ismail"/>
    <x v="2"/>
    <x v="613"/>
    <n v="218412"/>
    <s v="21-02-2022"/>
    <n v="0"/>
    <d v="2022-02-04T00:00:00"/>
    <x v="0"/>
    <m/>
    <m/>
    <m/>
  </r>
  <r>
    <s v="Esseco Group Srl"/>
    <s v="Not a Customer"/>
    <s v="No growth Potential"/>
    <s v="Naz Ismail"/>
    <x v="2"/>
    <x v="614"/>
    <n v="105996"/>
    <s v="24-08-2022"/>
    <n v="0"/>
    <d v="2022-02-11T00:00:00"/>
    <x v="0"/>
    <m/>
    <m/>
    <m/>
  </r>
  <r>
    <s v="Istituto Nazionale di Geofisica e Vulcanologia"/>
    <s v="Not a Customer"/>
    <s v="No growth Potential"/>
    <s v="Naz Ismail"/>
    <x v="2"/>
    <x v="74"/>
    <n v="149194"/>
    <s v="23-10-2022"/>
    <n v="0"/>
    <d v="2022-02-11T00:00:00"/>
    <x v="0"/>
    <m/>
    <m/>
    <m/>
  </r>
  <r>
    <s v="FARMACIA SANTA RITA DEI DOTTORI TERESA E GUSTAVO VASSALLI S.N.C"/>
    <s v="Not a Customer"/>
    <s v="No growth Potential"/>
    <s v="Naz Ismail"/>
    <x v="2"/>
    <x v="615"/>
    <n v="62403"/>
    <s v="23-09-2022"/>
    <n v="0"/>
    <d v="2022-02-11T00:00:00"/>
    <x v="0"/>
    <m/>
    <m/>
    <m/>
  </r>
  <r>
    <s v="Libera Università di Bolzano"/>
    <s v="Not a Customer"/>
    <s v="No growth Potential"/>
    <s v="Naz Ismail"/>
    <x v="2"/>
    <x v="616"/>
    <n v="40836"/>
    <s v="24-03-2022"/>
    <n v="0"/>
    <d v="2022-02-06T00:00:00"/>
    <x v="0"/>
    <m/>
    <m/>
    <m/>
  </r>
  <r>
    <s v="Aquafil SpA"/>
    <s v="Not a Customer"/>
    <s v="No growth Potential"/>
    <s v="Naz Ismail"/>
    <x v="2"/>
    <x v="617"/>
    <n v="101487"/>
    <d v="2022-03-03T00:00:00"/>
    <n v="0"/>
    <d v="2022-02-04T00:00:00"/>
    <x v="0"/>
    <m/>
    <m/>
    <m/>
  </r>
  <r>
    <s v="Riva Spa"/>
    <s v="Active Customer"/>
    <s v="High Growth potential"/>
    <s v="Naz Ismail"/>
    <x v="2"/>
    <x v="618"/>
    <n v="89778"/>
    <s v="23-02-2022"/>
    <n v="44889"/>
    <s v="14-04-2022"/>
    <x v="4"/>
    <m/>
    <m/>
    <m/>
  </r>
  <r>
    <s v="EURIZON CAPITAL SGR"/>
    <s v="Active Customer"/>
    <s v="Medium Growth"/>
    <s v="Naz Ismail"/>
    <x v="2"/>
    <x v="70"/>
    <n v="124559"/>
    <d v="2022-07-11T00:00:00"/>
    <n v="31140"/>
    <s v="17-11-2022"/>
    <x v="1"/>
    <m/>
    <m/>
    <m/>
  </r>
  <r>
    <s v="De Longhi"/>
    <s v="Active Customer"/>
    <s v="Medium Growth"/>
    <s v="Naz Ismail"/>
    <x v="2"/>
    <x v="619"/>
    <n v="137170"/>
    <s v="16-09-2022"/>
    <n v="15241"/>
    <d v="2022-05-11T00:00:00"/>
    <x v="4"/>
    <m/>
    <m/>
    <m/>
  </r>
  <r>
    <s v="Tirreno Power"/>
    <s v="Not a Customer"/>
    <s v="No growth Potential"/>
    <s v="Naz Ismail"/>
    <x v="2"/>
    <x v="620"/>
    <n v="120069"/>
    <s v="13-10-2022"/>
    <n v="0"/>
    <d v="2022-02-11T00:00:00"/>
    <x v="0"/>
    <m/>
    <m/>
    <m/>
  </r>
  <r>
    <s v="CNH Global NV"/>
    <s v="Not a Customer"/>
    <s v="No growth Potential"/>
    <s v="Naz Ismail"/>
    <x v="11"/>
    <x v="621"/>
    <n v="127432"/>
    <s v="13-08-2022"/>
    <n v="0"/>
    <d v="2022-02-09T00:00:00"/>
    <x v="0"/>
    <m/>
    <m/>
    <m/>
  </r>
  <r>
    <s v="Equita Sim SpA"/>
    <s v="Not a Customer"/>
    <s v="No growth Potential"/>
    <s v="Naz Ismail"/>
    <x v="2"/>
    <x v="70"/>
    <n v="121682"/>
    <d v="2022-03-05T00:00:00"/>
    <n v="0"/>
    <d v="2022-02-06T00:00:00"/>
    <x v="0"/>
    <m/>
    <m/>
    <m/>
  </r>
  <r>
    <s v="Webgriffe"/>
    <s v="Not a Customer"/>
    <s v="No growth Potential"/>
    <s v="Naz Ismail"/>
    <x v="2"/>
    <x v="622"/>
    <n v="122786"/>
    <s v="13-09-2022"/>
    <n v="0"/>
    <d v="2022-02-11T00:00:00"/>
    <x v="0"/>
    <m/>
    <m/>
    <m/>
  </r>
  <r>
    <s v="Sibeg Srl"/>
    <s v="Not a Customer"/>
    <s v="No growth Potential"/>
    <s v="Naz Ismail"/>
    <x v="2"/>
    <x v="623"/>
    <n v="100596"/>
    <s v="23-09-2022"/>
    <n v="0"/>
    <d v="2022-02-11T00:00:00"/>
    <x v="0"/>
    <m/>
    <m/>
    <m/>
  </r>
  <r>
    <s v="Alcantara Spa"/>
    <s v="Not a Customer"/>
    <s v="No growth Potential"/>
    <s v="Naz Ismail"/>
    <x v="2"/>
    <x v="70"/>
    <n v="132274"/>
    <d v="2022-11-02T00:00:00"/>
    <n v="0"/>
    <d v="2022-02-04T00:00:00"/>
    <x v="0"/>
    <m/>
    <m/>
    <m/>
  </r>
  <r>
    <s v="Guess by Marciano"/>
    <s v="Not a Customer"/>
    <s v="No growth Potential"/>
    <s v="Naz Ismail"/>
    <x v="2"/>
    <x v="624"/>
    <n v="118908"/>
    <s v="23-09-2022"/>
    <n v="0"/>
    <d v="2022-02-11T00:00:00"/>
    <x v="0"/>
    <m/>
    <m/>
    <m/>
  </r>
  <r>
    <s v="Vegan solutions srl"/>
    <s v="Not a Customer"/>
    <s v="No growth Potential"/>
    <s v="Naz Ismail"/>
    <x v="2"/>
    <x v="625"/>
    <n v="99211"/>
    <d v="2022-03-03T00:00:00"/>
    <n v="0"/>
    <d v="2022-02-04T00:00:00"/>
    <x v="0"/>
    <m/>
    <m/>
    <m/>
  </r>
  <r>
    <s v="Inglass S.p.A."/>
    <s v="Active Customer"/>
    <s v="High Growth potential"/>
    <s v="Naz Ismail"/>
    <x v="2"/>
    <x v="626"/>
    <n v="29757"/>
    <s v="29-03-2022"/>
    <n v="29757"/>
    <d v="2022-08-05T00:00:00"/>
    <x v="3"/>
    <m/>
    <m/>
    <m/>
  </r>
  <r>
    <s v="Gewiss"/>
    <s v="Not a Customer"/>
    <s v="No growth Potential"/>
    <s v="Naz Ismail"/>
    <x v="2"/>
    <x v="627"/>
    <n v="30902"/>
    <s v="23-09-2022"/>
    <n v="0"/>
    <d v="2022-02-11T00:00:00"/>
    <x v="0"/>
    <m/>
    <m/>
    <m/>
  </r>
  <r>
    <s v="Italcementi"/>
    <s v="Not a Customer"/>
    <s v="No growth Potential"/>
    <s v="Naz Ismail"/>
    <x v="2"/>
    <x v="628"/>
    <n v="120914"/>
    <d v="2022-01-01T00:00:00"/>
    <n v="0"/>
    <d v="2022-02-03T00:00:00"/>
    <x v="0"/>
    <m/>
    <m/>
    <m/>
  </r>
  <r>
    <s v="Askoll Group SpA"/>
    <s v="Not a Customer"/>
    <s v="No growth Potential"/>
    <s v="Naz Ismail"/>
    <x v="2"/>
    <x v="629"/>
    <n v="150636"/>
    <d v="2022-03-09T00:00:00"/>
    <n v="0"/>
    <d v="2022-02-11T00:00:00"/>
    <x v="0"/>
    <m/>
    <m/>
    <m/>
  </r>
  <r>
    <s v="Smeg"/>
    <s v="Not a Customer"/>
    <s v="No growth Potential"/>
    <s v="Naz Ismail"/>
    <x v="2"/>
    <x v="630"/>
    <n v="110866"/>
    <d v="2022-03-09T00:00:00"/>
    <n v="0"/>
    <d v="2022-02-11T00:00:00"/>
    <x v="0"/>
    <m/>
    <m/>
    <m/>
  </r>
  <r>
    <s v="Chateau d'Ax SpA"/>
    <s v="Not a Customer"/>
    <s v="No growth Potential"/>
    <s v="Naz Ismail"/>
    <x v="2"/>
    <x v="631"/>
    <m/>
    <d v="2022-01-01T00:00:00"/>
    <n v="0"/>
    <d v="2022-02-03T00:00:00"/>
    <x v="0"/>
    <m/>
    <m/>
    <m/>
  </r>
  <r>
    <s v="STAR SHOP DISTRIBUZIONE Srl"/>
    <s v="Not a Customer"/>
    <s v="No growth Potential"/>
    <s v="Naz Ismail"/>
    <x v="2"/>
    <x v="632"/>
    <n v="203794"/>
    <s v="23-09-2022"/>
    <n v="0"/>
    <d v="2022-02-11T00:00:00"/>
    <x v="0"/>
    <m/>
    <m/>
    <m/>
  </r>
  <r>
    <s v="Brunello Cucinelli Spa"/>
    <s v="Active Customer"/>
    <s v="Medium Growth"/>
    <s v="Naz Ismail"/>
    <x v="2"/>
    <x v="633"/>
    <n v="121681"/>
    <d v="2021-10-09T00:00:00"/>
    <n v="9360"/>
    <s v="19-11-2021"/>
    <x v="8"/>
    <m/>
    <m/>
    <m/>
  </r>
  <r>
    <s v="Zignago"/>
    <s v="Not a Customer"/>
    <s v="No growth Potential"/>
    <s v="Naz Ismail"/>
    <x v="2"/>
    <x v="634"/>
    <n v="228908"/>
    <s v="23-03-2022"/>
    <n v="0"/>
    <d v="2022-02-05T00:00:00"/>
    <x v="0"/>
    <m/>
    <m/>
    <m/>
  </r>
  <r>
    <s v="Carel Industries Spa"/>
    <s v="Not a Customer"/>
    <s v="No growth Potential"/>
    <s v="Naz Ismail"/>
    <x v="2"/>
    <x v="635"/>
    <n v="100385"/>
    <s v="23-01-2022"/>
    <n v="0"/>
    <d v="2022-02-02T00:00:00"/>
    <x v="0"/>
    <m/>
    <m/>
    <m/>
  </r>
  <r>
    <s v="Moncler S.p.A"/>
    <s v="Active Customer"/>
    <s v="Medium Growth"/>
    <s v="Naz Ismail"/>
    <x v="2"/>
    <x v="70"/>
    <n v="217607"/>
    <s v="18-09-2022"/>
    <n v="108804"/>
    <s v="17-11-2022"/>
    <x v="1"/>
    <m/>
    <m/>
    <m/>
  </r>
  <r>
    <s v="ENERGRID"/>
    <s v="Not a Customer"/>
    <s v="No growth Potential"/>
    <s v="Naz Ismail"/>
    <x v="2"/>
    <x v="592"/>
    <n v="89487"/>
    <d v="2022-03-10T00:00:00"/>
    <n v="0"/>
    <d v="2022-02-11T00:00:00"/>
    <x v="0"/>
    <m/>
    <m/>
    <m/>
  </r>
  <r>
    <s v="Anyweb SRL"/>
    <s v="Not a Customer"/>
    <s v="No growth Potential"/>
    <s v="Naz Ismail"/>
    <x v="2"/>
    <x v="70"/>
    <n v="334933"/>
    <s v="13-09-2022"/>
    <n v="0"/>
    <d v="2022-02-11T00:00:00"/>
    <x v="0"/>
    <m/>
    <m/>
    <m/>
  </r>
  <r>
    <s v="Raccorderie Metalliche SpA"/>
    <s v="Not a Customer"/>
    <s v="No growth Potential"/>
    <s v="Naz Ismail"/>
    <x v="2"/>
    <x v="636"/>
    <n v="143643"/>
    <s v="24-12-2021"/>
    <n v="0"/>
    <d v="2022-02-02T00:00:00"/>
    <x v="0"/>
    <m/>
    <m/>
    <m/>
  </r>
  <r>
    <s v="Angelo Marani Marex Spa"/>
    <s v="Not a Customer"/>
    <s v="No growth Potential"/>
    <s v="Naz Ismail"/>
    <x v="2"/>
    <x v="637"/>
    <n v="171823"/>
    <s v="13-08-2022"/>
    <n v="0"/>
    <d v="2022-02-09T00:00:00"/>
    <x v="0"/>
    <m/>
    <m/>
    <m/>
  </r>
  <r>
    <s v="Oboxo"/>
    <s v="Not a Customer"/>
    <s v="No growth Potential"/>
    <s v="Naz Ismail"/>
    <x v="2"/>
    <x v="126"/>
    <n v="107213"/>
    <d v="2022-03-10T00:00:00"/>
    <n v="0"/>
    <d v="2022-02-11T00:00:00"/>
    <x v="0"/>
    <m/>
    <m/>
    <m/>
  </r>
  <r>
    <s v="Marcegaglia S.p.A."/>
    <s v="Not a Customer"/>
    <s v="No growth Potential"/>
    <s v="Naz Ismail"/>
    <x v="2"/>
    <x v="638"/>
    <m/>
    <s v="13-01-2022"/>
    <n v="0"/>
    <d v="2022-02-02T00:00:00"/>
    <x v="0"/>
    <m/>
    <m/>
    <m/>
  </r>
  <r>
    <s v="Dierre SpA"/>
    <s v="Not a Customer"/>
    <s v="No growth Potential"/>
    <s v="Naz Ismail"/>
    <x v="2"/>
    <x v="639"/>
    <n v="197474"/>
    <s v="13-10-2022"/>
    <n v="0"/>
    <d v="2022-02-11T00:00:00"/>
    <x v="0"/>
    <m/>
    <m/>
    <m/>
  </r>
  <r>
    <s v="CANALI"/>
    <s v="Not a Customer"/>
    <s v="No growth Potential"/>
    <s v="Naz Ismail"/>
    <x v="2"/>
    <x v="640"/>
    <n v="76838"/>
    <d v="2022-03-10T00:00:00"/>
    <n v="0"/>
    <d v="2022-02-11T00:00:00"/>
    <x v="0"/>
    <m/>
    <m/>
    <m/>
  </r>
  <r>
    <s v="Sambonet"/>
    <s v="Not a Customer"/>
    <s v="No growth Potential"/>
    <s v="Naz Ismail"/>
    <x v="2"/>
    <x v="641"/>
    <n v="130506"/>
    <s v="24-11-2021"/>
    <n v="0"/>
    <d v="2022-02-02T00:00:00"/>
    <x v="0"/>
    <m/>
    <m/>
    <m/>
  </r>
  <r>
    <s v="Food and Agriculture Organization"/>
    <s v="Active Customer"/>
    <s v="Medium Growth"/>
    <s v="Naz Ismail"/>
    <x v="2"/>
    <x v="642"/>
    <n v="118892"/>
    <s v="15-05-2022"/>
    <n v="9146"/>
    <s v="14-06-2022"/>
    <x v="4"/>
    <m/>
    <m/>
    <m/>
  </r>
  <r>
    <s v="Colussi Group"/>
    <s v="Not a Customer"/>
    <s v="No growth Potential"/>
    <s v="Naz Ismail"/>
    <x v="2"/>
    <x v="632"/>
    <n v="81629"/>
    <s v="23-10-2022"/>
    <n v="0"/>
    <d v="2022-02-11T00:00:00"/>
    <x v="0"/>
    <m/>
    <m/>
    <m/>
  </r>
  <r>
    <s v="FRIUL INTAGLI INDUSTRIES S.P.A."/>
    <s v="Not a Customer"/>
    <s v="No growth Potential"/>
    <s v="Naz Ismail"/>
    <x v="2"/>
    <x v="643"/>
    <n v="423004"/>
    <d v="2022-03-09T00:00:00"/>
    <n v="0"/>
    <d v="2022-02-11T00:00:00"/>
    <x v="0"/>
    <m/>
    <m/>
    <m/>
  </r>
  <r>
    <s v="GREEN NETWORK SPA"/>
    <s v="Not a Customer"/>
    <s v="No growth Potential"/>
    <s v="Naz Ismail"/>
    <x v="2"/>
    <x v="74"/>
    <n v="115022"/>
    <s v="23-10-2022"/>
    <n v="0"/>
    <d v="2022-02-11T00:00:00"/>
    <x v="0"/>
    <m/>
    <m/>
    <m/>
  </r>
  <r>
    <s v="OPEN Dot Com Spa"/>
    <s v="Not a Customer"/>
    <s v="No growth Potential"/>
    <s v="Naz Ismail"/>
    <x v="2"/>
    <x v="644"/>
    <n v="28800"/>
    <d v="2023-03-03T00:00:00"/>
    <n v="0"/>
    <d v="2023-02-04T00:00:00"/>
    <x v="2"/>
    <m/>
    <m/>
    <m/>
  </r>
  <r>
    <s v="Unigrà srl"/>
    <s v="Not a Customer"/>
    <s v="No growth Potential"/>
    <s v="Naz Ismail"/>
    <x v="2"/>
    <x v="645"/>
    <n v="119114"/>
    <s v="13-10-2022"/>
    <n v="0"/>
    <d v="2022-02-11T00:00:00"/>
    <x v="0"/>
    <m/>
    <m/>
    <m/>
  </r>
  <r>
    <s v="ePrice SPA"/>
    <s v="Active Customer"/>
    <s v="High Growth potential"/>
    <s v="Naz Ismail"/>
    <x v="2"/>
    <x v="70"/>
    <n v="123313"/>
    <d v="2022-05-09T00:00:00"/>
    <n v="30828"/>
    <s v="14-11-2022"/>
    <x v="1"/>
    <m/>
    <m/>
    <m/>
  </r>
  <r>
    <s v="Impulse srl"/>
    <s v="Not a Customer"/>
    <s v="No growth Potential"/>
    <s v="Naz Ismail"/>
    <x v="2"/>
    <x v="646"/>
    <n v="107242"/>
    <s v="13-09-2022"/>
    <n v="0"/>
    <d v="2022-02-11T00:00:00"/>
    <x v="0"/>
    <m/>
    <m/>
    <m/>
  </r>
  <r>
    <s v="SMRE"/>
    <s v="Not a Customer"/>
    <s v="No growth Potential"/>
    <s v="Naz Ismail"/>
    <x v="2"/>
    <x v="647"/>
    <n v="101487"/>
    <s v="13-10-2022"/>
    <n v="0"/>
    <d v="2022-02-11T00:00:00"/>
    <x v="0"/>
    <m/>
    <m/>
    <m/>
  </r>
  <r>
    <s v="Unifarm SpA"/>
    <s v="Not a Customer"/>
    <s v="No growth Potential"/>
    <s v="Naz Ismail"/>
    <x v="2"/>
    <x v="648"/>
    <n v="69907"/>
    <d v="2022-12-04T00:00:00"/>
    <n v="0"/>
    <d v="2022-02-05T00:00:00"/>
    <x v="0"/>
    <m/>
    <m/>
    <m/>
  </r>
  <r>
    <s v="Caleffi Hydronic Solutions SpA"/>
    <s v="Not a Customer"/>
    <s v="No growth Potential"/>
    <s v="Naz Ismail"/>
    <x v="2"/>
    <x v="649"/>
    <m/>
    <d v="2021-04-12T00:00:00"/>
    <n v="0"/>
    <d v="2022-02-02T00:00:00"/>
    <x v="0"/>
    <m/>
    <m/>
    <m/>
  </r>
  <r>
    <s v="Industrie Testi SpA"/>
    <s v="Not a Customer"/>
    <s v="No growth Potential"/>
    <s v="Naz Ismail"/>
    <x v="2"/>
    <x v="650"/>
    <n v="73022"/>
    <s v="23-10-2022"/>
    <n v="0"/>
    <d v="2022-02-11T00:00:00"/>
    <x v="0"/>
    <m/>
    <m/>
    <m/>
  </r>
  <r>
    <s v="THE EUROPEAN HOUSE - AMBROSETTI"/>
    <s v="Active Customer"/>
    <s v="High Growth potential"/>
    <s v="Naz Ismail"/>
    <x v="2"/>
    <x v="70"/>
    <n v="109147"/>
    <d v="2022-04-10T00:00:00"/>
    <n v="3521"/>
    <s v="23-11-2022"/>
    <x v="1"/>
    <m/>
    <m/>
    <m/>
  </r>
  <r>
    <s v="Emarc S.p.A."/>
    <s v="Not a Customer"/>
    <s v="No growth Potential"/>
    <s v="Naz Ismail"/>
    <x v="2"/>
    <x v="651"/>
    <n v="74420"/>
    <s v="31-01-2022"/>
    <n v="0"/>
    <d v="2022-02-03T00:00:00"/>
    <x v="0"/>
    <m/>
    <m/>
    <m/>
  </r>
  <r>
    <s v="SCHURTER"/>
    <s v="Active Customer"/>
    <s v="High Growth potential"/>
    <s v="Naz Ismail"/>
    <x v="2"/>
    <x v="652"/>
    <n v="65114"/>
    <d v="2022-11-09T00:00:00"/>
    <n v="32557"/>
    <s v="20-11-2022"/>
    <x v="1"/>
    <m/>
    <m/>
    <m/>
  </r>
  <r>
    <s v="Illa"/>
    <s v="Not a Customer"/>
    <s v="No growth Potential"/>
    <s v="Naz Ismail"/>
    <x v="2"/>
    <x v="9"/>
    <n v="107226"/>
    <d v="2022-01-02T00:00:00"/>
    <n v="0"/>
    <d v="2022-02-04T00:00:00"/>
    <x v="0"/>
    <m/>
    <m/>
    <m/>
  </r>
  <r>
    <s v="General Logistics Systems Italy S.p.A."/>
    <s v="Not a Customer"/>
    <s v="No growth Potential"/>
    <s v="Naz Ismail"/>
    <x v="2"/>
    <x v="653"/>
    <n v="404266"/>
    <s v="13-05-2022"/>
    <n v="0"/>
    <d v="2022-02-06T00:00:00"/>
    <x v="0"/>
    <m/>
    <m/>
    <m/>
  </r>
  <r>
    <s v="ISTITUTO UNIVERSITARIO EUROPEO"/>
    <s v="Not a Customer"/>
    <s v="No growth Potential"/>
    <s v="Naz Ismail"/>
    <x v="2"/>
    <x v="654"/>
    <n v="178945"/>
    <s v="23-09-2022"/>
    <n v="0"/>
    <d v="2022-02-11T00:00:00"/>
    <x v="0"/>
    <m/>
    <m/>
    <m/>
  </r>
  <r>
    <s v="European University Institute"/>
    <s v="Not a Customer"/>
    <s v="No growth Potential"/>
    <s v="Naz Ismail"/>
    <x v="2"/>
    <x v="655"/>
    <n v="132245"/>
    <s v="22-06-2022"/>
    <n v="0"/>
    <d v="2022-02-07T00:00:00"/>
    <x v="0"/>
    <m/>
    <m/>
    <m/>
  </r>
  <r>
    <s v="Cinzia Rocca"/>
    <s v="Not a Customer"/>
    <s v="No growth Potential"/>
    <s v="Naz Ismail"/>
    <x v="2"/>
    <x v="656"/>
    <n v="126158"/>
    <s v="13-04-2022"/>
    <n v="0"/>
    <d v="2022-02-06T00:00:00"/>
    <x v="0"/>
    <m/>
    <m/>
    <m/>
  </r>
  <r>
    <s v="Corepla"/>
    <s v="Not a Customer"/>
    <s v="No growth Potential"/>
    <s v="Naz Ismail"/>
    <x v="2"/>
    <x v="70"/>
    <n v="72929"/>
    <d v="2022-02-06T00:00:00"/>
    <n v="0"/>
    <d v="2022-02-07T00:00:00"/>
    <x v="0"/>
    <m/>
    <m/>
    <m/>
  </r>
  <r>
    <s v="ITIJ - Instituto das Tecnologias de Informacao na Justica"/>
    <s v="Not a Customer"/>
    <s v="No growth Potential"/>
    <s v="Naz Ismail"/>
    <x v="1"/>
    <x v="61"/>
    <m/>
    <d v="2021-12-06T00:00:00"/>
    <n v="0"/>
    <d v="2021-01-08T00:00:00"/>
    <x v="5"/>
    <m/>
    <m/>
    <m/>
  </r>
  <r>
    <s v="Carpigiani Group"/>
    <s v="Not a Customer"/>
    <s v="No growth Potential"/>
    <s v="Naz Ismail"/>
    <x v="2"/>
    <x v="657"/>
    <n v="77515"/>
    <s v="24-12-2021"/>
    <n v="0"/>
    <d v="2022-02-02T00:00:00"/>
    <x v="0"/>
    <m/>
    <m/>
    <m/>
  </r>
  <r>
    <s v="Azimut Benetti"/>
    <s v="Not a Customer"/>
    <s v="No growth Potential"/>
    <s v="Naz Ismail"/>
    <x v="2"/>
    <x v="658"/>
    <n v="52300"/>
    <s v="13-10-2022"/>
    <n v="0"/>
    <d v="2022-02-11T00:00:00"/>
    <x v="0"/>
    <m/>
    <m/>
    <m/>
  </r>
  <r>
    <s v="Diasorin SpA"/>
    <s v="Not a Customer"/>
    <s v="No growth Potential"/>
    <s v="Naz Ismail"/>
    <x v="2"/>
    <x v="659"/>
    <n v="98751"/>
    <d v="2022-11-01T00:00:00"/>
    <n v="0"/>
    <d v="2022-02-03T00:00:00"/>
    <x v="0"/>
    <m/>
    <m/>
    <m/>
  </r>
  <r>
    <s v="Bonelli Erede Pappalardo"/>
    <s v="Not a Customer"/>
    <s v="No growth Potential"/>
    <s v="Naz Ismail"/>
    <x v="2"/>
    <x v="70"/>
    <n v="115743"/>
    <s v="13-03-2023"/>
    <n v="0"/>
    <d v="2023-02-04T00:00:00"/>
    <x v="2"/>
    <m/>
    <m/>
    <m/>
  </r>
  <r>
    <s v="Culligan Italiana S.p.A."/>
    <s v="Not a Customer"/>
    <s v="No growth Potential"/>
    <s v="Naz Ismail"/>
    <x v="2"/>
    <x v="660"/>
    <n v="197488"/>
    <d v="2022-03-05T00:00:00"/>
    <n v="0"/>
    <d v="2022-02-07T00:00:00"/>
    <x v="0"/>
    <m/>
    <m/>
    <m/>
  </r>
  <r>
    <s v="Renergetica SpA"/>
    <s v="Not a Customer"/>
    <s v="No growth Potential"/>
    <s v="Naz Ismail"/>
    <x v="2"/>
    <x v="661"/>
    <n v="112720"/>
    <d v="2022-03-10T00:00:00"/>
    <n v="0"/>
    <d v="2022-02-11T00:00:00"/>
    <x v="0"/>
    <m/>
    <m/>
    <m/>
  </r>
  <r>
    <s v="eLearnSecurity srl"/>
    <s v="Not a Customer"/>
    <s v="No growth Potential"/>
    <s v="Naz Ismail"/>
    <x v="2"/>
    <x v="662"/>
    <n v="127620"/>
    <s v="21-02-2022"/>
    <n v="0"/>
    <d v="2022-02-04T00:00:00"/>
    <x v="0"/>
    <m/>
    <m/>
    <m/>
  </r>
  <r>
    <s v="Signor Prestito SPA"/>
    <s v="Not a Customer"/>
    <s v="No growth Potential"/>
    <s v="Naz Ismail"/>
    <x v="2"/>
    <x v="663"/>
    <n v="72246"/>
    <d v="2022-03-09T00:00:00"/>
    <n v="0"/>
    <d v="2022-02-11T00:00:00"/>
    <x v="0"/>
    <m/>
    <m/>
    <m/>
  </r>
  <r>
    <s v="Ideal Standard srl"/>
    <s v="Not a Customer"/>
    <s v="No growth Potential"/>
    <s v="Naz Ismail"/>
    <x v="2"/>
    <x v="70"/>
    <n v="101451"/>
    <s v="23-03-2022"/>
    <n v="0"/>
    <d v="2022-02-04T00:00:00"/>
    <x v="0"/>
    <m/>
    <m/>
    <m/>
  </r>
  <r>
    <s v="Electronics Shopping Center"/>
    <s v="Not a Customer"/>
    <s v="No growth Potential"/>
    <s v="Naz Ismail"/>
    <x v="22"/>
    <x v="664"/>
    <n v="55015"/>
    <s v="23-10-2022"/>
    <n v="0"/>
    <d v="2022-02-11T00:00:00"/>
    <x v="0"/>
    <m/>
    <m/>
    <m/>
  </r>
  <r>
    <s v="Università del Salento"/>
    <s v="Not a Customer"/>
    <s v="No growth Potential"/>
    <s v="Naz Ismail"/>
    <x v="2"/>
    <x v="665"/>
    <n v="136958"/>
    <s v="21-02-2023"/>
    <n v="0"/>
    <d v="2023-02-05T00:00:00"/>
    <x v="2"/>
    <m/>
    <m/>
    <m/>
  </r>
  <r>
    <s v="Commit Siderurgica SpA"/>
    <s v="Not a Customer"/>
    <s v="No growth Potential"/>
    <s v="Naz Ismail"/>
    <x v="2"/>
    <x v="666"/>
    <n v="107493"/>
    <s v="13-04-2023"/>
    <n v="0"/>
    <d v="2023-02-06T00:00:00"/>
    <x v="2"/>
    <m/>
    <m/>
    <m/>
  </r>
  <r>
    <s v="Martini SpA"/>
    <s v="Not a Customer"/>
    <s v="No growth Potential"/>
    <s v="Naz Ismail"/>
    <x v="2"/>
    <x v="667"/>
    <n v="80106"/>
    <s v="13-01-2022"/>
    <n v="0"/>
    <d v="2022-02-02T00:00:00"/>
    <x v="0"/>
    <m/>
    <m/>
    <m/>
  </r>
  <r>
    <s v="Abaco SpA"/>
    <s v="Not a Customer"/>
    <s v="No growth Potential"/>
    <s v="Naz Ismail"/>
    <x v="2"/>
    <x v="668"/>
    <n v="92947"/>
    <s v="22-12-2021"/>
    <n v="0"/>
    <d v="2022-02-03T00:00:00"/>
    <x v="0"/>
    <m/>
    <m/>
    <m/>
  </r>
  <r>
    <s v="Davines Italy"/>
    <s v="Not a Customer"/>
    <s v="No growth Potential"/>
    <s v="Naz Ismail"/>
    <x v="2"/>
    <x v="132"/>
    <n v="70097"/>
    <s v="23-01-2022"/>
    <n v="0"/>
    <d v="2022-02-02T00:00:00"/>
    <x v="0"/>
    <m/>
    <m/>
    <m/>
  </r>
  <r>
    <s v="ARISTON THERMO"/>
    <s v="Not a Customer"/>
    <s v="No growth Potential"/>
    <s v="Naz Ismail"/>
    <x v="2"/>
    <x v="669"/>
    <n v="281760"/>
    <d v="2022-03-09T00:00:00"/>
    <n v="0"/>
    <d v="2022-02-11T00:00:00"/>
    <x v="0"/>
    <m/>
    <m/>
    <m/>
  </r>
  <r>
    <s v="Bedeschi SpA"/>
    <s v="Not a Customer"/>
    <s v="No growth Potential"/>
    <s v="Naz Ismail"/>
    <x v="2"/>
    <x v="670"/>
    <n v="139026"/>
    <d v="2022-03-09T00:00:00"/>
    <n v="0"/>
    <d v="2022-02-11T00:00:00"/>
    <x v="0"/>
    <m/>
    <m/>
    <m/>
  </r>
  <r>
    <s v="Stefanel SpA"/>
    <s v="Not a Customer"/>
    <s v="No growth Potential"/>
    <s v="Naz Ismail"/>
    <x v="2"/>
    <x v="671"/>
    <n v="190705"/>
    <s v="23-03-2022"/>
    <n v="0"/>
    <d v="2022-02-05T00:00:00"/>
    <x v="0"/>
    <m/>
    <m/>
    <m/>
  </r>
  <r>
    <s v="Unes Maxi"/>
    <s v="Not a Customer"/>
    <s v="No growth Potential"/>
    <s v="Naz Ismail"/>
    <x v="2"/>
    <x v="70"/>
    <n v="114554"/>
    <d v="2022-02-06T00:00:00"/>
    <n v="0"/>
    <d v="2022-02-07T00:00:00"/>
    <x v="0"/>
    <m/>
    <m/>
    <m/>
  </r>
  <r>
    <s v="ATENEO PONTIFICIO REGINA APOSTOLORUM"/>
    <s v="Not a Customer"/>
    <s v="No growth Potential"/>
    <s v="Naz Ismail"/>
    <x v="2"/>
    <x v="74"/>
    <n v="173041"/>
    <d v="2022-03-09T00:00:00"/>
    <n v="0"/>
    <d v="2022-02-11T00:00:00"/>
    <x v="0"/>
    <m/>
    <m/>
    <m/>
  </r>
  <r>
    <s v="Roberto Demeglio SpA"/>
    <s v="Not a Customer"/>
    <s v="No growth Potential"/>
    <s v="Naz Ismail"/>
    <x v="2"/>
    <x v="592"/>
    <m/>
    <s v="13-10-2022"/>
    <n v="0"/>
    <d v="2022-02-11T00:00:00"/>
    <x v="0"/>
    <m/>
    <m/>
    <m/>
  </r>
  <r>
    <s v="Veneta Cucine SpA"/>
    <s v="Not a Customer"/>
    <s v="No growth Potential"/>
    <s v="Naz Ismail"/>
    <x v="2"/>
    <x v="672"/>
    <n v="76841"/>
    <d v="2022-03-05T00:00:00"/>
    <n v="0"/>
    <d v="2022-02-06T00:00:00"/>
    <x v="0"/>
    <m/>
    <m/>
    <m/>
  </r>
  <r>
    <s v="Colmar"/>
    <s v="Not a Customer"/>
    <s v="No growth Potential"/>
    <s v="Naz Ismail"/>
    <x v="2"/>
    <x v="673"/>
    <n v="37800"/>
    <s v="13-03-2022"/>
    <n v="0"/>
    <d v="2022-02-05T00:00:00"/>
    <x v="0"/>
    <m/>
    <m/>
    <m/>
  </r>
  <r>
    <s v="Eleonora Bonucci"/>
    <s v="Not a Customer"/>
    <s v="No growth Potential"/>
    <s v="Naz Ismail"/>
    <x v="2"/>
    <x v="9"/>
    <n v="80523"/>
    <d v="2022-03-06T00:00:00"/>
    <n v="0"/>
    <d v="2022-02-08T00:00:00"/>
    <x v="0"/>
    <m/>
    <m/>
    <m/>
  </r>
  <r>
    <s v="Forma Italiana SpA"/>
    <s v="Not a Customer"/>
    <s v="No growth Potential"/>
    <s v="Naz Ismail"/>
    <x v="2"/>
    <x v="674"/>
    <n v="157233"/>
    <s v="21-02-2022"/>
    <n v="0"/>
    <d v="2022-02-05T00:00:00"/>
    <x v="0"/>
    <m/>
    <m/>
    <m/>
  </r>
  <r>
    <s v="Azimut Yachts"/>
    <s v="Not a Customer"/>
    <s v="No growth Potential"/>
    <s v="Naz Ismail"/>
    <x v="2"/>
    <x v="675"/>
    <n v="128110"/>
    <d v="2022-03-08T00:00:00"/>
    <n v="0"/>
    <d v="2022-02-09T00:00:00"/>
    <x v="0"/>
    <m/>
    <m/>
    <m/>
  </r>
  <r>
    <s v="Marazzi Group"/>
    <s v="Not a Customer"/>
    <s v="No growth Potential"/>
    <s v="Naz Ismail"/>
    <x v="2"/>
    <x v="676"/>
    <n v="60693"/>
    <s v="23-01-2022"/>
    <n v="0"/>
    <d v="2022-02-02T00:00:00"/>
    <x v="0"/>
    <m/>
    <m/>
    <m/>
  </r>
  <r>
    <s v="SAIT Abrasivi SpA"/>
    <s v="Not a Customer"/>
    <s v="No growth Potential"/>
    <s v="Naz Ismail"/>
    <x v="2"/>
    <x v="677"/>
    <n v="100555"/>
    <d v="2022-04-07T00:00:00"/>
    <n v="0"/>
    <d v="2022-02-09T00:00:00"/>
    <x v="0"/>
    <m/>
    <m/>
    <m/>
  </r>
  <r>
    <s v="Unico SpA"/>
    <s v="Not a Customer"/>
    <s v="No growth Potential"/>
    <s v="Naz Ismail"/>
    <x v="2"/>
    <x v="678"/>
    <n v="74869"/>
    <s v="24-08-2022"/>
    <n v="0"/>
    <d v="2022-02-11T00:00:00"/>
    <x v="0"/>
    <m/>
    <m/>
    <m/>
  </r>
  <r>
    <s v="Marchesini Group S.p.A"/>
    <s v="Not a Customer"/>
    <s v="No growth Potential"/>
    <s v="Naz Ismail"/>
    <x v="2"/>
    <x v="679"/>
    <n v="101451"/>
    <s v="24-11-2021"/>
    <n v="0"/>
    <d v="2022-02-02T00:00:00"/>
    <x v="0"/>
    <m/>
    <m/>
    <m/>
  </r>
  <r>
    <s v="Longino &amp; Cardenal SPA"/>
    <s v="Not a Customer"/>
    <s v="No growth Potential"/>
    <s v="Naz Ismail"/>
    <x v="2"/>
    <x v="680"/>
    <n v="260004"/>
    <s v="23-10-2022"/>
    <n v="0"/>
    <d v="2022-02-12T00:00:00"/>
    <x v="0"/>
    <m/>
    <m/>
    <m/>
  </r>
  <r>
    <s v="GIORGIO FEDON &amp; FIGLI SPA"/>
    <s v="Not a Customer"/>
    <s v="No growth Potential"/>
    <s v="Naz Ismail"/>
    <x v="2"/>
    <x v="681"/>
    <n v="118996"/>
    <d v="2022-03-10T00:00:00"/>
    <n v="0"/>
    <d v="2022-02-11T00:00:00"/>
    <x v="0"/>
    <m/>
    <m/>
    <m/>
  </r>
  <r>
    <s v="SCM GROUP Spa"/>
    <s v="Active Customer"/>
    <s v="High Growth potential"/>
    <s v="Naz Ismail"/>
    <x v="2"/>
    <x v="606"/>
    <n v="93812"/>
    <d v="2022-11-11T00:00:00"/>
    <n v="46906"/>
    <s v="20-01-2023"/>
    <x v="2"/>
    <m/>
    <m/>
    <m/>
  </r>
  <r>
    <s v="Esaote SpA"/>
    <s v="Not a Customer"/>
    <s v="No growth Potential"/>
    <s v="Naz Ismail"/>
    <x v="2"/>
    <x v="661"/>
    <n v="56404"/>
    <s v="20-02-2022"/>
    <n v="0"/>
    <d v="2022-02-03T00:00:00"/>
    <x v="0"/>
    <m/>
    <m/>
    <m/>
  </r>
  <r>
    <s v="GSI Ceramiche"/>
    <s v="Not a Customer"/>
    <s v="No growth Potential"/>
    <s v="Naz Ismail"/>
    <x v="2"/>
    <x v="682"/>
    <n v="143639"/>
    <s v="23-06-2022"/>
    <n v="0"/>
    <d v="2022-02-08T00:00:00"/>
    <x v="0"/>
    <m/>
    <m/>
    <m/>
  </r>
  <r>
    <s v="Rocco Forte &amp; Friends SpA"/>
    <s v="Not a Customer"/>
    <s v="No growth Potential"/>
    <s v="Naz Ismail"/>
    <x v="2"/>
    <x v="74"/>
    <m/>
    <d v="2022-12-10T00:00:00"/>
    <n v="0"/>
    <d v="2022-11-11T00:00:00"/>
    <x v="1"/>
    <m/>
    <m/>
    <m/>
  </r>
  <r>
    <s v="Arriva Italia"/>
    <s v="Not a Customer"/>
    <s v="No growth Potential"/>
    <s v="Naz Ismail"/>
    <x v="2"/>
    <x v="70"/>
    <n v="171642"/>
    <s v="24-03-2022"/>
    <n v="0"/>
    <d v="2022-02-06T00:00:00"/>
    <x v="0"/>
    <m/>
    <m/>
    <m/>
  </r>
  <r>
    <s v="Praxi"/>
    <s v="Not a Customer"/>
    <s v="No growth Potential"/>
    <s v="Naz Ismail"/>
    <x v="2"/>
    <x v="589"/>
    <n v="171663"/>
    <s v="31-01-2022"/>
    <n v="0"/>
    <d v="2022-02-03T00:00:00"/>
    <x v="0"/>
    <m/>
    <m/>
    <m/>
  </r>
  <r>
    <s v="Phase Motion control SpA"/>
    <s v="Not a Customer"/>
    <s v="No growth Potential"/>
    <s v="Naz Ismail"/>
    <x v="2"/>
    <x v="661"/>
    <n v="184681"/>
    <d v="2022-11-01T00:00:00"/>
    <n v="0"/>
    <d v="2022-02-03T00:00:00"/>
    <x v="0"/>
    <m/>
    <m/>
    <m/>
  </r>
  <r>
    <s v="Venchi SpA"/>
    <s v="Not a Customer"/>
    <s v="No growth Potential"/>
    <s v="Naz Ismail"/>
    <x v="2"/>
    <x v="683"/>
    <n v="160901"/>
    <s v="23-09-2022"/>
    <n v="0"/>
    <d v="2022-02-11T00:00:00"/>
    <x v="0"/>
    <m/>
    <m/>
    <m/>
  </r>
  <r>
    <s v="BAXI"/>
    <s v="Not a Customer"/>
    <s v="No growth Potential"/>
    <s v="Naz Ismail"/>
    <x v="2"/>
    <x v="15"/>
    <n v="104490"/>
    <s v="23-10-2022"/>
    <n v="0"/>
    <d v="2022-02-11T00:00:00"/>
    <x v="0"/>
    <m/>
    <m/>
    <m/>
  </r>
  <r>
    <s v="Saes Getters SpA"/>
    <s v="Not a Customer"/>
    <s v="No growth Potential"/>
    <s v="Naz Ismail"/>
    <x v="2"/>
    <x v="678"/>
    <n v="78161"/>
    <s v="14-12-2021"/>
    <n v="0"/>
    <d v="2022-02-02T00:00:00"/>
    <x v="0"/>
    <m/>
    <m/>
    <m/>
  </r>
  <r>
    <s v="Mermec SpA"/>
    <s v="Not a Customer"/>
    <s v="No growth Potential"/>
    <s v="Naz Ismail"/>
    <x v="2"/>
    <x v="684"/>
    <n v="181198"/>
    <s v="13-10-2022"/>
    <n v="0"/>
    <d v="2022-02-11T00:00:00"/>
    <x v="0"/>
    <m/>
    <m/>
    <m/>
  </r>
  <r>
    <s v="UFI FILTERS spa"/>
    <s v="Not a Customer"/>
    <s v="No growth Potential"/>
    <s v="Naz Ismail"/>
    <x v="2"/>
    <x v="685"/>
    <n v="239168"/>
    <d v="2023-10-02T00:00:00"/>
    <n v="0"/>
    <d v="2023-02-03T00:00:00"/>
    <x v="2"/>
    <m/>
    <m/>
    <m/>
  </r>
  <r>
    <s v="CLUB HOUSE ITALIA SPA"/>
    <s v="Not a Customer"/>
    <s v="No growth Potential"/>
    <s v="Naz Ismail"/>
    <x v="2"/>
    <x v="686"/>
    <n v="77441"/>
    <s v="24-08-2022"/>
    <n v="0"/>
    <d v="2022-02-11T00:00:00"/>
    <x v="0"/>
    <m/>
    <m/>
    <m/>
  </r>
  <r>
    <s v="Micro Servizi S.A.S."/>
    <s v="Not a Customer"/>
    <s v="No growth Potential"/>
    <s v="Naz Ismail"/>
    <x v="2"/>
    <x v="687"/>
    <n v="86474"/>
    <d v="2022-03-09T00:00:00"/>
    <n v="0"/>
    <d v="2022-02-11T00:00:00"/>
    <x v="0"/>
    <m/>
    <m/>
    <m/>
  </r>
  <r>
    <s v="Lindt &amp; Sprüngli Italy"/>
    <s v="Not a Customer"/>
    <s v="No growth Potential"/>
    <s v="Naz Ismail"/>
    <x v="2"/>
    <x v="688"/>
    <n v="109690"/>
    <s v="22-08-2021"/>
    <n v="0"/>
    <d v="2021-01-09T00:00:00"/>
    <x v="5"/>
    <m/>
    <m/>
    <m/>
  </r>
  <r>
    <s v="La Riviera dei Sogni Travels"/>
    <s v="Not a Customer"/>
    <s v="No growth Potential"/>
    <s v="Naz Ismail"/>
    <x v="2"/>
    <x v="689"/>
    <n v="166384"/>
    <s v="24-12-2021"/>
    <n v="0"/>
    <d v="2022-02-02T00:00:00"/>
    <x v="0"/>
    <m/>
    <m/>
    <m/>
  </r>
  <r>
    <s v="Halcom ICT"/>
    <s v="Not a Customer"/>
    <s v="No growth Potential"/>
    <s v="Naz Ismail"/>
    <x v="2"/>
    <x v="642"/>
    <n v="25440"/>
    <s v="23-01-2022"/>
    <n v="0"/>
    <d v="2022-02-02T00:00:00"/>
    <x v="0"/>
    <m/>
    <m/>
    <m/>
  </r>
  <r>
    <s v="Abiogen Pharma SpA"/>
    <s v="Not a Customer"/>
    <s v="No growth Potential"/>
    <s v="Naz Ismail"/>
    <x v="2"/>
    <x v="690"/>
    <n v="189565"/>
    <s v="24-08-2022"/>
    <n v="0"/>
    <d v="2022-02-11T00:00:00"/>
    <x v="0"/>
    <m/>
    <m/>
    <m/>
  </r>
  <r>
    <s v="Netstorming SRL"/>
    <s v="Not a Customer"/>
    <s v="No growth Potential"/>
    <s v="Naz Ismail"/>
    <x v="2"/>
    <x v="74"/>
    <m/>
    <s v="24-10-2022"/>
    <n v="0"/>
    <s v="23-11-2022"/>
    <x v="1"/>
    <m/>
    <m/>
    <m/>
  </r>
  <r>
    <s v="GELSIA RETI SRL"/>
    <s v="Not a Customer"/>
    <s v="No growth Potential"/>
    <s v="Naz Ismail"/>
    <x v="2"/>
    <x v="691"/>
    <n v="94709"/>
    <s v="13-09-2022"/>
    <n v="0"/>
    <d v="2022-02-11T00:00:00"/>
    <x v="0"/>
    <m/>
    <m/>
    <m/>
  </r>
  <r>
    <s v="Industrie Saleri Italo SpA"/>
    <s v="Not a Customer"/>
    <s v="No growth Potential"/>
    <s v="Naz Ismail"/>
    <x v="2"/>
    <x v="692"/>
    <n v="180130"/>
    <d v="2022-02-11T00:00:00"/>
    <n v="0"/>
    <d v="2022-02-12T00:00:00"/>
    <x v="0"/>
    <m/>
    <m/>
    <m/>
  </r>
  <r>
    <s v="Cofra Srl"/>
    <s v="Not a Customer"/>
    <s v="No growth Potential"/>
    <s v="Naz Ismail"/>
    <x v="2"/>
    <x v="693"/>
    <n v="122985"/>
    <s v="21-02-2022"/>
    <n v="0"/>
    <d v="2022-02-05T00:00:00"/>
    <x v="0"/>
    <m/>
    <m/>
    <m/>
  </r>
  <r>
    <s v="Laminazione Sottile S.p.A."/>
    <s v="Active Customer"/>
    <s v="High Growth potential"/>
    <s v="Naz Ismail"/>
    <x v="2"/>
    <x v="694"/>
    <n v="57260"/>
    <s v="21-01-2022"/>
    <n v="14315"/>
    <s v="20-02-2022"/>
    <x v="0"/>
    <m/>
    <m/>
    <m/>
  </r>
  <r>
    <s v="Monnalisa SpA"/>
    <s v="Not a Customer"/>
    <s v="No growth Potential"/>
    <s v="Naz Ismail"/>
    <x v="2"/>
    <x v="695"/>
    <n v="74058"/>
    <s v="13-03-2022"/>
    <n v="0"/>
    <d v="2022-02-05T00:00:00"/>
    <x v="0"/>
    <m/>
    <m/>
    <m/>
  </r>
  <r>
    <s v="STEFANO RICCI S.p.A."/>
    <s v="Not a Customer"/>
    <s v="No growth Potential"/>
    <s v="Naz Ismail"/>
    <x v="2"/>
    <x v="594"/>
    <n v="118487"/>
    <s v="13-10-2022"/>
    <n v="0"/>
    <d v="2022-02-11T00:00:00"/>
    <x v="0"/>
    <m/>
    <m/>
    <m/>
  </r>
  <r>
    <s v="ThinkLUX S.r.l."/>
    <s v="Not a Customer"/>
    <s v="No growth Potential"/>
    <s v="Naz Ismail"/>
    <x v="2"/>
    <x v="592"/>
    <n v="123084"/>
    <s v="13-09-2022"/>
    <n v="0"/>
    <d v="2022-02-11T00:00:00"/>
    <x v="0"/>
    <m/>
    <m/>
    <m/>
  </r>
  <r>
    <s v="CONNECTIS CMC ITALIA SRL"/>
    <s v="Not a Customer"/>
    <s v="No growth Potential"/>
    <s v="Naz Ismail"/>
    <x v="2"/>
    <x v="70"/>
    <n v="77568"/>
    <d v="2022-03-09T00:00:00"/>
    <n v="0"/>
    <d v="2022-02-11T00:00:00"/>
    <x v="0"/>
    <m/>
    <m/>
    <m/>
  </r>
  <r>
    <s v="Recordati SpA"/>
    <s v="Not a Customer"/>
    <s v="No growth Potential"/>
    <s v="Naz Ismail"/>
    <x v="2"/>
    <x v="70"/>
    <n v="87926"/>
    <d v="2022-12-06T00:00:00"/>
    <n v="0"/>
    <d v="2022-02-07T00:00:00"/>
    <x v="0"/>
    <m/>
    <m/>
    <m/>
  </r>
  <r>
    <s v="Consorzio Venezia Nuova"/>
    <s v="Active Customer"/>
    <s v="High Growth potential"/>
    <s v="Naz Ismail"/>
    <x v="2"/>
    <x v="696"/>
    <n v="112708"/>
    <s v="29-03-2023"/>
    <n v="14089"/>
    <d v="2023-08-05T00:00:00"/>
    <x v="7"/>
    <m/>
    <m/>
    <m/>
  </r>
  <r>
    <s v="Gruppo Borghi SpA"/>
    <s v="Not a Customer"/>
    <s v="No growth Potential"/>
    <s v="Naz Ismail"/>
    <x v="2"/>
    <x v="697"/>
    <n v="100592"/>
    <s v="23-09-2022"/>
    <n v="0"/>
    <d v="2022-02-11T00:00:00"/>
    <x v="0"/>
    <m/>
    <m/>
    <m/>
  </r>
  <r>
    <s v="Vincenzo Zucchi SpA"/>
    <s v="Not a Customer"/>
    <s v="No growth Potential"/>
    <s v="Naz Ismail"/>
    <x v="2"/>
    <x v="698"/>
    <n v="75937"/>
    <s v="13-09-2022"/>
    <n v="0"/>
    <d v="2022-02-11T00:00:00"/>
    <x v="0"/>
    <m/>
    <m/>
    <m/>
  </r>
  <r>
    <s v="Pianoforte Holding Spa"/>
    <s v="Not a Customer"/>
    <s v="No growth Potential"/>
    <s v="Naz Ismail"/>
    <x v="2"/>
    <x v="70"/>
    <n v="107388"/>
    <s v="31-01-2022"/>
    <n v="0"/>
    <d v="2022-02-03T00:00:00"/>
    <x v="0"/>
    <m/>
    <m/>
    <m/>
  </r>
  <r>
    <s v="La Feltrinelli"/>
    <s v="Active Customer"/>
    <s v="High Growth potential"/>
    <s v="Naz Ismail"/>
    <x v="2"/>
    <x v="70"/>
    <n v="76095"/>
    <d v="2022-09-01T00:00:00"/>
    <n v="8455"/>
    <d v="2022-08-02T00:00:00"/>
    <x v="3"/>
    <m/>
    <m/>
    <m/>
  </r>
  <r>
    <s v="CONSORZIO LATTERIE VIRGILIO"/>
    <s v="Not a Customer"/>
    <s v="No growth Potential"/>
    <s v="Naz Ismail"/>
    <x v="2"/>
    <x v="699"/>
    <n v="49615"/>
    <s v="23-09-2022"/>
    <n v="0"/>
    <d v="2022-02-11T00:00:00"/>
    <x v="0"/>
    <m/>
    <m/>
    <m/>
  </r>
  <r>
    <s v="Full Spot SpA"/>
    <s v="Not a Customer"/>
    <s v="No growth Potential"/>
    <s v="Naz Ismail"/>
    <x v="2"/>
    <x v="700"/>
    <n v="98813"/>
    <s v="23-10-2022"/>
    <n v="0"/>
    <d v="2022-02-11T00:00:00"/>
    <x v="0"/>
    <m/>
    <m/>
    <m/>
  </r>
  <r>
    <s v="Marposs S.p.A."/>
    <s v="Not a Customer"/>
    <s v="No growth Potential"/>
    <s v="Naz Ismail"/>
    <x v="2"/>
    <x v="597"/>
    <n v="85668"/>
    <d v="2022-03-01T00:00:00"/>
    <n v="0"/>
    <d v="2022-02-02T00:00:00"/>
    <x v="0"/>
    <m/>
    <m/>
    <m/>
  </r>
  <r>
    <s v="GooCity Srl"/>
    <s v="Not a Customer"/>
    <s v="No growth Potential"/>
    <s v="Naz Ismail"/>
    <x v="2"/>
    <x v="70"/>
    <n v="122808"/>
    <d v="2022-03-10T00:00:00"/>
    <n v="0"/>
    <d v="2022-02-11T00:00:00"/>
    <x v="0"/>
    <m/>
    <m/>
    <m/>
  </r>
  <r>
    <s v="Yeppon"/>
    <s v="Not a Customer"/>
    <s v="No growth Potential"/>
    <s v="Naz Ismail"/>
    <x v="2"/>
    <x v="701"/>
    <n v="152450"/>
    <s v="13-10-2022"/>
    <n v="0"/>
    <d v="2022-02-11T00:00:00"/>
    <x v="0"/>
    <m/>
    <m/>
    <m/>
  </r>
  <r>
    <s v="N&amp;W Global vending Spa"/>
    <s v="Not a Customer"/>
    <s v="No growth Potential"/>
    <s v="Naz Ismail"/>
    <x v="2"/>
    <x v="702"/>
    <m/>
    <s v="14-07-2022"/>
    <n v="0"/>
    <d v="2022-02-09T00:00:00"/>
    <x v="0"/>
    <m/>
    <m/>
    <m/>
  </r>
  <r>
    <s v="Travel Age"/>
    <s v="Not a Customer"/>
    <s v="No growth Potential"/>
    <s v="Naz Ismail"/>
    <x v="2"/>
    <x v="9"/>
    <n v="34798"/>
    <s v="31-01-2022"/>
    <n v="0"/>
    <d v="2022-02-03T00:00:00"/>
    <x v="0"/>
    <m/>
    <m/>
    <m/>
  </r>
  <r>
    <s v="Beghelli SpA"/>
    <s v="Not a Customer"/>
    <s v="No growth Potential"/>
    <s v="Naz Ismail"/>
    <x v="2"/>
    <x v="703"/>
    <n v="81201"/>
    <d v="2022-03-09T00:00:00"/>
    <n v="0"/>
    <d v="2022-02-11T00:00:00"/>
    <x v="0"/>
    <m/>
    <m/>
    <m/>
  </r>
  <r>
    <s v="Servizio Auto Online S.P.A."/>
    <s v="Not a Customer"/>
    <s v="No growth Potential"/>
    <s v="Naz Ismail"/>
    <x v="2"/>
    <x v="704"/>
    <n v="98847"/>
    <s v="13-09-2022"/>
    <n v="0"/>
    <d v="2022-02-11T00:00:00"/>
    <x v="0"/>
    <m/>
    <m/>
    <m/>
  </r>
  <r>
    <s v="Alfaparf Group SpA"/>
    <s v="Not a Customer"/>
    <s v="No growth Potential"/>
    <s v="Naz Ismail"/>
    <x v="2"/>
    <x v="705"/>
    <n v="89781"/>
    <s v="21-02-2022"/>
    <n v="0"/>
    <d v="2022-02-04T00:00:00"/>
    <x v="0"/>
    <m/>
    <m/>
    <m/>
  </r>
  <r>
    <s v="Feedback Italia s.r.l."/>
    <s v="Active Customer"/>
    <s v="High Growth potential"/>
    <s v="Naz Ismail"/>
    <x v="2"/>
    <x v="706"/>
    <n v="124385"/>
    <s v="30-03-2022"/>
    <n v="12439"/>
    <d v="2022-08-06T00:00:00"/>
    <x v="3"/>
    <m/>
    <m/>
    <m/>
  </r>
  <r>
    <s v="DPV SPA"/>
    <s v="Not a Customer"/>
    <s v="No growth Potential"/>
    <s v="Naz Ismail"/>
    <x v="2"/>
    <x v="592"/>
    <n v="98544"/>
    <s v="24-08-2022"/>
    <n v="0"/>
    <d v="2022-02-11T00:00:00"/>
    <x v="0"/>
    <m/>
    <m/>
    <m/>
  </r>
  <r>
    <s v="Banfi Società Agricola S.R.L."/>
    <s v="Not a Customer"/>
    <s v="No growth Potential"/>
    <s v="Naz Ismail"/>
    <x v="2"/>
    <x v="707"/>
    <n v="138504"/>
    <d v="2022-03-01T00:00:00"/>
    <n v="0"/>
    <d v="2022-02-02T00:00:00"/>
    <x v="0"/>
    <m/>
    <m/>
    <m/>
  </r>
  <r>
    <s v="Galbusera SpA"/>
    <s v="Not a Customer"/>
    <s v="No growth Potential"/>
    <s v="Naz Ismail"/>
    <x v="2"/>
    <x v="708"/>
    <n v="91793"/>
    <s v="23-01-2022"/>
    <n v="0"/>
    <d v="2022-02-02T00:00:00"/>
    <x v="0"/>
    <m/>
    <m/>
    <m/>
  </r>
  <r>
    <s v="FEDRIGONI Spa"/>
    <s v="Not a Customer"/>
    <s v="No growth Potential"/>
    <s v="Naz Ismail"/>
    <x v="2"/>
    <x v="663"/>
    <n v="159683"/>
    <d v="2022-03-11T00:00:00"/>
    <n v="0"/>
    <d v="2023-02-01T00:00:00"/>
    <x v="2"/>
    <m/>
    <m/>
    <m/>
  </r>
  <r>
    <s v="AcomeA SGR SpA"/>
    <s v="Not a Customer"/>
    <s v="No growth Potential"/>
    <s v="Naz Ismail"/>
    <x v="2"/>
    <x v="70"/>
    <n v="100011"/>
    <d v="2022-03-10T00:00:00"/>
    <n v="0"/>
    <d v="2022-02-11T00:00:00"/>
    <x v="0"/>
    <m/>
    <m/>
    <m/>
  </r>
  <r>
    <s v="API ANONIMA PETROLI ITALIANA SPA"/>
    <s v="Not a Customer"/>
    <s v="No growth Potential"/>
    <s v="Naz Ismail"/>
    <x v="2"/>
    <x v="74"/>
    <n v="58322"/>
    <s v="23-10-2022"/>
    <n v="0"/>
    <d v="2022-02-11T00:00:00"/>
    <x v="0"/>
    <m/>
    <m/>
    <m/>
  </r>
  <r>
    <s v="Pastificio Rana S.p.a."/>
    <s v="Not a Customer"/>
    <s v="No growth Potential"/>
    <s v="Naz Ismail"/>
    <x v="2"/>
    <x v="709"/>
    <n v="132359"/>
    <s v="24-12-2021"/>
    <n v="0"/>
    <d v="2022-02-02T00:00:00"/>
    <x v="0"/>
    <m/>
    <m/>
    <m/>
  </r>
  <r>
    <s v="Atahotels"/>
    <s v="Not a Customer"/>
    <s v="No growth Potential"/>
    <s v="Naz Ismail"/>
    <x v="2"/>
    <x v="710"/>
    <n v="80107"/>
    <s v="31-01-2022"/>
    <n v="0"/>
    <d v="2022-02-03T00:00:00"/>
    <x v="0"/>
    <m/>
    <m/>
    <m/>
  </r>
  <r>
    <s v="Inticom SpA"/>
    <s v="Not a Customer"/>
    <s v="No growth Potential"/>
    <s v="Naz Ismail"/>
    <x v="2"/>
    <x v="711"/>
    <n v="161635"/>
    <s v="13-10-2022"/>
    <n v="0"/>
    <d v="2022-02-11T00:00:00"/>
    <x v="0"/>
    <m/>
    <m/>
    <m/>
  </r>
  <r>
    <s v="Twin-Set srl"/>
    <s v="Active Customer"/>
    <s v="Medium Growth"/>
    <s v="Naz Ismail"/>
    <x v="2"/>
    <x v="712"/>
    <n v="86700"/>
    <s v="16-10-2022"/>
    <n v="28900"/>
    <d v="2022-05-11T00:00:00"/>
    <x v="4"/>
    <m/>
    <m/>
    <m/>
  </r>
  <r>
    <s v="Bonfiglioli Riduttori SpA"/>
    <s v="Not a Customer"/>
    <s v="No growth Potential"/>
    <s v="Naz Ismail"/>
    <x v="2"/>
    <x v="713"/>
    <n v="98623"/>
    <s v="13-09-2022"/>
    <n v="0"/>
    <d v="2022-02-11T00:00:00"/>
    <x v="0"/>
    <m/>
    <m/>
    <m/>
  </r>
  <r>
    <s v="Merlo SpA"/>
    <s v="Not a Customer"/>
    <s v="No growth Potential"/>
    <s v="Naz Ismail"/>
    <x v="2"/>
    <x v="714"/>
    <n v="252843"/>
    <d v="2022-03-10T00:00:00"/>
    <n v="0"/>
    <d v="2022-02-11T00:00:00"/>
    <x v="0"/>
    <m/>
    <m/>
    <m/>
  </r>
  <r>
    <s v="Eden Viaggi"/>
    <s v="Not a Customer"/>
    <s v="No growth Potential"/>
    <s v="Naz Ismail"/>
    <x v="2"/>
    <x v="715"/>
    <n v="100582"/>
    <s v="24-05-2022"/>
    <n v="0"/>
    <d v="2022-02-08T00:00:00"/>
    <x v="0"/>
    <m/>
    <m/>
    <m/>
  </r>
  <r>
    <s v="Came SpA"/>
    <s v="Not a Customer"/>
    <s v="No growth Potential"/>
    <s v="Naz Ismail"/>
    <x v="2"/>
    <x v="716"/>
    <n v="55049"/>
    <s v="24-11-2021"/>
    <n v="0"/>
    <d v="2022-02-02T00:00:00"/>
    <x v="0"/>
    <m/>
    <m/>
    <m/>
  </r>
  <r>
    <s v="EGIDIO GALBANI"/>
    <s v="Not a Customer"/>
    <s v="No growth Potential"/>
    <s v="Naz Ismail"/>
    <x v="2"/>
    <x v="70"/>
    <n v="105575"/>
    <s v="13-10-2022"/>
    <n v="0"/>
    <d v="2022-02-11T00:00:00"/>
    <x v="0"/>
    <m/>
    <m/>
    <m/>
  </r>
  <r>
    <s v="Pizzoli SpA"/>
    <s v="Not a Customer"/>
    <s v="No growth Potential"/>
    <s v="Naz Ismail"/>
    <x v="2"/>
    <x v="717"/>
    <n v="112578"/>
    <s v="13-09-2022"/>
    <n v="0"/>
    <d v="2022-02-11T00:00:00"/>
    <x v="0"/>
    <m/>
    <m/>
    <m/>
  </r>
  <r>
    <s v="Fabbrica Italiana Sintetici S.p.A."/>
    <s v="Not a Customer"/>
    <s v="No growth Potential"/>
    <s v="Naz Ismail"/>
    <x v="2"/>
    <x v="718"/>
    <n v="111856"/>
    <s v="24-11-2021"/>
    <n v="0"/>
    <d v="2022-02-02T00:00:00"/>
    <x v="0"/>
    <m/>
    <m/>
    <m/>
  </r>
  <r>
    <s v="FLOS SpA"/>
    <s v="Not a Customer"/>
    <s v="No growth Potential"/>
    <s v="Naz Ismail"/>
    <x v="2"/>
    <x v="719"/>
    <n v="74238"/>
    <s v="23-09-2022"/>
    <n v="0"/>
    <d v="2022-02-11T00:00:00"/>
    <x v="0"/>
    <m/>
    <m/>
    <m/>
  </r>
  <r>
    <s v="Spidi"/>
    <s v="Not a Customer"/>
    <s v="No growth Potential"/>
    <s v="Naz Ismail"/>
    <x v="2"/>
    <x v="720"/>
    <n v="355025"/>
    <s v="23-10-2022"/>
    <n v="0"/>
    <d v="2022-02-11T00:00:00"/>
    <x v="0"/>
    <m/>
    <m/>
    <m/>
  </r>
  <r>
    <s v="Breton Spa"/>
    <s v="Active Customer"/>
    <s v="High Growth potential"/>
    <s v="Naz Ismail"/>
    <x v="2"/>
    <x v="721"/>
    <n v="105493"/>
    <s v="24-09-2022"/>
    <n v="52747"/>
    <s v="14-10-2022"/>
    <x v="1"/>
    <m/>
    <m/>
    <m/>
  </r>
  <r>
    <s v="ICIM International SpA"/>
    <s v="Not a Customer"/>
    <s v="No growth Potential"/>
    <s v="Naz Ismail"/>
    <x v="2"/>
    <x v="722"/>
    <n v="83117"/>
    <d v="2022-12-11T00:00:00"/>
    <n v="0"/>
    <d v="2022-02-12T00:00:00"/>
    <x v="0"/>
    <m/>
    <m/>
    <m/>
  </r>
  <r>
    <s v="Isagro SpA"/>
    <s v="Not a Customer"/>
    <s v="No growth Potential"/>
    <s v="Naz Ismail"/>
    <x v="2"/>
    <x v="70"/>
    <n v="74204"/>
    <d v="2022-01-01T00:00:00"/>
    <n v="0"/>
    <d v="2022-02-03T00:00:00"/>
    <x v="0"/>
    <m/>
    <m/>
    <m/>
  </r>
  <r>
    <s v="Digitalmonkeys snc"/>
    <s v="Not a Customer"/>
    <s v="No growth Potential"/>
    <s v="Naz Ismail"/>
    <x v="2"/>
    <x v="70"/>
    <n v="97267"/>
    <s v="13-04-2022"/>
    <n v="0"/>
    <d v="2022-02-06T00:00:00"/>
    <x v="0"/>
    <m/>
    <m/>
    <m/>
  </r>
  <r>
    <s v="Zeta Farmaceutici SpA"/>
    <s v="Not a Customer"/>
    <s v="No growth Potential"/>
    <s v="Naz Ismail"/>
    <x v="2"/>
    <x v="723"/>
    <n v="100029"/>
    <d v="2022-01-02T00:00:00"/>
    <n v="0"/>
    <d v="2022-02-04T00:00:00"/>
    <x v="0"/>
    <m/>
    <m/>
    <m/>
  </r>
  <r>
    <s v="Roncato SpA"/>
    <s v="Not a Customer"/>
    <s v="No growth Potential"/>
    <s v="Naz Ismail"/>
    <x v="2"/>
    <x v="700"/>
    <n v="83989"/>
    <s v="23-03-2022"/>
    <n v="0"/>
    <d v="2022-02-05T00:00:00"/>
    <x v="0"/>
    <m/>
    <m/>
    <m/>
  </r>
  <r>
    <s v="Italkali Società Italiana Sali Alcalini S.p.a."/>
    <s v="Not a Customer"/>
    <s v="No growth Potential"/>
    <s v="Naz Ismail"/>
    <x v="2"/>
    <x v="724"/>
    <n v="171617"/>
    <s v="22-12-2021"/>
    <n v="0"/>
    <d v="2022-02-03T00:00:00"/>
    <x v="0"/>
    <m/>
    <m/>
    <m/>
  </r>
  <r>
    <s v="Moleskine SpA"/>
    <s v="Active Customer"/>
    <s v="High Growth potential"/>
    <s v="Naz Ismail"/>
    <x v="2"/>
    <x v="70"/>
    <n v="143735"/>
    <s v="18-10-2022"/>
    <n v="20534"/>
    <s v="17-11-2022"/>
    <x v="1"/>
    <m/>
    <m/>
    <m/>
  </r>
  <r>
    <s v="MUTUIONLINE S.p.A."/>
    <s v="Not a Customer"/>
    <s v="No growth Potential"/>
    <s v="Naz Ismail"/>
    <x v="2"/>
    <x v="70"/>
    <n v="70098"/>
    <s v="13-09-2022"/>
    <n v="0"/>
    <d v="2022-02-11T00:00:00"/>
    <x v="0"/>
    <m/>
    <m/>
    <m/>
  </r>
  <r>
    <s v="Savio Spa"/>
    <s v="Not a Customer"/>
    <s v="No growth Potential"/>
    <s v="Naz Ismail"/>
    <x v="2"/>
    <x v="725"/>
    <n v="79503"/>
    <s v="13-01-2022"/>
    <n v="0"/>
    <d v="2022-02-02T00:00:00"/>
    <x v="0"/>
    <m/>
    <m/>
    <m/>
  </r>
  <r>
    <s v="Belron Italia SpA"/>
    <s v="Not a Customer"/>
    <s v="No growth Potential"/>
    <s v="Naz Ismail"/>
    <x v="2"/>
    <x v="70"/>
    <n v="100792"/>
    <s v="23-08-2022"/>
    <n v="0"/>
    <d v="2022-02-10T00:00:00"/>
    <x v="0"/>
    <m/>
    <m/>
    <m/>
  </r>
  <r>
    <s v="Gruppo Angelini SpA"/>
    <s v="Not a Customer"/>
    <s v="No growth Potential"/>
    <s v="Naz Ismail"/>
    <x v="2"/>
    <x v="726"/>
    <n v="80575"/>
    <d v="2022-03-10T00:00:00"/>
    <n v="0"/>
    <d v="2022-02-11T00:00:00"/>
    <x v="0"/>
    <m/>
    <m/>
    <m/>
  </r>
  <r>
    <s v="GDG Srl"/>
    <s v="Not a Customer"/>
    <s v="No growth Potential"/>
    <s v="Naz Ismail"/>
    <x v="2"/>
    <x v="727"/>
    <n v="69191"/>
    <s v="13-09-2022"/>
    <n v="0"/>
    <d v="2022-02-11T00:00:00"/>
    <x v="0"/>
    <m/>
    <m/>
    <m/>
  </r>
  <r>
    <s v="Repower SpA"/>
    <s v="Not a Customer"/>
    <s v="No growth Potential"/>
    <s v="Naz Ismail"/>
    <x v="2"/>
    <x v="70"/>
    <n v="91609"/>
    <s v="13-10-2022"/>
    <n v="0"/>
    <d v="2022-02-11T00:00:00"/>
    <x v="0"/>
    <m/>
    <m/>
    <m/>
  </r>
  <r>
    <s v="SGM DISTRIBUZIONE"/>
    <s v="Not a Customer"/>
    <s v="No growth Potential"/>
    <s v="Naz Ismail"/>
    <x v="2"/>
    <x v="728"/>
    <n v="146655"/>
    <s v="24-08-2022"/>
    <n v="0"/>
    <d v="2022-02-11T00:00:00"/>
    <x v="0"/>
    <m/>
    <m/>
    <m/>
  </r>
  <r>
    <s v="BDO Spa"/>
    <s v="Not a Customer"/>
    <s v="No growth Potential"/>
    <s v="Naz Ismail"/>
    <x v="2"/>
    <x v="70"/>
    <n v="81137"/>
    <d v="2022-03-05T00:00:00"/>
    <n v="0"/>
    <d v="2022-02-07T00:00:00"/>
    <x v="0"/>
    <m/>
    <m/>
    <m/>
  </r>
  <r>
    <s v="Gruppo la Serenissima"/>
    <s v="Not a Customer"/>
    <s v="No growth Potential"/>
    <s v="Naz Ismail"/>
    <x v="2"/>
    <x v="729"/>
    <n v="91695"/>
    <s v="14-07-2022"/>
    <n v="0"/>
    <d v="2022-02-09T00:00:00"/>
    <x v="0"/>
    <m/>
    <m/>
    <m/>
  </r>
  <r>
    <s v="Menarini Group"/>
    <s v="Not a Customer"/>
    <s v="No growth Potential"/>
    <s v="Naz Ismail"/>
    <x v="2"/>
    <x v="594"/>
    <n v="132232"/>
    <s v="23-03-2022"/>
    <n v="0"/>
    <d v="2022-02-04T00:00:00"/>
    <x v="0"/>
    <m/>
    <m/>
    <m/>
  </r>
  <r>
    <s v="OSO STORE Srl"/>
    <s v="Not a Customer"/>
    <s v="No growth Potential"/>
    <s v="Naz Ismail"/>
    <x v="2"/>
    <x v="730"/>
    <n v="101472"/>
    <s v="24-08-2022"/>
    <n v="0"/>
    <d v="2022-02-11T00:00:00"/>
    <x v="0"/>
    <m/>
    <m/>
    <m/>
  </r>
  <r>
    <s v="Cogne Acciai Speciali s.p.a"/>
    <s v="Not a Customer"/>
    <s v="No growth Potential"/>
    <s v="Naz Ismail"/>
    <x v="2"/>
    <x v="731"/>
    <n v="141076"/>
    <s v="13-09-2022"/>
    <n v="0"/>
    <d v="2022-02-11T00:00:00"/>
    <x v="0"/>
    <m/>
    <m/>
    <m/>
  </r>
  <r>
    <s v="Floornature.com Spa"/>
    <s v="Active Customer"/>
    <s v="Medium Growth"/>
    <s v="Naz Ismail"/>
    <x v="2"/>
    <x v="732"/>
    <n v="157549"/>
    <d v="2022-10-07T00:00:00"/>
    <n v="78774"/>
    <s v="20-07-2022"/>
    <x v="3"/>
    <m/>
    <m/>
    <m/>
  </r>
  <r>
    <s v="Costruzioni Linee Ferroviarie SpA"/>
    <s v="Not a Customer"/>
    <s v="No growth Potential"/>
    <s v="Naz Ismail"/>
    <x v="2"/>
    <x v="589"/>
    <n v="44091"/>
    <s v="22-02-2022"/>
    <n v="0"/>
    <d v="2022-04-03T00:00:00"/>
    <x v="4"/>
    <m/>
    <m/>
    <m/>
  </r>
  <r>
    <s v="Riello Group SpA"/>
    <s v="Not a Customer"/>
    <s v="No growth Potential"/>
    <s v="Naz Ismail"/>
    <x v="2"/>
    <x v="733"/>
    <n v="61001"/>
    <s v="13-10-2022"/>
    <n v="0"/>
    <d v="2022-02-11T00:00:00"/>
    <x v="0"/>
    <m/>
    <m/>
    <m/>
  </r>
  <r>
    <s v="Enervit SpA"/>
    <s v="Not a Customer"/>
    <s v="No growth Potential"/>
    <s v="Naz Ismail"/>
    <x v="2"/>
    <x v="70"/>
    <n v="86459"/>
    <s v="13-10-2022"/>
    <n v="0"/>
    <d v="2022-02-11T00:00:00"/>
    <x v="0"/>
    <m/>
    <m/>
    <m/>
  </r>
  <r>
    <s v="Fly Flot"/>
    <s v="Not a Customer"/>
    <s v="No growth Potential"/>
    <s v="Naz Ismail"/>
    <x v="2"/>
    <x v="734"/>
    <n v="42361"/>
    <s v="13-09-2022"/>
    <n v="0"/>
    <d v="2022-02-11T00:00:00"/>
    <x v="0"/>
    <m/>
    <m/>
    <m/>
  </r>
  <r>
    <s v="COMELIT GROUP SPA"/>
    <s v="Not a Customer"/>
    <s v="No growth Potential"/>
    <s v="Naz Ismail"/>
    <x v="2"/>
    <x v="735"/>
    <n v="136965"/>
    <s v="13-09-2022"/>
    <n v="0"/>
    <d v="2022-02-11T00:00:00"/>
    <x v="0"/>
    <m/>
    <m/>
    <m/>
  </r>
  <r>
    <s v="Melchioni Spa"/>
    <s v="Not a Customer"/>
    <s v="No growth Potential"/>
    <s v="Naz Ismail"/>
    <x v="2"/>
    <x v="70"/>
    <n v="114527"/>
    <d v="2022-03-12T00:00:00"/>
    <n v="0"/>
    <d v="2023-02-01T00:00:00"/>
    <x v="2"/>
    <m/>
    <m/>
    <m/>
  </r>
  <r>
    <s v="Politecnico di TOrino"/>
    <s v="Not a Customer"/>
    <s v="No growth Potential"/>
    <s v="Naz Ismail"/>
    <x v="2"/>
    <x v="592"/>
    <n v="85137"/>
    <s v="23-10-2022"/>
    <n v="0"/>
    <d v="2022-02-11T00:00:00"/>
    <x v="0"/>
    <m/>
    <m/>
    <m/>
  </r>
  <r>
    <s v="Grotto S.p.A."/>
    <s v="Not a Customer"/>
    <s v="No growth Potential"/>
    <s v="Naz Ismail"/>
    <x v="2"/>
    <x v="736"/>
    <n v="100584"/>
    <s v="23-10-2022"/>
    <n v="0"/>
    <d v="2022-02-11T00:00:00"/>
    <x v="0"/>
    <m/>
    <m/>
    <m/>
  </r>
  <r>
    <s v="Immergas SpA"/>
    <s v="Not a Customer"/>
    <s v="No growth Potential"/>
    <s v="Naz Ismail"/>
    <x v="2"/>
    <x v="737"/>
    <n v="78363"/>
    <s v="23-05-2022"/>
    <n v="0"/>
    <d v="2022-02-07T00:00:00"/>
    <x v="0"/>
    <m/>
    <m/>
    <m/>
  </r>
  <r>
    <s v="4tourism srl"/>
    <s v="Not a Customer"/>
    <s v="No growth Potential"/>
    <s v="Naz Ismail"/>
    <x v="2"/>
    <x v="738"/>
    <n v="85130"/>
    <d v="2022-03-10T00:00:00"/>
    <n v="0"/>
    <d v="2022-02-11T00:00:00"/>
    <x v="0"/>
    <m/>
    <m/>
    <m/>
  </r>
  <r>
    <s v="Birsik"/>
    <s v="Not a Customer"/>
    <s v="No growth Potential"/>
    <s v="Naz Ismail"/>
    <x v="2"/>
    <x v="739"/>
    <n v="127431"/>
    <s v="24-08-2022"/>
    <n v="0"/>
    <d v="2022-02-11T00:00:00"/>
    <x v="0"/>
    <m/>
    <m/>
    <m/>
  </r>
  <r>
    <s v="MARCOLIN"/>
    <s v="Not a Customer"/>
    <s v="No growth Potential"/>
    <s v="Naz Ismail"/>
    <x v="2"/>
    <x v="740"/>
    <n v="149252"/>
    <s v="13-09-2022"/>
    <n v="0"/>
    <d v="2022-02-11T00:00:00"/>
    <x v="0"/>
    <m/>
    <m/>
    <m/>
  </r>
  <r>
    <s v="Meccanica Nova SpA"/>
    <s v="Not a Customer"/>
    <s v="No growth Potential"/>
    <s v="Naz Ismail"/>
    <x v="2"/>
    <x v="611"/>
    <n v="141302"/>
    <s v="21-02-2022"/>
    <n v="0"/>
    <d v="2022-02-05T00:00:00"/>
    <x v="0"/>
    <m/>
    <m/>
    <m/>
  </r>
  <r>
    <s v="Cereal Docks SpA"/>
    <s v="Not a Customer"/>
    <s v="No growth Potential"/>
    <s v="Naz Ismail"/>
    <x v="2"/>
    <x v="741"/>
    <n v="75938"/>
    <d v="2022-03-03T00:00:00"/>
    <n v="0"/>
    <d v="2022-02-05T00:00:00"/>
    <x v="0"/>
    <m/>
    <m/>
    <m/>
  </r>
  <r>
    <s v="Salumificio Fratelli Beretta"/>
    <s v="Not a Customer"/>
    <s v="No growth Potential"/>
    <s v="Naz Ismail"/>
    <x v="2"/>
    <x v="742"/>
    <n v="107458"/>
    <s v="14-12-2021"/>
    <n v="0"/>
    <d v="2022-02-02T00:00:00"/>
    <x v="0"/>
    <m/>
    <m/>
    <m/>
  </r>
  <r>
    <s v="Texa S.p.A"/>
    <s v="Active Customer"/>
    <s v="High Growth potential"/>
    <s v="Naz Ismail"/>
    <x v="2"/>
    <x v="743"/>
    <n v="101613"/>
    <d v="2022-08-03T00:00:00"/>
    <n v="50807"/>
    <s v="17-04-2022"/>
    <x v="4"/>
    <m/>
    <m/>
    <m/>
  </r>
  <r>
    <s v="Kiara Bijoux Srl"/>
    <s v="Not a Customer"/>
    <s v="No growth Potential"/>
    <s v="Naz Ismail"/>
    <x v="2"/>
    <x v="15"/>
    <m/>
    <d v="2022-01-01T00:00:00"/>
    <n v="0"/>
    <d v="2022-02-03T00:00:00"/>
    <x v="0"/>
    <m/>
    <m/>
    <m/>
  </r>
  <r>
    <s v="Negozio del vino Srl"/>
    <s v="Not a Customer"/>
    <s v="No growth Potential"/>
    <s v="Naz Ismail"/>
    <x v="2"/>
    <x v="744"/>
    <n v="100181"/>
    <s v="13-10-2022"/>
    <n v="0"/>
    <d v="2022-02-11T00:00:00"/>
    <x v="0"/>
    <m/>
    <m/>
    <m/>
  </r>
  <r>
    <s v="Clinica Veterinaria San Marco"/>
    <s v="Active Customer"/>
    <s v="High Growth potential"/>
    <s v="Naz Ismail"/>
    <x v="2"/>
    <x v="666"/>
    <n v="120600"/>
    <s v="27-06-2022"/>
    <n v="40200"/>
    <s v="17-07-2022"/>
    <x v="3"/>
    <m/>
    <m/>
    <m/>
  </r>
  <r>
    <s v="FAIVELEY TRANSPORT SPA"/>
    <s v="Not a Customer"/>
    <s v="No growth Potential"/>
    <s v="Naz Ismail"/>
    <x v="2"/>
    <x v="745"/>
    <n v="96201"/>
    <s v="24-08-2022"/>
    <n v="0"/>
    <d v="2022-02-11T00:00:00"/>
    <x v="0"/>
    <m/>
    <m/>
    <m/>
  </r>
  <r>
    <s v="ACR Solutions srl"/>
    <s v="Not a Customer"/>
    <s v="No growth Potential"/>
    <s v="Naz Ismail"/>
    <x v="2"/>
    <x v="746"/>
    <n v="109545"/>
    <d v="2022-03-10T00:00:00"/>
    <n v="0"/>
    <d v="2022-02-11T00:00:00"/>
    <x v="0"/>
    <m/>
    <m/>
    <m/>
  </r>
  <r>
    <s v="Blutec Srl"/>
    <s v="Not a Customer"/>
    <s v="No growth Potential"/>
    <s v="Naz Ismail"/>
    <x v="2"/>
    <x v="747"/>
    <n v="126633"/>
    <s v="23-10-2022"/>
    <n v="0"/>
    <d v="2022-02-11T00:00:00"/>
    <x v="0"/>
    <m/>
    <m/>
    <m/>
  </r>
  <r>
    <s v="NATUZZI"/>
    <s v="Not a Customer"/>
    <s v="No growth Potential"/>
    <s v="Naz Ismail"/>
    <x v="2"/>
    <x v="748"/>
    <n v="106737"/>
    <s v="23-09-2022"/>
    <n v="0"/>
    <d v="2022-02-11T00:00:00"/>
    <x v="0"/>
    <m/>
    <m/>
    <m/>
  </r>
  <r>
    <s v="Bcube"/>
    <s v="Not a Customer"/>
    <s v="No growth Potential"/>
    <s v="Naz Ismail"/>
    <x v="2"/>
    <x v="749"/>
    <n v="123073"/>
    <s v="13-09-2022"/>
    <n v="0"/>
    <d v="2022-02-11T00:00:00"/>
    <x v="0"/>
    <m/>
    <m/>
    <m/>
  </r>
  <r>
    <s v="Antress Industry SpA"/>
    <s v="Not a Customer"/>
    <s v="No growth Potential"/>
    <s v="Naz Ismail"/>
    <x v="2"/>
    <x v="712"/>
    <n v="70284"/>
    <s v="13-10-2022"/>
    <n v="0"/>
    <d v="2022-02-11T00:00:00"/>
    <x v="0"/>
    <m/>
    <m/>
    <m/>
  </r>
  <r>
    <s v="Costa Group Srl"/>
    <s v="Not a Customer"/>
    <s v="No growth Potential"/>
    <s v="Naz Ismail"/>
    <x v="2"/>
    <x v="750"/>
    <n v="154442"/>
    <s v="13-03-2022"/>
    <n v="0"/>
    <d v="2022-02-05T00:00:00"/>
    <x v="0"/>
    <m/>
    <m/>
    <m/>
  </r>
  <r>
    <s v="BasicNet S.p.A."/>
    <s v="Not a Customer"/>
    <s v="No growth Potential"/>
    <s v="Naz Ismail"/>
    <x v="2"/>
    <x v="592"/>
    <n v="139026"/>
    <s v="23-01-2022"/>
    <n v="0"/>
    <d v="2022-02-02T00:00:00"/>
    <x v="0"/>
    <m/>
    <m/>
    <m/>
  </r>
  <r>
    <s v="Provincia di Ravenna"/>
    <s v="Not a Customer"/>
    <s v="No growth Potential"/>
    <s v="Naz Ismail"/>
    <x v="2"/>
    <x v="751"/>
    <n v="118618"/>
    <s v="24-06-2022"/>
    <n v="0"/>
    <d v="2022-02-09T00:00:00"/>
    <x v="0"/>
    <m/>
    <m/>
    <m/>
  </r>
  <r>
    <s v="GIGLIO"/>
    <s v="Not a Customer"/>
    <s v="No growth Potential"/>
    <s v="Naz Ismail"/>
    <x v="2"/>
    <x v="724"/>
    <n v="39469"/>
    <s v="24-08-2022"/>
    <n v="0"/>
    <d v="2022-02-11T00:00:00"/>
    <x v="0"/>
    <m/>
    <m/>
    <m/>
  </r>
  <r>
    <s v="Gruppo Pittini"/>
    <s v="Not a Customer"/>
    <s v="No growth Potential"/>
    <s v="Naz Ismail"/>
    <x v="2"/>
    <x v="752"/>
    <n v="82571"/>
    <s v="23-09-2022"/>
    <n v="0"/>
    <d v="2022-02-11T00:00:00"/>
    <x v="0"/>
    <m/>
    <m/>
    <m/>
  </r>
  <r>
    <s v="Arturai Small Business WAP"/>
    <s v="Active Customer"/>
    <s v="High Growth potential"/>
    <s v="Naz Ismail"/>
    <x v="2"/>
    <x v="70"/>
    <n v="77576"/>
    <d v="2022-01-06T00:00:00"/>
    <n v="11082"/>
    <d v="2022-11-06T00:00:00"/>
    <x v="1"/>
    <m/>
    <m/>
    <m/>
  </r>
  <r>
    <s v="John Cabot University"/>
    <s v="Not a Customer"/>
    <s v="No growth Potential"/>
    <s v="Naz Ismail"/>
    <x v="2"/>
    <x v="9"/>
    <n v="80519"/>
    <d v="2022-02-06T00:00:00"/>
    <n v="0"/>
    <d v="2022-02-07T00:00:00"/>
    <x v="0"/>
    <m/>
    <m/>
    <m/>
  </r>
  <r>
    <s v="Vimi Fasteners S.p.A."/>
    <s v="Not a Customer"/>
    <s v="No growth Potential"/>
    <s v="Naz Ismail"/>
    <x v="2"/>
    <x v="753"/>
    <n v="157835"/>
    <s v="22-06-2022"/>
    <n v="0"/>
    <d v="2022-02-07T00:00:00"/>
    <x v="0"/>
    <m/>
    <m/>
    <m/>
  </r>
  <r>
    <s v="TESMEC S.p.A."/>
    <s v="Not a Customer"/>
    <s v="No growth Potential"/>
    <s v="Naz Ismail"/>
    <x v="2"/>
    <x v="754"/>
    <n v="58486"/>
    <s v="24-08-2022"/>
    <n v="0"/>
    <d v="2022-02-11T00:00:00"/>
    <x v="0"/>
    <m/>
    <m/>
    <m/>
  </r>
  <r>
    <s v="Duetorrihotels S.p.A."/>
    <s v="Not a Customer"/>
    <s v="No growth Potential"/>
    <s v="Naz Ismail"/>
    <x v="2"/>
    <x v="755"/>
    <n v="353255"/>
    <s v="23-10-2022"/>
    <n v="0"/>
    <d v="2022-02-11T00:00:00"/>
    <x v="0"/>
    <m/>
    <m/>
    <m/>
  </r>
  <r>
    <s v="Spea"/>
    <s v="Not a Customer"/>
    <s v="No growth Potential"/>
    <s v="Naz Ismail"/>
    <x v="2"/>
    <x v="756"/>
    <n v="157349"/>
    <d v="2022-11-02T00:00:00"/>
    <n v="0"/>
    <d v="2022-02-04T00:00:00"/>
    <x v="0"/>
    <m/>
    <m/>
    <m/>
  </r>
  <r>
    <s v="F.lli De Cecco Di Filippo Fara San Martino S.p.A."/>
    <s v="Not a Customer"/>
    <s v="No growth Potential"/>
    <s v="Naz Ismail"/>
    <x v="2"/>
    <x v="757"/>
    <n v="202460"/>
    <s v="14-03-2022"/>
    <n v="0"/>
    <d v="2022-03-05T00:00:00"/>
    <x v="0"/>
    <m/>
    <m/>
    <m/>
  </r>
  <r>
    <s v="Fashion Box Spa"/>
    <s v="Not a Customer"/>
    <s v="No growth Potential"/>
    <s v="Naz Ismail"/>
    <x v="2"/>
    <x v="758"/>
    <m/>
    <s v="14-12-2021"/>
    <n v="0"/>
    <d v="2022-02-02T00:00:00"/>
    <x v="0"/>
    <m/>
    <m/>
    <m/>
  </r>
  <r>
    <s v="Axolight srl"/>
    <s v="Not a Customer"/>
    <s v="No growth Potential"/>
    <s v="Naz Ismail"/>
    <x v="2"/>
    <x v="759"/>
    <n v="152450"/>
    <s v="23-10-2022"/>
    <n v="0"/>
    <d v="2022-02-11T00:00:00"/>
    <x v="0"/>
    <m/>
    <m/>
    <m/>
  </r>
  <r>
    <s v="TEDDY S.p.A."/>
    <s v="Not a Customer"/>
    <s v="No growth Potential"/>
    <s v="Naz Ismail"/>
    <x v="2"/>
    <x v="606"/>
    <n v="157857"/>
    <s v="24-08-2022"/>
    <n v="0"/>
    <d v="2022-02-11T00:00:00"/>
    <x v="0"/>
    <m/>
    <m/>
    <m/>
  </r>
  <r>
    <s v="PENNY MARKET ITALIA SRL"/>
    <s v="Not a Customer"/>
    <s v="No growth Potential"/>
    <s v="Naz Ismail"/>
    <x v="2"/>
    <x v="760"/>
    <n v="76357"/>
    <d v="2022-03-09T00:00:00"/>
    <n v="0"/>
    <d v="2022-02-11T00:00:00"/>
    <x v="0"/>
    <m/>
    <m/>
    <m/>
  </r>
  <r>
    <s v="Medica Srl"/>
    <s v="Not a Customer"/>
    <s v="No growth Potential"/>
    <s v="Naz Ismail"/>
    <x v="2"/>
    <x v="725"/>
    <m/>
    <d v="2022-03-05T00:00:00"/>
    <n v="0"/>
    <d v="2022-02-06T00:00:00"/>
    <x v="0"/>
    <m/>
    <m/>
    <m/>
  </r>
  <r>
    <s v="Difarco Srl"/>
    <s v="Not a Customer"/>
    <s v="No growth Potential"/>
    <s v="Naz Ismail"/>
    <x v="2"/>
    <x v="761"/>
    <n v="202429"/>
    <s v="13-03-2022"/>
    <n v="0"/>
    <d v="2022-02-04T00:00:00"/>
    <x v="0"/>
    <m/>
    <m/>
    <m/>
  </r>
  <r>
    <s v="Domotecnica S.p.A."/>
    <s v="Not a Customer"/>
    <s v="No growth Potential"/>
    <s v="Naz Ismail"/>
    <x v="2"/>
    <x v="762"/>
    <n v="352859"/>
    <s v="23-10-2022"/>
    <n v="0"/>
    <d v="2022-02-11T00:00:00"/>
    <x v="0"/>
    <m/>
    <m/>
    <m/>
  </r>
  <r>
    <s v="Acerbis Italia SpA"/>
    <s v="Not a Customer"/>
    <s v="No growth Potential"/>
    <s v="Naz Ismail"/>
    <x v="2"/>
    <x v="763"/>
    <n v="77466"/>
    <s v="23-09-2022"/>
    <n v="0"/>
    <d v="2022-02-11T00:00:00"/>
    <x v="0"/>
    <m/>
    <m/>
    <m/>
  </r>
  <r>
    <s v="WeSchool"/>
    <s v="Not a Customer"/>
    <s v="No growth Potential"/>
    <s v="Naz Ismail"/>
    <x v="2"/>
    <x v="710"/>
    <n v="101567"/>
    <s v="23-10-2022"/>
    <n v="0"/>
    <d v="2022-02-11T00:00:00"/>
    <x v="0"/>
    <m/>
    <m/>
    <m/>
  </r>
  <r>
    <s v="Effer SpA"/>
    <s v="Not a Customer"/>
    <s v="No growth Potential"/>
    <s v="Naz Ismail"/>
    <x v="2"/>
    <x v="764"/>
    <n v="113679"/>
    <s v="13-09-2022"/>
    <n v="0"/>
    <d v="2022-02-11T00:00:00"/>
    <x v="0"/>
    <m/>
    <m/>
    <m/>
  </r>
  <r>
    <s v="Finproject S.p.A."/>
    <s v="Active Customer"/>
    <s v="High Growth potential"/>
    <s v="Naz Ismail"/>
    <x v="2"/>
    <x v="765"/>
    <n v="62175"/>
    <s v="18-10-2022"/>
    <n v="31087"/>
    <s v="17-11-2022"/>
    <x v="1"/>
    <m/>
    <m/>
    <m/>
  </r>
  <r>
    <s v="Mosaico Labs"/>
    <s v="Not a Customer"/>
    <s v="No growth Potential"/>
    <s v="Naz Ismail"/>
    <x v="2"/>
    <x v="642"/>
    <n v="160792"/>
    <s v="23-03-2022"/>
    <n v="0"/>
    <d v="2022-02-04T00:00:00"/>
    <x v="0"/>
    <m/>
    <m/>
    <m/>
  </r>
  <r>
    <s v="Boggi Milano"/>
    <s v="Not a Customer"/>
    <s v="No growth Potential"/>
    <s v="Naz Ismail"/>
    <x v="2"/>
    <x v="610"/>
    <n v="100538"/>
    <s v="23-08-2022"/>
    <n v="0"/>
    <d v="2022-02-10T00:00:00"/>
    <x v="0"/>
    <m/>
    <m/>
    <m/>
  </r>
  <r>
    <s v="Renco SpA"/>
    <s v="Not a Customer"/>
    <s v="No growth Potential"/>
    <s v="Naz Ismail"/>
    <x v="2"/>
    <x v="715"/>
    <n v="77108"/>
    <s v="23-09-2022"/>
    <n v="0"/>
    <d v="2022-02-11T00:00:00"/>
    <x v="0"/>
    <m/>
    <m/>
    <m/>
  </r>
  <r>
    <s v="BAULI"/>
    <s v="Not a Customer"/>
    <s v="No growth Potential"/>
    <s v="Naz Ismail"/>
    <x v="2"/>
    <x v="766"/>
    <n v="119329"/>
    <s v="23-10-2022"/>
    <n v="0"/>
    <d v="2022-02-11T00:00:00"/>
    <x v="0"/>
    <m/>
    <m/>
    <m/>
  </r>
  <r>
    <s v="Permasteelisa"/>
    <s v="Not a Customer"/>
    <s v="No growth Potential"/>
    <s v="Naz Ismail"/>
    <x v="2"/>
    <x v="767"/>
    <n v="151291"/>
    <s v="13-03-2022"/>
    <n v="0"/>
    <d v="2022-02-05T00:00:00"/>
    <x v="0"/>
    <m/>
    <m/>
    <m/>
  </r>
  <r>
    <s v="Piazza Hosting Services"/>
    <s v="Active Customer"/>
    <s v="High Growth potential"/>
    <s v="Naz Ismail"/>
    <x v="2"/>
    <x v="74"/>
    <n v="139026"/>
    <d v="2022-01-02T00:00:00"/>
    <n v="69513"/>
    <s v="23-03-2022"/>
    <x v="0"/>
    <m/>
    <m/>
    <m/>
  </r>
  <r>
    <s v="Abet Laminati SpA"/>
    <s v="Not a Customer"/>
    <s v="No growth Potential"/>
    <s v="Naz Ismail"/>
    <x v="2"/>
    <x v="768"/>
    <n v="76408"/>
    <s v="23-04-2022"/>
    <n v="0"/>
    <d v="2022-02-07T00:00:00"/>
    <x v="0"/>
    <m/>
    <m/>
    <m/>
  </r>
  <r>
    <s v="MB S.p.A."/>
    <s v="Not a Customer"/>
    <s v="No growth Potential"/>
    <s v="Naz Ismail"/>
    <x v="2"/>
    <x v="769"/>
    <n v="118935"/>
    <d v="2022-03-09T00:00:00"/>
    <n v="0"/>
    <d v="2022-02-11T00:00:00"/>
    <x v="0"/>
    <m/>
    <m/>
    <m/>
  </r>
  <r>
    <s v="Sorin Group Italia srl"/>
    <s v="Not a Customer"/>
    <s v="No growth Potential"/>
    <s v="Naz Ismail"/>
    <x v="2"/>
    <x v="70"/>
    <n v="100534"/>
    <d v="2023-10-02T00:00:00"/>
    <n v="0"/>
    <d v="2023-02-03T00:00:00"/>
    <x v="2"/>
    <m/>
    <m/>
    <m/>
  </r>
  <r>
    <s v="Industrie De Nora SpA"/>
    <s v="Not a Customer"/>
    <s v="No growth Potential"/>
    <s v="Naz Ismail"/>
    <x v="2"/>
    <x v="70"/>
    <n v="121681"/>
    <s v="13-03-2023"/>
    <n v="0"/>
    <d v="2023-02-05T00:00:00"/>
    <x v="2"/>
    <m/>
    <m/>
    <m/>
  </r>
  <r>
    <s v="STE energy"/>
    <s v="Not a Customer"/>
    <s v="No growth Potential"/>
    <s v="Naz Ismail"/>
    <x v="2"/>
    <x v="668"/>
    <n v="152450"/>
    <s v="23-10-2022"/>
    <n v="0"/>
    <d v="2022-02-11T00:00:00"/>
    <x v="0"/>
    <m/>
    <m/>
    <m/>
  </r>
  <r>
    <s v="FILOBLU SRL"/>
    <s v="Not a Customer"/>
    <s v="No growth Potential"/>
    <s v="Naz Ismail"/>
    <x v="2"/>
    <x v="770"/>
    <n v="97501"/>
    <d v="2022-03-09T00:00:00"/>
    <n v="0"/>
    <d v="2022-02-11T00:00:00"/>
    <x v="0"/>
    <m/>
    <m/>
    <m/>
  </r>
  <r>
    <s v="Fornari SpA"/>
    <s v="Not a Customer"/>
    <s v="No growth Potential"/>
    <s v="Naz Ismail"/>
    <x v="2"/>
    <x v="771"/>
    <n v="69532"/>
    <s v="13-03-2022"/>
    <n v="0"/>
    <d v="2022-02-05T00:00:00"/>
    <x v="0"/>
    <m/>
    <m/>
    <m/>
  </r>
  <r>
    <s v="Kerakoll SpA"/>
    <s v="Not a Customer"/>
    <s v="No growth Potential"/>
    <s v="Naz Ismail"/>
    <x v="2"/>
    <x v="772"/>
    <n v="165164"/>
    <s v="23-03-2022"/>
    <n v="0"/>
    <d v="2022-02-04T00:00:00"/>
    <x v="0"/>
    <m/>
    <m/>
    <m/>
  </r>
  <r>
    <s v="Direzione Generale Opera Don Bosco"/>
    <s v="Not a Customer"/>
    <s v="No growth Potential"/>
    <s v="Naz Ismail"/>
    <x v="2"/>
    <x v="74"/>
    <m/>
    <s v="21-02-2023"/>
    <n v="0"/>
    <d v="2023-02-04T00:00:00"/>
    <x v="2"/>
    <m/>
    <m/>
    <m/>
  </r>
  <r>
    <s v="CHIESI FARMACEUTICI"/>
    <s v="Not a Customer"/>
    <s v="No growth Potential"/>
    <s v="Naz Ismail"/>
    <x v="2"/>
    <x v="132"/>
    <n v="174102"/>
    <s v="23-09-2022"/>
    <n v="0"/>
    <d v="2022-02-11T00:00:00"/>
    <x v="0"/>
    <m/>
    <m/>
    <m/>
  </r>
  <r>
    <s v="Rebecca srl"/>
    <s v="Not a Customer"/>
    <s v="No growth Potential"/>
    <s v="Naz Ismail"/>
    <x v="2"/>
    <x v="773"/>
    <n v="76168"/>
    <d v="2022-12-06T00:00:00"/>
    <n v="0"/>
    <d v="2022-02-07T00:00:00"/>
    <x v="0"/>
    <m/>
    <m/>
    <m/>
  </r>
  <r>
    <s v="Leggiuno s.p.a."/>
    <s v="Not a Customer"/>
    <s v="No growth Potential"/>
    <s v="Naz Ismail"/>
    <x v="2"/>
    <x v="774"/>
    <n v="136970"/>
    <s v="13-01-2023"/>
    <n v="0"/>
    <d v="2023-02-02T00:00:00"/>
    <x v="2"/>
    <m/>
    <m/>
    <m/>
  </r>
  <r>
    <s v="Percassi"/>
    <s v="Active Customer"/>
    <s v="High Growth potential"/>
    <s v="Naz Ismail"/>
    <x v="2"/>
    <x v="628"/>
    <n v="62421"/>
    <d v="2022-10-05T00:00:00"/>
    <n v="7803"/>
    <s v="20-05-2022"/>
    <x v="4"/>
    <m/>
    <m/>
    <m/>
  </r>
  <r>
    <s v="Thun S.p.A."/>
    <s v="Not a Customer"/>
    <s v="No growth Potential"/>
    <s v="Naz Ismail"/>
    <x v="2"/>
    <x v="775"/>
    <n v="217224"/>
    <s v="23-10-2022"/>
    <n v="0"/>
    <d v="2022-02-11T00:00:00"/>
    <x v="0"/>
    <m/>
    <m/>
    <m/>
  </r>
  <r>
    <s v="Guala Closures Group SpA"/>
    <s v="Not a Customer"/>
    <s v="No growth Potential"/>
    <s v="Naz Ismail"/>
    <x v="2"/>
    <x v="776"/>
    <n v="160901"/>
    <d v="2022-10-02T00:00:00"/>
    <n v="0"/>
    <d v="2022-02-03T00:00:00"/>
    <x v="0"/>
    <m/>
    <m/>
    <m/>
  </r>
  <r>
    <s v="Si.TEK Informatica Srl"/>
    <s v="Not a Customer"/>
    <s v="No growth Potential"/>
    <s v="Naz Ismail"/>
    <x v="2"/>
    <x v="9"/>
    <n v="139352"/>
    <s v="13-01-2023"/>
    <n v="0"/>
    <d v="2023-02-02T00:00:00"/>
    <x v="2"/>
    <m/>
    <m/>
    <m/>
  </r>
  <r>
    <s v="Innovatec SpA"/>
    <s v="Not a Customer"/>
    <s v="No growth Potential"/>
    <s v="Naz Ismail"/>
    <x v="2"/>
    <x v="70"/>
    <n v="123099"/>
    <s v="23-05-2022"/>
    <n v="0"/>
    <d v="2022-02-06T00:00:00"/>
    <x v="0"/>
    <m/>
    <m/>
    <m/>
  </r>
  <r>
    <s v="Gruppo Pam"/>
    <s v="Not a Customer"/>
    <s v="No growth Potential"/>
    <s v="Naz Ismail"/>
    <x v="2"/>
    <x v="777"/>
    <n v="80565"/>
    <d v="2022-04-07T00:00:00"/>
    <n v="0"/>
    <d v="2022-02-09T00:00:00"/>
    <x v="0"/>
    <m/>
    <m/>
    <m/>
  </r>
  <r>
    <s v="Sabaf SpA"/>
    <s v="Not a Customer"/>
    <s v="No growth Potential"/>
    <s v="Naz Ismail"/>
    <x v="2"/>
    <x v="778"/>
    <n v="121681"/>
    <s v="13-01-2022"/>
    <n v="0"/>
    <d v="2022-02-02T00:00:00"/>
    <x v="0"/>
    <m/>
    <m/>
    <m/>
  </r>
  <r>
    <s v="Tecla.it Srl"/>
    <s v="Active Customer"/>
    <s v="High Growth potential"/>
    <s v="Naz Ismail"/>
    <x v="2"/>
    <x v="779"/>
    <n v="142296"/>
    <s v="25-04-2022"/>
    <n v="20328"/>
    <d v="2022-05-05T00:00:00"/>
    <x v="4"/>
    <m/>
    <m/>
    <m/>
  </r>
  <r>
    <s v="Gruppo Sutter SpA"/>
    <s v="Not a Customer"/>
    <s v="No growth Potential"/>
    <s v="Naz Ismail"/>
    <x v="2"/>
    <x v="780"/>
    <n v="98792"/>
    <s v="13-10-2022"/>
    <n v="0"/>
    <d v="2022-02-11T00:00:00"/>
    <x v="0"/>
    <m/>
    <m/>
    <m/>
  </r>
  <r>
    <s v="CONBIPEL"/>
    <s v="Not a Customer"/>
    <s v="No growth Potential"/>
    <s v="Naz Ismail"/>
    <x v="2"/>
    <x v="781"/>
    <n v="180078"/>
    <s v="23-09-2022"/>
    <n v="0"/>
    <d v="2022-02-11T00:00:00"/>
    <x v="0"/>
    <m/>
    <m/>
    <m/>
  </r>
  <r>
    <s v="CLN spa Coils Lamiere Nastri"/>
    <s v="Not a Customer"/>
    <s v="No growth Potential"/>
    <s v="Naz Ismail"/>
    <x v="2"/>
    <x v="782"/>
    <n v="74190"/>
    <s v="23-04-2022"/>
    <n v="0"/>
    <d v="2022-02-07T00:00:00"/>
    <x v="0"/>
    <m/>
    <m/>
    <m/>
  </r>
  <r>
    <s v="Rosetti Marino SpA"/>
    <s v="Not a Customer"/>
    <s v="No growth Potential"/>
    <s v="Naz Ismail"/>
    <x v="2"/>
    <x v="751"/>
    <n v="100790"/>
    <d v="2022-02-09T00:00:00"/>
    <n v="0"/>
    <d v="2022-02-10T00:00:00"/>
    <x v="0"/>
    <m/>
    <m/>
    <m/>
  </r>
  <r>
    <s v="SPAL Automotive"/>
    <s v="Not a Customer"/>
    <s v="No growth Potential"/>
    <s v="Naz Ismail"/>
    <x v="2"/>
    <x v="9"/>
    <n v="53141"/>
    <s v="23-10-2022"/>
    <n v="0"/>
    <d v="2022-02-11T00:00:00"/>
    <x v="0"/>
    <m/>
    <m/>
    <m/>
  </r>
  <r>
    <s v="systems srl"/>
    <s v="Not a Customer"/>
    <s v="No growth Potential"/>
    <s v="Naz Ismail"/>
    <x v="2"/>
    <x v="783"/>
    <m/>
    <s v="29-10-2022"/>
    <n v="0"/>
    <d v="2022-08-11T00:00:00"/>
    <x v="3"/>
    <m/>
    <m/>
    <m/>
  </r>
  <r>
    <s v="Vetrocar &amp; Bus SpA"/>
    <s v="Not a Customer"/>
    <s v="No growth Potential"/>
    <s v="Naz Ismail"/>
    <x v="2"/>
    <x v="663"/>
    <n v="138624"/>
    <s v="23-04-2022"/>
    <n v="0"/>
    <d v="2022-02-07T00:00:00"/>
    <x v="0"/>
    <m/>
    <m/>
    <m/>
  </r>
  <r>
    <s v="FIDIA - FARMACEUTICI"/>
    <s v="Not a Customer"/>
    <s v="No growth Potential"/>
    <s v="Naz Ismail"/>
    <x v="2"/>
    <x v="784"/>
    <n v="50316"/>
    <d v="2022-03-10T00:00:00"/>
    <n v="0"/>
    <d v="2022-02-11T00:00:00"/>
    <x v="0"/>
    <m/>
    <m/>
    <m/>
  </r>
  <r>
    <s v="Grissin Bon Spa"/>
    <s v="Not a Customer"/>
    <s v="No growth Potential"/>
    <s v="Naz Ismail"/>
    <x v="2"/>
    <x v="785"/>
    <n v="294485"/>
    <d v="2023-11-01T00:00:00"/>
    <n v="0"/>
    <d v="2023-02-03T00:00:00"/>
    <x v="2"/>
    <m/>
    <m/>
    <m/>
  </r>
  <r>
    <s v="Cifa"/>
    <s v="Not a Customer"/>
    <s v="No growth Potential"/>
    <s v="Naz Ismail"/>
    <x v="2"/>
    <x v="9"/>
    <n v="118484"/>
    <s v="21-02-2022"/>
    <n v="0"/>
    <d v="2022-02-04T00:00:00"/>
    <x v="0"/>
    <m/>
    <m/>
    <m/>
  </r>
  <r>
    <s v="Imolalegno"/>
    <s v="Not a Customer"/>
    <s v="No growth Potential"/>
    <s v="Naz Ismail"/>
    <x v="2"/>
    <x v="786"/>
    <n v="96614"/>
    <s v="21-02-2022"/>
    <n v="0"/>
    <d v="2022-02-05T00:00:00"/>
    <x v="0"/>
    <m/>
    <m/>
    <m/>
  </r>
  <r>
    <s v="Biancamano SpA"/>
    <s v="Not a Customer"/>
    <s v="No growth Potential"/>
    <s v="Naz Ismail"/>
    <x v="2"/>
    <x v="787"/>
    <n v="57258"/>
    <s v="31-01-2022"/>
    <n v="0"/>
    <d v="2022-02-03T00:00:00"/>
    <x v="0"/>
    <m/>
    <m/>
    <m/>
  </r>
  <r>
    <s v="Alfasigma SpA"/>
    <s v="Not a Customer"/>
    <s v="No growth Potential"/>
    <s v="Naz Ismail"/>
    <x v="2"/>
    <x v="788"/>
    <n v="55037"/>
    <s v="13-03-2022"/>
    <n v="0"/>
    <d v="2022-02-04T00:00:00"/>
    <x v="0"/>
    <m/>
    <m/>
    <m/>
  </r>
  <r>
    <s v="POLIFORM"/>
    <s v="Active Customer"/>
    <s v="High Growth potential"/>
    <s v="Naz Ismail"/>
    <x v="2"/>
    <x v="789"/>
    <n v="56363"/>
    <d v="2022-04-10T00:00:00"/>
    <n v="14091"/>
    <s v="23-11-2022"/>
    <x v="1"/>
    <m/>
    <m/>
    <m/>
  </r>
  <r>
    <s v="Buzzi Unicem SpA"/>
    <s v="Not a Customer"/>
    <s v="No growth Potential"/>
    <s v="Naz Ismail"/>
    <x v="2"/>
    <x v="749"/>
    <n v="157540"/>
    <s v="23-10-2022"/>
    <n v="0"/>
    <d v="2022-02-11T00:00:00"/>
    <x v="0"/>
    <m/>
    <m/>
    <m/>
  </r>
  <r>
    <s v="Communication Strategies Lab"/>
    <s v="Not a Customer"/>
    <s v="No growth Potential"/>
    <s v="Naz Ismail"/>
    <x v="2"/>
    <x v="594"/>
    <n v="42421"/>
    <s v="14-07-2022"/>
    <n v="0"/>
    <d v="2022-02-09T00:00:00"/>
    <x v="0"/>
    <m/>
    <m/>
    <m/>
  </r>
  <r>
    <s v="Sogegross SpA"/>
    <s v="Not a Customer"/>
    <s v="No growth Potential"/>
    <s v="Naz Ismail"/>
    <x v="2"/>
    <x v="661"/>
    <n v="120923"/>
    <d v="2022-03-09T00:00:00"/>
    <n v="0"/>
    <d v="2022-02-11T00:00:00"/>
    <x v="0"/>
    <m/>
    <m/>
    <m/>
  </r>
  <r>
    <s v="E.on Italia SpA"/>
    <s v="Not a Customer"/>
    <s v="No growth Potential"/>
    <s v="Naz Ismail"/>
    <x v="2"/>
    <x v="70"/>
    <m/>
    <d v="2022-03-07T00:00:00"/>
    <n v="0"/>
    <d v="2022-02-08T00:00:00"/>
    <x v="0"/>
    <m/>
    <m/>
    <m/>
  </r>
  <r>
    <s v="A. Loacker S.p.A."/>
    <s v="Not a Customer"/>
    <s v="No growth Potential"/>
    <s v="Naz Ismail"/>
    <x v="2"/>
    <x v="790"/>
    <n v="132000"/>
    <s v="13-05-2022"/>
    <n v="0"/>
    <d v="2022-02-06T00:00:00"/>
    <x v="0"/>
    <m/>
    <m/>
    <m/>
  </r>
  <r>
    <s v="SNAIDERO RINO"/>
    <s v="Not a Customer"/>
    <s v="No growth Potential"/>
    <s v="Naz Ismail"/>
    <x v="2"/>
    <x v="791"/>
    <n v="69400"/>
    <s v="24-08-2022"/>
    <n v="0"/>
    <d v="2022-02-11T00:00:00"/>
    <x v="0"/>
    <m/>
    <m/>
    <m/>
  </r>
  <r>
    <s v="Felver Casa Srl"/>
    <s v="Not a Customer"/>
    <s v="No growth Potential"/>
    <s v="Naz Ismail"/>
    <x v="2"/>
    <x v="792"/>
    <n v="72913"/>
    <s v="24-07-2022"/>
    <n v="0"/>
    <d v="2022-02-09T00:00:00"/>
    <x v="0"/>
    <m/>
    <m/>
    <m/>
  </r>
  <r>
    <s v="Forte Village Resort"/>
    <s v="Not a Customer"/>
    <s v="No growth Potential"/>
    <s v="Naz Ismail"/>
    <x v="2"/>
    <x v="793"/>
    <n v="128388"/>
    <d v="2022-03-09T00:00:00"/>
    <n v="0"/>
    <d v="2022-02-11T00:00:00"/>
    <x v="0"/>
    <m/>
    <m/>
    <m/>
  </r>
  <r>
    <s v="C.E.I. S.p.A Costruzione Emiliana Ingranaggi"/>
    <s v="Not a Customer"/>
    <s v="No growth Potential"/>
    <s v="Naz Ismail"/>
    <x v="2"/>
    <x v="794"/>
    <n v="116939"/>
    <s v="13-07-2022"/>
    <n v="0"/>
    <d v="2022-02-08T00:00:00"/>
    <x v="0"/>
    <m/>
    <m/>
    <m/>
  </r>
  <r>
    <s v="Ikonic Srl"/>
    <s v="Active Customer"/>
    <s v="High Growth potential"/>
    <s v="Naz Ismail"/>
    <x v="2"/>
    <x v="795"/>
    <n v="89781"/>
    <s v="13-11-2022"/>
    <n v="89781"/>
    <s v="23-11-2022"/>
    <x v="1"/>
    <m/>
    <m/>
    <m/>
  </r>
  <r>
    <s v="Baglietto SpA"/>
    <s v="Not a Customer"/>
    <s v="No growth Potential"/>
    <s v="Naz Ismail"/>
    <x v="2"/>
    <x v="618"/>
    <n v="364169"/>
    <s v="14-12-2021"/>
    <n v="0"/>
    <d v="2022-02-02T00:00:00"/>
    <x v="0"/>
    <m/>
    <m/>
    <m/>
  </r>
  <r>
    <s v="Italtrans SPA"/>
    <s v="Not a Customer"/>
    <s v="No growth Potential"/>
    <s v="Naz Ismail"/>
    <x v="2"/>
    <x v="796"/>
    <n v="88735"/>
    <s v="21-01-2022"/>
    <n v="0"/>
    <d v="2022-02-03T00:00:00"/>
    <x v="0"/>
    <m/>
    <m/>
    <m/>
  </r>
  <r>
    <s v="P&amp;T Furs"/>
    <s v="Not a Customer"/>
    <s v="No growth Potential"/>
    <s v="Naz Ismail"/>
    <x v="2"/>
    <x v="797"/>
    <n v="72195"/>
    <s v="23-10-2022"/>
    <n v="0"/>
    <d v="2022-02-11T00:00:00"/>
    <x v="0"/>
    <m/>
    <m/>
    <m/>
  </r>
  <r>
    <s v="Una Hotels"/>
    <s v="Not a Customer"/>
    <s v="No growth Potential"/>
    <s v="Naz Ismail"/>
    <x v="2"/>
    <x v="798"/>
    <n v="86456"/>
    <s v="20-02-2022"/>
    <n v="0"/>
    <d v="2022-02-03T00:00:00"/>
    <x v="0"/>
    <m/>
    <m/>
    <m/>
  </r>
  <r>
    <s v="STM SpA"/>
    <s v="Not a Customer"/>
    <s v="No growth Potential"/>
    <s v="Naz Ismail"/>
    <x v="2"/>
    <x v="799"/>
    <n v="107388"/>
    <s v="23-10-2022"/>
    <n v="0"/>
    <d v="2022-02-11T00:00:00"/>
    <x v="0"/>
    <m/>
    <m/>
    <m/>
  </r>
  <r>
    <s v="Emak SpA"/>
    <s v="Not a Customer"/>
    <s v="No growth Potential"/>
    <s v="Naz Ismail"/>
    <x v="2"/>
    <x v="800"/>
    <n v="121680"/>
    <d v="2022-11-01T00:00:00"/>
    <n v="0"/>
    <d v="2022-02-03T00:00:00"/>
    <x v="0"/>
    <m/>
    <m/>
    <m/>
  </r>
  <r>
    <s v="Zenit SGR SpA"/>
    <s v="Not a Customer"/>
    <s v="No growth Potential"/>
    <s v="Naz Ismail"/>
    <x v="2"/>
    <x v="70"/>
    <n v="100170"/>
    <d v="2022-03-10T00:00:00"/>
    <n v="0"/>
    <d v="2022-02-11T00:00:00"/>
    <x v="0"/>
    <m/>
    <m/>
    <m/>
  </r>
  <r>
    <s v="Siram SPA"/>
    <s v="Not a Customer"/>
    <s v="No growth Potential"/>
    <s v="Naz Ismail"/>
    <x v="2"/>
    <x v="70"/>
    <n v="118487"/>
    <s v="23-03-2022"/>
    <n v="0"/>
    <d v="2022-02-04T00:00:00"/>
    <x v="0"/>
    <m/>
    <m/>
    <m/>
  </r>
  <r>
    <s v="Gruppo Editoriale Spaggiari"/>
    <s v="Not a Customer"/>
    <s v="No growth Potential"/>
    <s v="Naz Ismail"/>
    <x v="2"/>
    <x v="132"/>
    <n v="123311"/>
    <d v="2023-10-02T00:00:00"/>
    <n v="0"/>
    <d v="2023-02-03T00:00:00"/>
    <x v="2"/>
    <m/>
    <m/>
    <m/>
  </r>
  <r>
    <s v="Coccinelle S.p.A."/>
    <s v="Not a Customer"/>
    <s v="No growth Potential"/>
    <s v="Naz Ismail"/>
    <x v="2"/>
    <x v="801"/>
    <n v="53883"/>
    <s v="24-08-2022"/>
    <n v="0"/>
    <d v="2022-02-11T00:00:00"/>
    <x v="0"/>
    <m/>
    <m/>
    <m/>
  </r>
  <r>
    <s v="Alce Nero SpA"/>
    <s v="Not a Customer"/>
    <s v="No growth Potential"/>
    <s v="Naz Ismail"/>
    <x v="2"/>
    <x v="802"/>
    <n v="205186"/>
    <s v="13-09-2022"/>
    <n v="0"/>
    <d v="2022-02-11T00:00:00"/>
    <x v="0"/>
    <m/>
    <m/>
    <m/>
  </r>
  <r>
    <s v="Cembre SpA"/>
    <s v="Not a Customer"/>
    <s v="No growth Potential"/>
    <s v="Naz Ismail"/>
    <x v="2"/>
    <x v="104"/>
    <n v="184349"/>
    <s v="13-10-2022"/>
    <n v="0"/>
    <d v="2022-02-11T00:00:00"/>
    <x v="0"/>
    <m/>
    <m/>
    <m/>
  </r>
  <r>
    <s v="Project Automation"/>
    <s v="Not a Customer"/>
    <s v="No growth Potential"/>
    <s v="Naz Ismail"/>
    <x v="2"/>
    <x v="610"/>
    <n v="67047"/>
    <s v="23-01-2023"/>
    <n v="0"/>
    <d v="2023-02-02T00:00:00"/>
    <x v="2"/>
    <m/>
    <m/>
    <m/>
  </r>
  <r>
    <s v="Vimar Group"/>
    <s v="Not a Customer"/>
    <s v="No growth Potential"/>
    <s v="Naz Ismail"/>
    <x v="2"/>
    <x v="803"/>
    <n v="77518"/>
    <d v="2022-11-02T00:00:00"/>
    <n v="0"/>
    <d v="2022-02-04T00:00:00"/>
    <x v="0"/>
    <m/>
    <m/>
    <m/>
  </r>
  <r>
    <s v="Astalegale.net SpA"/>
    <s v="Not a Customer"/>
    <s v="No growth Potential"/>
    <s v="Naz Ismail"/>
    <x v="2"/>
    <x v="804"/>
    <n v="107242"/>
    <d v="2022-01-02T00:00:00"/>
    <n v="0"/>
    <d v="2022-02-04T00:00:00"/>
    <x v="0"/>
    <m/>
    <m/>
    <m/>
  </r>
  <r>
    <s v="Azienda Servizi Ambientali Spa"/>
    <s v="Not a Customer"/>
    <s v="No growth Potential"/>
    <s v="Naz Ismail"/>
    <x v="2"/>
    <x v="805"/>
    <n v="76989"/>
    <s v="23-05-2022"/>
    <n v="0"/>
    <d v="2022-02-07T00:00:00"/>
    <x v="0"/>
    <m/>
    <m/>
    <m/>
  </r>
  <r>
    <s v="Gefran SpA"/>
    <s v="Not a Customer"/>
    <s v="No growth Potential"/>
    <s v="Naz Ismail"/>
    <x v="2"/>
    <x v="806"/>
    <m/>
    <d v="2022-12-04T00:00:00"/>
    <n v="0"/>
    <d v="2022-02-05T00:00:00"/>
    <x v="0"/>
    <m/>
    <m/>
    <m/>
  </r>
  <r>
    <s v="Interpump group SpA"/>
    <s v="Not a Customer"/>
    <s v="No growth Potential"/>
    <s v="Naz Ismail"/>
    <x v="2"/>
    <x v="785"/>
    <n v="155755"/>
    <s v="13-10-2022"/>
    <n v="0"/>
    <d v="2022-02-11T00:00:00"/>
    <x v="0"/>
    <m/>
    <m/>
    <m/>
  </r>
  <r>
    <s v="Imit Control System SRL"/>
    <s v="Not a Customer"/>
    <s v="No growth Potential"/>
    <s v="Naz Ismail"/>
    <x v="2"/>
    <x v="807"/>
    <n v="104884"/>
    <s v="24-08-2022"/>
    <n v="0"/>
    <d v="2022-02-11T00:00:00"/>
    <x v="0"/>
    <m/>
    <m/>
    <m/>
  </r>
  <r>
    <s v="Lago SPA"/>
    <s v="Not a Customer"/>
    <s v="No growth Potential"/>
    <s v="Naz Ismail"/>
    <x v="2"/>
    <x v="808"/>
    <m/>
    <s v="24-12-2021"/>
    <n v="0"/>
    <d v="2022-02-02T00:00:00"/>
    <x v="0"/>
    <m/>
    <m/>
    <m/>
  </r>
  <r>
    <s v="Metelli Group SpA"/>
    <s v="Not a Customer"/>
    <s v="No growth Potential"/>
    <s v="Naz Ismail"/>
    <x v="2"/>
    <x v="517"/>
    <n v="116494"/>
    <s v="13-10-2022"/>
    <n v="0"/>
    <d v="2022-02-11T00:00:00"/>
    <x v="0"/>
    <m/>
    <m/>
    <m/>
  </r>
  <r>
    <s v="Indacolab Srl"/>
    <s v="Active Customer"/>
    <s v="High Growth potential"/>
    <s v="Naz Ismail"/>
    <x v="2"/>
    <x v="809"/>
    <n v="101098"/>
    <d v="2022-03-04T00:00:00"/>
    <n v="101098"/>
    <s v="23-04-2022"/>
    <x v="4"/>
    <m/>
    <m/>
    <m/>
  </r>
  <r>
    <s v="CareDent Italia srl"/>
    <s v="Not a Customer"/>
    <s v="No growth Potential"/>
    <s v="Naz Ismail"/>
    <x v="2"/>
    <x v="754"/>
    <m/>
    <s v="13-01-2022"/>
    <n v="0"/>
    <d v="2022-02-02T00:00:00"/>
    <x v="0"/>
    <m/>
    <m/>
    <m/>
  </r>
  <r>
    <s v="RIVA FORNI ELETTRICI S.p.A."/>
    <s v="Not a Customer"/>
    <s v="No growth Potential"/>
    <s v="Naz Ismail"/>
    <x v="2"/>
    <x v="70"/>
    <n v="115611"/>
    <s v="23-09-2022"/>
    <n v="0"/>
    <d v="2022-02-11T00:00:00"/>
    <x v="0"/>
    <m/>
    <m/>
    <m/>
  </r>
  <r>
    <s v="Cremonini SpA"/>
    <s v="Not a Customer"/>
    <s v="No growth Potential"/>
    <s v="Naz Ismail"/>
    <x v="2"/>
    <x v="810"/>
    <n v="54080"/>
    <s v="23-09-2022"/>
    <n v="0"/>
    <d v="2022-02-11T00:00:00"/>
    <x v="0"/>
    <m/>
    <m/>
    <m/>
  </r>
  <r>
    <s v="Udor SpA"/>
    <s v="Not a Customer"/>
    <s v="No growth Potential"/>
    <s v="Naz Ismail"/>
    <x v="2"/>
    <x v="811"/>
    <n v="107934"/>
    <s v="23-10-2022"/>
    <n v="0"/>
    <d v="2022-02-11T00:00:00"/>
    <x v="0"/>
    <m/>
    <m/>
    <m/>
  </r>
  <r>
    <s v="Camozzi Group SpA"/>
    <s v="Not a Customer"/>
    <s v="No growth Potential"/>
    <s v="Naz Ismail"/>
    <x v="2"/>
    <x v="104"/>
    <n v="89775"/>
    <s v="24-12-2021"/>
    <n v="0"/>
    <d v="2022-02-02T00:00:00"/>
    <x v="0"/>
    <m/>
    <m/>
    <m/>
  </r>
  <r>
    <s v="Franklin and Marshall"/>
    <s v="Not a Customer"/>
    <s v="No growth Potential"/>
    <s v="Naz Ismail"/>
    <x v="2"/>
    <x v="663"/>
    <n v="113586"/>
    <d v="2022-11-01T00:00:00"/>
    <n v="0"/>
    <d v="2022-02-03T00:00:00"/>
    <x v="0"/>
    <m/>
    <m/>
    <m/>
  </r>
  <r>
    <s v="Felsineo SpA"/>
    <s v="Not a Customer"/>
    <s v="No growth Potential"/>
    <s v="Naz Ismail"/>
    <x v="2"/>
    <x v="611"/>
    <n v="107234"/>
    <d v="2022-03-10T00:00:00"/>
    <n v="0"/>
    <d v="2022-02-11T00:00:00"/>
    <x v="0"/>
    <m/>
    <m/>
    <m/>
  </r>
  <r>
    <s v="F.LLI Gancia &amp; C. SpA"/>
    <s v="Not a Customer"/>
    <s v="No growth Potential"/>
    <s v="Naz Ismail"/>
    <x v="2"/>
    <x v="812"/>
    <n v="70907"/>
    <s v="13-07-2022"/>
    <n v="0"/>
    <d v="2022-02-08T00:00:00"/>
    <x v="0"/>
    <m/>
    <m/>
    <m/>
  </r>
  <r>
    <s v="Dimar SpA"/>
    <s v="Not a Customer"/>
    <s v="No growth Potential"/>
    <s v="Naz Ismail"/>
    <x v="2"/>
    <x v="813"/>
    <n v="110008"/>
    <s v="21-02-2022"/>
    <n v="0"/>
    <d v="2022-02-04T00:00:00"/>
    <x v="0"/>
    <m/>
    <m/>
    <m/>
  </r>
  <r>
    <s v="Vittoria Assicurazioni SPA"/>
    <s v="Not a Customer"/>
    <s v="No growth Potential"/>
    <s v="Naz Ismail"/>
    <x v="2"/>
    <x v="70"/>
    <n v="141752"/>
    <d v="2022-03-07T00:00:00"/>
    <n v="0"/>
    <d v="2022-02-08T00:00:00"/>
    <x v="0"/>
    <m/>
    <m/>
    <m/>
  </r>
  <r>
    <s v="Autovie Venete SpA"/>
    <s v="Not a Customer"/>
    <s v="No growth Potential"/>
    <s v="Naz Ismail"/>
    <x v="2"/>
    <x v="814"/>
    <n v="100580"/>
    <s v="13-10-2022"/>
    <n v="0"/>
    <d v="2022-02-11T00:00:00"/>
    <x v="0"/>
    <m/>
    <m/>
    <m/>
  </r>
  <r>
    <s v="Casillo Group"/>
    <s v="Not a Customer"/>
    <s v="No growth Potential"/>
    <s v="Naz Ismail"/>
    <x v="2"/>
    <x v="815"/>
    <n v="72195"/>
    <s v="14-12-2021"/>
    <n v="0"/>
    <d v="2022-02-02T00:00:00"/>
    <x v="0"/>
    <m/>
    <m/>
    <m/>
  </r>
  <r>
    <s v="Fiac SpA"/>
    <s v="Not a Customer"/>
    <s v="No growth Potential"/>
    <s v="Naz Ismail"/>
    <x v="2"/>
    <x v="816"/>
    <n v="123092"/>
    <s v="22-12-2021"/>
    <n v="0"/>
    <d v="2022-02-03T00:00:00"/>
    <x v="0"/>
    <m/>
    <m/>
    <m/>
  </r>
  <r>
    <s v="Bastogi SpA"/>
    <s v="Not a Customer"/>
    <s v="No growth Potential"/>
    <s v="Naz Ismail"/>
    <x v="2"/>
    <x v="70"/>
    <n v="63496"/>
    <s v="23-01-2022"/>
    <n v="0"/>
    <d v="2022-02-02T00:00:00"/>
    <x v="0"/>
    <m/>
    <m/>
    <m/>
  </r>
  <r>
    <s v="Olivetti SpA"/>
    <s v="Not a Customer"/>
    <s v="No growth Potential"/>
    <s v="Naz Ismail"/>
    <x v="2"/>
    <x v="817"/>
    <n v="76766"/>
    <s v="23-09-2022"/>
    <n v="0"/>
    <d v="2022-02-11T00:00:00"/>
    <x v="0"/>
    <m/>
    <m/>
    <m/>
  </r>
  <r>
    <s v="FERRETTI YACHTS"/>
    <s v="Not a Customer"/>
    <s v="No growth Potential"/>
    <s v="Naz Ismail"/>
    <x v="2"/>
    <x v="818"/>
    <n v="157511"/>
    <s v="23-10-2022"/>
    <n v="0"/>
    <d v="2022-02-11T00:00:00"/>
    <x v="0"/>
    <m/>
    <m/>
    <m/>
  </r>
  <r>
    <s v="S.A. EREDI GNUTTI METALLI S.p.A."/>
    <s v="Not a Customer"/>
    <s v="No growth Potential"/>
    <s v="Naz Ismail"/>
    <x v="2"/>
    <x v="104"/>
    <n v="104943"/>
    <s v="13-09-2022"/>
    <n v="0"/>
    <d v="2022-02-11T00:00:00"/>
    <x v="0"/>
    <m/>
    <m/>
    <m/>
  </r>
  <r>
    <s v="Gruppo La Doria"/>
    <s v="Not a Customer"/>
    <s v="No growth Potential"/>
    <s v="Naz Ismail"/>
    <x v="2"/>
    <x v="819"/>
    <n v="77640"/>
    <d v="2022-04-07T00:00:00"/>
    <n v="0"/>
    <d v="2022-02-09T00:00:00"/>
    <x v="0"/>
    <m/>
    <m/>
    <m/>
  </r>
  <r>
    <s v="3F Filippi SpA"/>
    <s v="Not a Customer"/>
    <s v="No growth Potential"/>
    <s v="Naz Ismail"/>
    <x v="2"/>
    <x v="820"/>
    <n v="46963"/>
    <s v="24-08-2022"/>
    <n v="0"/>
    <d v="2022-02-11T00:00:00"/>
    <x v="0"/>
    <m/>
    <m/>
    <m/>
  </r>
  <r>
    <s v="Gruppo Trevi Spa"/>
    <s v="Not a Customer"/>
    <s v="No growth Potential"/>
    <s v="Naz Ismail"/>
    <x v="2"/>
    <x v="821"/>
    <n v="96602"/>
    <s v="13-03-2023"/>
    <n v="0"/>
    <d v="2023-02-04T00:00:00"/>
    <x v="2"/>
    <m/>
    <m/>
    <m/>
  </r>
  <r>
    <s v="ITT Italia srl"/>
    <s v="Not a Customer"/>
    <s v="No growth Potential"/>
    <s v="Naz Ismail"/>
    <x v="2"/>
    <x v="822"/>
    <n v="101400"/>
    <d v="2022-02-06T00:00:00"/>
    <n v="0"/>
    <d v="2022-02-07T00:00:00"/>
    <x v="0"/>
    <m/>
    <m/>
    <m/>
  </r>
  <r>
    <s v="Provincia di Monza e Brianza"/>
    <s v="Not a Customer"/>
    <s v="No growth Potential"/>
    <s v="Naz Ismail"/>
    <x v="2"/>
    <x v="610"/>
    <n v="77523"/>
    <s v="13-08-2022"/>
    <n v="0"/>
    <d v="2022-02-09T00:00:00"/>
    <x v="0"/>
    <m/>
    <m/>
    <m/>
  </r>
  <r>
    <s v="BUCCI AUTOMATIONS S.P.A"/>
    <s v="Active Customer"/>
    <s v="High Growth potential"/>
    <s v="Naz Ismail"/>
    <x v="2"/>
    <x v="823"/>
    <n v="120138"/>
    <s v="18-09-2022"/>
    <n v="24028"/>
    <s v="17-11-2022"/>
    <x v="1"/>
    <m/>
    <m/>
    <m/>
  </r>
  <r>
    <s v="Gruppo Mauro Saviola"/>
    <s v="Not a Customer"/>
    <s v="No growth Potential"/>
    <s v="Naz Ismail"/>
    <x v="2"/>
    <x v="797"/>
    <n v="100556"/>
    <d v="2022-04-07T00:00:00"/>
    <n v="0"/>
    <d v="2022-02-09T00:00:00"/>
    <x v="0"/>
    <m/>
    <m/>
    <m/>
  </r>
  <r>
    <s v="Sol SpA"/>
    <s v="Not a Customer"/>
    <s v="No growth Potential"/>
    <s v="Naz Ismail"/>
    <x v="2"/>
    <x v="610"/>
    <n v="117492"/>
    <s v="23-09-2022"/>
    <n v="0"/>
    <d v="2022-02-11T00:00:00"/>
    <x v="0"/>
    <m/>
    <m/>
    <m/>
  </r>
  <r>
    <s v="Fattoria Creativa"/>
    <s v="Not a Customer"/>
    <s v="No growth Potential"/>
    <s v="Naz Ismail"/>
    <x v="2"/>
    <x v="632"/>
    <n v="96626"/>
    <s v="24-11-2021"/>
    <n v="0"/>
    <d v="2022-02-02T00:00:00"/>
    <x v="0"/>
    <m/>
    <m/>
    <m/>
  </r>
  <r>
    <s v="Eurotranciatura SpA"/>
    <s v="Not a Customer"/>
    <s v="No growth Potential"/>
    <s v="Naz Ismail"/>
    <x v="2"/>
    <x v="824"/>
    <n v="100528"/>
    <d v="2022-03-05T00:00:00"/>
    <n v="0"/>
    <d v="2022-02-07T00:00:00"/>
    <x v="0"/>
    <m/>
    <m/>
    <m/>
  </r>
  <r>
    <s v="LibreriaUniversitaria.it (Webster SRL)"/>
    <s v="Not a Customer"/>
    <s v="No growth Potential"/>
    <s v="Naz Ismail"/>
    <x v="2"/>
    <x v="9"/>
    <n v="157078"/>
    <s v="24-05-2022"/>
    <n v="0"/>
    <d v="2022-02-08T00:00:00"/>
    <x v="0"/>
    <m/>
    <m/>
    <m/>
  </r>
  <r>
    <s v="Pierrel SpA"/>
    <s v="Not a Customer"/>
    <s v="No growth Potential"/>
    <s v="Naz Ismail"/>
    <x v="2"/>
    <x v="825"/>
    <n v="74856"/>
    <s v="24-08-2022"/>
    <n v="0"/>
    <d v="2022-02-11T00:00:00"/>
    <x v="0"/>
    <m/>
    <m/>
    <m/>
  </r>
  <r>
    <s v="Segafredo SpA"/>
    <s v="Not a Customer"/>
    <s v="No growth Potential"/>
    <s v="Naz Ismail"/>
    <x v="2"/>
    <x v="826"/>
    <n v="100523"/>
    <s v="21-02-2022"/>
    <n v="0"/>
    <d v="2022-02-04T00:00:00"/>
    <x v="0"/>
    <m/>
    <m/>
    <m/>
  </r>
  <r>
    <s v="DE ANGELI PRODOTTI"/>
    <s v="Not a Customer"/>
    <s v="No growth Potential"/>
    <s v="Naz Ismail"/>
    <x v="2"/>
    <x v="9"/>
    <n v="135000"/>
    <d v="2022-03-09T00:00:00"/>
    <n v="0"/>
    <d v="2022-02-11T00:00:00"/>
    <x v="0"/>
    <m/>
    <m/>
    <m/>
  </r>
  <r>
    <s v="Ipermercati IPER"/>
    <s v="Not a Customer"/>
    <s v="No growth Potential"/>
    <s v="Naz Ismail"/>
    <x v="2"/>
    <x v="9"/>
    <n v="100829"/>
    <s v="23-08-2022"/>
    <n v="0"/>
    <d v="2022-02-09T00:00:00"/>
    <x v="0"/>
    <m/>
    <m/>
    <m/>
  </r>
  <r>
    <s v="Forship SpA"/>
    <s v="Not a Customer"/>
    <s v="No growth Potential"/>
    <s v="Naz Ismail"/>
    <x v="2"/>
    <x v="827"/>
    <n v="72195"/>
    <s v="23-09-2022"/>
    <n v="0"/>
    <d v="2022-02-11T00:00:00"/>
    <x v="0"/>
    <m/>
    <m/>
    <m/>
  </r>
  <r>
    <s v="Webster.it (Webster SRL)"/>
    <s v="Not a Customer"/>
    <s v="No growth Potential"/>
    <s v="Naz Ismail"/>
    <x v="2"/>
    <x v="670"/>
    <n v="100546"/>
    <s v="24-08-2022"/>
    <n v="0"/>
    <d v="2022-02-11T00:00:00"/>
    <x v="0"/>
    <m/>
    <m/>
    <m/>
  </r>
  <r>
    <s v="BV Tech SpA"/>
    <s v="Not a Customer"/>
    <s v="No growth Potential"/>
    <s v="Naz Ismail"/>
    <x v="2"/>
    <x v="70"/>
    <n v="95472"/>
    <s v="23-09-2022"/>
    <n v="0"/>
    <d v="2022-02-11T00:00:00"/>
    <x v="0"/>
    <m/>
    <m/>
    <m/>
  </r>
  <r>
    <s v="Kolinpharma SpA"/>
    <s v="Not a Customer"/>
    <s v="No growth Potential"/>
    <s v="Naz Ismail"/>
    <x v="2"/>
    <x v="678"/>
    <n v="296027"/>
    <d v="2022-03-07T00:00:00"/>
    <n v="0"/>
    <d v="2022-02-08T00:00:00"/>
    <x v="0"/>
    <m/>
    <m/>
    <m/>
  </r>
  <r>
    <s v="Pandolfo Alluminio SpA"/>
    <s v="Not a Customer"/>
    <s v="No growth Potential"/>
    <s v="Naz Ismail"/>
    <x v="2"/>
    <x v="828"/>
    <n v="95734"/>
    <d v="2021-04-12T00:00:00"/>
    <n v="0"/>
    <d v="2022-02-02T00:00:00"/>
    <x v="0"/>
    <m/>
    <m/>
    <m/>
  </r>
  <r>
    <s v="Baldinini"/>
    <s v="Not a Customer"/>
    <s v="No growth Potential"/>
    <s v="Naz Ismail"/>
    <x v="2"/>
    <x v="829"/>
    <n v="152453"/>
    <s v="23-01-2022"/>
    <n v="0"/>
    <d v="2022-02-02T00:00:00"/>
    <x v="0"/>
    <m/>
    <m/>
    <m/>
  </r>
  <r>
    <s v="Cose Belle D'Italia SpA"/>
    <s v="Not a Customer"/>
    <s v="No growth Potential"/>
    <s v="Naz Ismail"/>
    <x v="2"/>
    <x v="70"/>
    <n v="62373"/>
    <s v="21-02-2023"/>
    <n v="0"/>
    <d v="2023-02-04T00:00:00"/>
    <x v="2"/>
    <m/>
    <m/>
    <m/>
  </r>
  <r>
    <s v="YouBuy.it"/>
    <s v="Not a Customer"/>
    <s v="No growth Potential"/>
    <s v="Naz Ismail"/>
    <x v="2"/>
    <x v="830"/>
    <n v="154020"/>
    <s v="24-08-2022"/>
    <n v="0"/>
    <d v="2022-02-11T00:00:00"/>
    <x v="0"/>
    <m/>
    <m/>
    <m/>
  </r>
  <r>
    <s v="Palmieri Group SpA"/>
    <s v="Not a Customer"/>
    <s v="No growth Potential"/>
    <s v="Naz Ismail"/>
    <x v="2"/>
    <x v="831"/>
    <n v="100785"/>
    <d v="2021-04-12T00:00:00"/>
    <n v="0"/>
    <d v="2022-02-02T00:00:00"/>
    <x v="0"/>
    <m/>
    <m/>
    <m/>
  </r>
  <r>
    <s v="Sciuker Frames S.p.A."/>
    <s v="Not a Customer"/>
    <s v="No growth Potential"/>
    <s v="Naz Ismail"/>
    <x v="2"/>
    <x v="832"/>
    <n v="101449"/>
    <s v="24-08-2022"/>
    <n v="0"/>
    <d v="2022-02-11T00:00:00"/>
    <x v="0"/>
    <m/>
    <m/>
    <m/>
  </r>
  <r>
    <s v="Develon Srl"/>
    <s v="Not a Customer"/>
    <s v="No growth Potential"/>
    <s v="Naz Ismail"/>
    <x v="2"/>
    <x v="833"/>
    <n v="61423"/>
    <s v="13-10-2022"/>
    <n v="0"/>
    <d v="2022-02-11T00:00:00"/>
    <x v="0"/>
    <m/>
    <m/>
    <m/>
  </r>
  <r>
    <s v="AVIO SpA"/>
    <s v="Not a Customer"/>
    <s v="No growth Potential"/>
    <s v="Naz Ismail"/>
    <x v="2"/>
    <x v="834"/>
    <n v="87997"/>
    <d v="2022-03-09T00:00:00"/>
    <n v="0"/>
    <d v="2022-02-11T00:00:00"/>
    <x v="0"/>
    <m/>
    <m/>
    <m/>
  </r>
  <r>
    <s v="Arvedi"/>
    <s v="Not a Customer"/>
    <s v="No growth Potential"/>
    <s v="Naz Ismail"/>
    <x v="2"/>
    <x v="835"/>
    <n v="143565"/>
    <s v="24-08-2022"/>
    <n v="0"/>
    <d v="2022-02-11T00:00:00"/>
    <x v="0"/>
    <m/>
    <m/>
    <m/>
  </r>
  <r>
    <s v="Burgo Group"/>
    <s v="Not a Customer"/>
    <s v="No growth Potential"/>
    <s v="Naz Ismail"/>
    <x v="2"/>
    <x v="833"/>
    <n v="106651"/>
    <s v="23-10-2022"/>
    <n v="0"/>
    <d v="2022-02-11T00:00:00"/>
    <x v="0"/>
    <m/>
    <m/>
    <m/>
  </r>
  <r>
    <s v="Magazzini Gabrielli"/>
    <s v="Not a Customer"/>
    <s v="No growth Potential"/>
    <s v="Naz Ismail"/>
    <x v="2"/>
    <x v="836"/>
    <n v="99320"/>
    <d v="2021-04-12T00:00:00"/>
    <n v="0"/>
    <d v="2022-02-02T00:00:00"/>
    <x v="0"/>
    <m/>
    <m/>
    <m/>
  </r>
  <r>
    <s v="Gruppo Piazzetta SpA"/>
    <s v="Not a Customer"/>
    <s v="No growth Potential"/>
    <s v="Naz Ismail"/>
    <x v="2"/>
    <x v="837"/>
    <n v="111003"/>
    <d v="2022-12-09T00:00:00"/>
    <n v="0"/>
    <d v="2022-02-10T00:00:00"/>
    <x v="0"/>
    <m/>
    <m/>
    <m/>
  </r>
  <r>
    <s v="Illumia SpA"/>
    <s v="Not a Customer"/>
    <s v="No growth Potential"/>
    <s v="Naz Ismail"/>
    <x v="2"/>
    <x v="589"/>
    <n v="76356"/>
    <s v="23-04-2022"/>
    <n v="0"/>
    <d v="2022-02-07T00:00:00"/>
    <x v="0"/>
    <m/>
    <m/>
    <m/>
  </r>
  <r>
    <s v="Guarniflon"/>
    <s v="Not a Customer"/>
    <s v="No growth Potential"/>
    <s v="Naz Ismail"/>
    <x v="2"/>
    <x v="838"/>
    <n v="143452"/>
    <s v="31-01-2022"/>
    <n v="0"/>
    <d v="2022-02-03T00:00:00"/>
    <x v="0"/>
    <m/>
    <m/>
    <m/>
  </r>
  <r>
    <s v="CEFLA FINISHING GROUP"/>
    <s v="Not a Customer"/>
    <s v="No growth Potential"/>
    <s v="Naz Ismail"/>
    <x v="2"/>
    <x v="786"/>
    <n v="202422"/>
    <s v="23-09-2022"/>
    <n v="0"/>
    <d v="2022-02-11T00:00:00"/>
    <x v="0"/>
    <m/>
    <m/>
    <m/>
  </r>
  <r>
    <s v="Biolchim SpA"/>
    <s v="Not a Customer"/>
    <s v="No growth Potential"/>
    <s v="Naz Ismail"/>
    <x v="2"/>
    <x v="589"/>
    <n v="86471"/>
    <d v="2022-03-10T00:00:00"/>
    <n v="0"/>
    <d v="2022-02-11T00:00:00"/>
    <x v="0"/>
    <m/>
    <m/>
    <m/>
  </r>
  <r>
    <s v="Coprob"/>
    <s v="Not a Customer"/>
    <s v="No growth Potential"/>
    <s v="Naz Ismail"/>
    <x v="2"/>
    <x v="764"/>
    <n v="101651"/>
    <s v="23-09-2022"/>
    <n v="0"/>
    <d v="2022-02-11T00:00:00"/>
    <x v="0"/>
    <m/>
    <m/>
    <m/>
  </r>
  <r>
    <s v="Coswell SpA"/>
    <s v="Not a Customer"/>
    <s v="No growth Potential"/>
    <s v="Naz Ismail"/>
    <x v="2"/>
    <x v="839"/>
    <n v="56365"/>
    <d v="2022-03-09T00:00:00"/>
    <n v="0"/>
    <d v="2022-02-11T00:00:00"/>
    <x v="0"/>
    <m/>
    <m/>
    <m/>
  </r>
  <r>
    <s v="Viabizzuno srl"/>
    <s v="Not a Customer"/>
    <s v="No growth Potential"/>
    <s v="Naz Ismail"/>
    <x v="2"/>
    <x v="597"/>
    <n v="185358"/>
    <d v="2022-01-01T00:00:00"/>
    <n v="0"/>
    <d v="2022-02-03T00:00:00"/>
    <x v="0"/>
    <m/>
    <m/>
    <m/>
  </r>
  <r>
    <s v="Conserve Italia Soc Coop Agricola"/>
    <s v="Not a Customer"/>
    <s v="No growth Potential"/>
    <s v="Naz Ismail"/>
    <x v="2"/>
    <x v="802"/>
    <n v="109437"/>
    <s v="22-11-2022"/>
    <n v="0"/>
    <d v="2022-02-12T00:00:00"/>
    <x v="0"/>
    <m/>
    <m/>
    <m/>
  </r>
  <r>
    <s v="AFV Acciaierie Beltrame SpA"/>
    <s v="Not a Customer"/>
    <s v="No growth Potential"/>
    <s v="Naz Ismail"/>
    <x v="2"/>
    <x v="833"/>
    <n v="109491"/>
    <d v="2022-04-07T00:00:00"/>
    <n v="0"/>
    <d v="2022-02-09T00:00:00"/>
    <x v="0"/>
    <m/>
    <m/>
    <m/>
  </r>
  <r>
    <s v="DMO SpA"/>
    <s v="Not a Customer"/>
    <s v="No growth Potential"/>
    <s v="Naz Ismail"/>
    <x v="2"/>
    <x v="840"/>
    <n v="75937"/>
    <s v="13-09-2022"/>
    <n v="0"/>
    <d v="2022-02-11T00:00:00"/>
    <x v="0"/>
    <m/>
    <m/>
    <m/>
  </r>
  <r>
    <s v="Valsoia SpA"/>
    <s v="Not a Customer"/>
    <s v="No growth Potential"/>
    <s v="Naz Ismail"/>
    <x v="2"/>
    <x v="589"/>
    <n v="98844"/>
    <s v="13-01-2022"/>
    <n v="0"/>
    <d v="2022-02-02T00:00:00"/>
    <x v="0"/>
    <m/>
    <m/>
    <m/>
  </r>
  <r>
    <s v="Faac SpA"/>
    <s v="Not a Customer"/>
    <s v="No growth Potential"/>
    <s v="Naz Ismail"/>
    <x v="2"/>
    <x v="611"/>
    <n v="77590"/>
    <s v="13-01-2022"/>
    <n v="0"/>
    <d v="2022-02-02T00:00:00"/>
    <x v="0"/>
    <m/>
    <m/>
    <m/>
  </r>
  <r>
    <s v="Rekeep S.p.A."/>
    <s v="Not a Customer"/>
    <s v="No growth Potential"/>
    <s v="Naz Ismail"/>
    <x v="2"/>
    <x v="611"/>
    <n v="202419"/>
    <s v="24-08-2022"/>
    <n v="0"/>
    <d v="2022-02-11T00:00:00"/>
    <x v="0"/>
    <m/>
    <m/>
    <m/>
  </r>
  <r>
    <s v="Health Italia SpA"/>
    <s v="Not a Customer"/>
    <s v="No growth Potential"/>
    <s v="Naz Ismail"/>
    <x v="2"/>
    <x v="74"/>
    <n v="81223"/>
    <d v="2022-01-01T00:00:00"/>
    <n v="0"/>
    <d v="2022-02-03T00:00:00"/>
    <x v="0"/>
    <m/>
    <m/>
    <m/>
  </r>
  <r>
    <s v="Bluvacanze S.p.A"/>
    <s v="Not a Customer"/>
    <s v="No growth Potential"/>
    <s v="Naz Ismail"/>
    <x v="2"/>
    <x v="787"/>
    <n v="91652"/>
    <d v="2022-12-04T00:00:00"/>
    <n v="0"/>
    <d v="2022-02-05T00:00:00"/>
    <x v="0"/>
    <m/>
    <m/>
    <m/>
  </r>
  <r>
    <s v="FATRO S.p.A."/>
    <s v="Not a Customer"/>
    <s v="No growth Potential"/>
    <s v="Naz Ismail"/>
    <x v="2"/>
    <x v="841"/>
    <n v="84327"/>
    <s v="24-08-2022"/>
    <n v="0"/>
    <d v="2022-02-11T00:00:00"/>
    <x v="0"/>
    <m/>
    <m/>
    <m/>
  </r>
  <r>
    <s v="G.D SpA"/>
    <s v="Not a Customer"/>
    <s v="No growth Potential"/>
    <s v="Naz Ismail"/>
    <x v="2"/>
    <x v="589"/>
    <n v="100533"/>
    <d v="2022-03-10T00:00:00"/>
    <n v="0"/>
    <d v="2022-02-11T00:00:00"/>
    <x v="0"/>
    <m/>
    <m/>
    <m/>
  </r>
  <r>
    <s v="European Space Agency"/>
    <s v="Not a Customer"/>
    <s v="No growth Potential"/>
    <s v="Naz Ismail"/>
    <x v="11"/>
    <x v="9"/>
    <n v="93814"/>
    <s v="22-06-2022"/>
    <n v="0"/>
    <d v="2022-02-07T00:00:00"/>
    <x v="0"/>
    <m/>
    <m/>
    <m/>
  </r>
  <r>
    <s v="Intercantieri Vittadello S.p.A."/>
    <s v="Not a Customer"/>
    <s v="No growth Potential"/>
    <s v="Naz Ismail"/>
    <x v="2"/>
    <x v="670"/>
    <n v="80514"/>
    <s v="23-05-2022"/>
    <n v="0"/>
    <d v="2022-02-07T00:00:00"/>
    <x v="0"/>
    <m/>
    <m/>
    <m/>
  </r>
  <r>
    <s v="Berardi Bullonerie"/>
    <s v="Not a Customer"/>
    <s v="No growth Potential"/>
    <s v="Naz Ismail"/>
    <x v="2"/>
    <x v="842"/>
    <n v="110101"/>
    <d v="2022-01-02T00:00:00"/>
    <n v="0"/>
    <d v="2022-02-04T00:00:00"/>
    <x v="0"/>
    <m/>
    <m/>
    <m/>
  </r>
  <r>
    <s v="PALLETWAYS ITALIA S.P.A."/>
    <s v="Not a Customer"/>
    <s v="No growth Potential"/>
    <s v="Naz Ismail"/>
    <x v="2"/>
    <x v="697"/>
    <n v="55016"/>
    <d v="2022-03-09T00:00:00"/>
    <n v="0"/>
    <d v="2022-02-11T00:00:00"/>
    <x v="0"/>
    <m/>
    <m/>
    <m/>
  </r>
  <r>
    <s v="Bondioli &amp; Pavesi SpA"/>
    <s v="Not a Customer"/>
    <s v="No growth Potential"/>
    <s v="Naz Ismail"/>
    <x v="2"/>
    <x v="843"/>
    <n v="94110"/>
    <s v="23-11-2022"/>
    <n v="0"/>
    <d v="2023-02-01T00:00:00"/>
    <x v="2"/>
    <m/>
    <m/>
    <m/>
  </r>
  <r>
    <s v="Infinity Boost S.r.l.s"/>
    <s v="Not a Customer"/>
    <s v="No growth Potential"/>
    <s v="Naz Ismail"/>
    <x v="2"/>
    <x v="724"/>
    <n v="103308"/>
    <d v="2022-03-10T00:00:00"/>
    <n v="0"/>
    <d v="2022-02-11T00:00:00"/>
    <x v="0"/>
    <m/>
    <m/>
    <m/>
  </r>
  <r>
    <s v="Dado Spa"/>
    <s v="Not a Customer"/>
    <s v="No growth Potential"/>
    <s v="Naz Ismail"/>
    <x v="2"/>
    <x v="586"/>
    <n v="128469"/>
    <s v="23-01-2022"/>
    <n v="0"/>
    <d v="2022-02-02T00:00:00"/>
    <x v="0"/>
    <m/>
    <m/>
    <m/>
  </r>
  <r>
    <s v="Sirmax SpA"/>
    <s v="Not a Customer"/>
    <s v="No growth Potential"/>
    <s v="Naz Ismail"/>
    <x v="2"/>
    <x v="844"/>
    <n v="92123"/>
    <s v="23-03-2022"/>
    <n v="0"/>
    <d v="2022-02-05T00:00:00"/>
    <x v="0"/>
    <m/>
    <m/>
    <m/>
  </r>
  <r>
    <s v="Pharmanutra SpA"/>
    <s v="Not a Customer"/>
    <s v="No growth Potential"/>
    <s v="Naz Ismail"/>
    <x v="2"/>
    <x v="662"/>
    <n v="95391"/>
    <d v="2022-11-01T00:00:00"/>
    <n v="0"/>
    <d v="2022-02-03T00:00:00"/>
    <x v="0"/>
    <m/>
    <m/>
    <m/>
  </r>
  <r>
    <s v="OFFICINE FACCO &amp; C. Spa"/>
    <s v="Not a Customer"/>
    <s v="No growth Potential"/>
    <s v="Naz Ismail"/>
    <x v="2"/>
    <x v="845"/>
    <n v="61835"/>
    <s v="22-11-2021"/>
    <n v="0"/>
    <d v="2021-02-12T00:00:00"/>
    <x v="5"/>
    <m/>
    <m/>
    <m/>
  </r>
  <r>
    <s v="San Marco Petroli SpA"/>
    <s v="Not a Customer"/>
    <s v="No growth Potential"/>
    <s v="Naz Ismail"/>
    <x v="2"/>
    <x v="846"/>
    <n v="100176"/>
    <s v="14-12-2021"/>
    <n v="0"/>
    <d v="2022-02-02T00:00:00"/>
    <x v="0"/>
    <m/>
    <m/>
    <m/>
  </r>
  <r>
    <s v="Costantin srl"/>
    <s v="Not a Customer"/>
    <s v="No growth Potential"/>
    <s v="Naz Ismail"/>
    <x v="2"/>
    <x v="847"/>
    <n v="75938"/>
    <d v="2022-03-03T00:00:00"/>
    <n v="0"/>
    <d v="2022-02-05T00:00:00"/>
    <x v="0"/>
    <m/>
    <m/>
    <m/>
  </r>
  <r>
    <s v="Gruppo Carraro"/>
    <s v="Not a Customer"/>
    <s v="No growth Potential"/>
    <s v="Naz Ismail"/>
    <x v="2"/>
    <x v="700"/>
    <n v="218958"/>
    <s v="14-07-2022"/>
    <n v="0"/>
    <d v="2022-02-09T00:00:00"/>
    <x v="0"/>
    <m/>
    <m/>
    <m/>
  </r>
  <r>
    <s v="Unox SpA"/>
    <s v="Not a Customer"/>
    <s v="No growth Potential"/>
    <s v="Naz Ismail"/>
    <x v="2"/>
    <x v="848"/>
    <n v="184680"/>
    <d v="2022-03-09T00:00:00"/>
    <n v="0"/>
    <d v="2022-02-11T00:00:00"/>
    <x v="0"/>
    <m/>
    <m/>
    <m/>
  </r>
  <r>
    <s v="Somec SpA"/>
    <s v="Not a Customer"/>
    <s v="No growth Potential"/>
    <s v="Naz Ismail"/>
    <x v="2"/>
    <x v="849"/>
    <n v="107228"/>
    <s v="24-08-2022"/>
    <n v="0"/>
    <d v="2022-02-11T00:00:00"/>
    <x v="0"/>
    <m/>
    <m/>
    <m/>
  </r>
  <r>
    <s v="Nar Spa"/>
    <s v="Not a Customer"/>
    <s v="No growth Potential"/>
    <s v="Naz Ismail"/>
    <x v="2"/>
    <x v="850"/>
    <n v="100791"/>
    <s v="13-01-2022"/>
    <n v="0"/>
    <d v="2022-02-02T00:00:00"/>
    <x v="0"/>
    <m/>
    <m/>
    <m/>
  </r>
  <r>
    <s v="Parmalat Group"/>
    <s v="Not a Customer"/>
    <s v="No growth Potential"/>
    <s v="Naz Ismail"/>
    <x v="2"/>
    <x v="851"/>
    <n v="101707"/>
    <d v="2022-03-01T00:00:00"/>
    <n v="0"/>
    <d v="2022-02-02T00:00:00"/>
    <x v="0"/>
    <m/>
    <m/>
    <m/>
  </r>
  <r>
    <s v="Chierese Pak Srl"/>
    <s v="Not a Customer"/>
    <s v="No growth Potential"/>
    <s v="Naz Ismail"/>
    <x v="2"/>
    <x v="852"/>
    <n v="121682"/>
    <s v="23-09-2022"/>
    <n v="0"/>
    <d v="2022-02-11T00:00:00"/>
    <x v="0"/>
    <m/>
    <m/>
    <m/>
  </r>
  <r>
    <s v="Newron Pharmaceuticals SpA"/>
    <s v="Not a Customer"/>
    <s v="No growth Potential"/>
    <s v="Naz Ismail"/>
    <x v="2"/>
    <x v="853"/>
    <n v="141917"/>
    <d v="2022-02-09T00:00:00"/>
    <n v="0"/>
    <d v="2022-02-10T00:00:00"/>
    <x v="0"/>
    <m/>
    <m/>
    <m/>
  </r>
  <r>
    <s v="Ingenico Italia SpA"/>
    <s v="Not a Customer"/>
    <s v="No growth Potential"/>
    <s v="Naz Ismail"/>
    <x v="2"/>
    <x v="760"/>
    <n v="139026"/>
    <d v="2022-03-10T00:00:00"/>
    <n v="0"/>
    <d v="2022-02-12T00:00:0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9D097-06EB-457C-B330-1C6EB1B085C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9:Y875" firstHeaderRow="1" firstDataRow="2" firstDataCol="1"/>
  <pivotFields count="14">
    <pivotField showAll="0"/>
    <pivotField showAll="0"/>
    <pivotField showAll="0"/>
    <pivotField showAll="0"/>
    <pivotField name="Primary Country" axis="axisCol" showAll="0">
      <items count="24">
        <item x="9"/>
        <item x="15"/>
        <item x="18"/>
        <item x="13"/>
        <item x="6"/>
        <item x="3"/>
        <item x="7"/>
        <item x="5"/>
        <item x="17"/>
        <item x="2"/>
        <item x="14"/>
        <item x="21"/>
        <item x="20"/>
        <item x="12"/>
        <item x="1"/>
        <item x="16"/>
        <item x="22"/>
        <item x="19"/>
        <item x="0"/>
        <item x="4"/>
        <item x="10"/>
        <item x="8"/>
        <item x="11"/>
        <item t="default"/>
      </items>
    </pivotField>
    <pivotField axis="axisRow" showAll="0">
      <items count="855">
        <item x="674"/>
        <item x="708"/>
        <item x="848"/>
        <item x="625"/>
        <item x="627"/>
        <item x="823"/>
        <item x="54"/>
        <item x="26"/>
        <item x="127"/>
        <item x="316"/>
        <item x="784"/>
        <item x="374"/>
        <item x="746"/>
        <item x="443"/>
        <item x="468"/>
        <item x="424"/>
        <item x="542"/>
        <item x="271"/>
        <item x="603"/>
        <item x="136"/>
        <item x="309"/>
        <item x="763"/>
        <item x="205"/>
        <item x="66"/>
        <item x="7"/>
        <item x="82"/>
        <item x="16"/>
        <item x="84"/>
        <item x="161"/>
        <item x="145"/>
        <item x="116"/>
        <item x="52"/>
        <item x="328"/>
        <item x="379"/>
        <item x="167"/>
        <item x="409"/>
        <item x="833"/>
        <item x="562"/>
        <item x="331"/>
        <item x="726"/>
        <item x="819"/>
        <item x="657"/>
        <item x="794"/>
        <item x="731"/>
        <item x="21"/>
        <item x="617"/>
        <item x="652"/>
        <item x="695"/>
        <item x="58"/>
        <item x="33"/>
        <item x="289"/>
        <item x="13"/>
        <item x="587"/>
        <item x="335"/>
        <item x="836"/>
        <item x="298"/>
        <item x="758"/>
        <item x="79"/>
        <item x="78"/>
        <item x="410"/>
        <item x="790"/>
        <item x="832"/>
        <item x="675"/>
        <item x="533"/>
        <item x="397"/>
        <item x="451"/>
        <item x="506"/>
        <item x="433"/>
        <item x="450"/>
        <item x="375"/>
        <item x="237"/>
        <item x="394"/>
        <item x="44"/>
        <item x="283"/>
        <item x="800"/>
        <item x="416"/>
        <item x="824"/>
        <item x="171"/>
        <item x="0"/>
        <item x="590"/>
        <item x="336"/>
        <item x="693"/>
        <item x="106"/>
        <item x="530"/>
        <item x="15"/>
        <item x="341"/>
        <item x="186"/>
        <item x="597"/>
        <item x="628"/>
        <item x="345"/>
        <item x="204"/>
        <item x="359"/>
        <item x="653"/>
        <item x="214"/>
        <item x="672"/>
        <item x="344"/>
        <item x="446"/>
        <item x="240"/>
        <item x="47"/>
        <item x="25"/>
        <item x="122"/>
        <item x="247"/>
        <item x="419"/>
        <item x="376"/>
        <item x="415"/>
        <item x="589"/>
        <item x="788"/>
        <item x="775"/>
        <item x="198"/>
        <item x="275"/>
        <item x="780"/>
        <item x="739"/>
        <item x="525"/>
        <item x="42"/>
        <item x="287"/>
        <item x="719"/>
        <item x="616"/>
        <item x="768"/>
        <item x="59"/>
        <item x="418"/>
        <item x="387"/>
        <item x="501"/>
        <item x="737"/>
        <item x="104"/>
        <item x="853"/>
        <item x="527"/>
        <item x="332"/>
        <item x="635"/>
        <item x="428"/>
        <item x="783"/>
        <item x="537"/>
        <item x="538"/>
        <item x="717"/>
        <item x="108"/>
        <item x="357"/>
        <item x="412"/>
        <item x="151"/>
        <item x="24"/>
        <item x="144"/>
        <item x="67"/>
        <item x="660"/>
        <item x="796"/>
        <item x="697"/>
        <item x="798"/>
        <item x="734"/>
        <item x="741"/>
        <item x="593"/>
        <item x="700"/>
        <item x="812"/>
        <item x="825"/>
        <item x="293"/>
        <item x="164"/>
        <item x="599"/>
        <item x="39"/>
        <item x="272"/>
        <item x="712"/>
        <item x="713"/>
        <item x="22"/>
        <item x="541"/>
        <item x="749"/>
        <item x="622"/>
        <item x="189"/>
        <item x="6"/>
        <item x="782"/>
        <item x="837"/>
        <item x="608"/>
        <item x="81"/>
        <item x="766"/>
        <item x="613"/>
        <item x="842"/>
        <item x="732"/>
        <item x="807"/>
        <item x="137"/>
        <item x="110"/>
        <item x="721"/>
        <item x="55"/>
        <item x="810"/>
        <item x="769"/>
        <item x="280"/>
        <item x="623"/>
        <item x="683"/>
        <item x="31"/>
        <item x="295"/>
        <item x="483"/>
        <item x="276"/>
        <item x="760"/>
        <item x="821"/>
        <item x="640"/>
        <item x="434"/>
        <item x="569"/>
        <item x="281"/>
        <item x="563"/>
        <item x="570"/>
        <item x="438"/>
        <item x="290"/>
        <item x="297"/>
        <item x="813"/>
        <item x="588"/>
        <item x="852"/>
        <item x="736"/>
        <item x="574"/>
        <item x="612"/>
        <item x="844"/>
        <item x="771"/>
        <item x="558"/>
        <item x="209"/>
        <item x="781"/>
        <item x="313"/>
        <item x="667"/>
        <item x="851"/>
        <item x="834"/>
        <item x="677"/>
        <item x="517"/>
        <item x="565"/>
        <item x="645"/>
        <item x="815"/>
        <item x="633"/>
        <item x="115"/>
        <item x="187"/>
        <item x="637"/>
        <item x="170"/>
        <item x="302"/>
        <item x="310"/>
        <item x="835"/>
        <item x="624"/>
        <item x="644"/>
        <item x="568"/>
        <item x="146"/>
        <item x="382"/>
        <item x="308"/>
        <item x="292"/>
        <item x="656"/>
        <item x="34"/>
        <item x="405"/>
        <item x="378"/>
        <item x="363"/>
        <item x="181"/>
        <item x="716"/>
        <item x="286"/>
        <item x="504"/>
        <item x="390"/>
        <item x="314"/>
        <item x="255"/>
        <item x="526"/>
        <item x="534"/>
        <item x="430"/>
        <item x="551"/>
        <item x="114"/>
        <item x="97"/>
        <item x="89"/>
        <item x="28"/>
        <item x="474"/>
        <item x="650"/>
        <item x="421"/>
        <item x="532"/>
        <item x="8"/>
        <item x="372"/>
        <item x="584"/>
        <item x="436"/>
        <item x="174"/>
        <item x="90"/>
        <item x="362"/>
        <item x="317"/>
        <item x="63"/>
        <item x="197"/>
        <item x="669"/>
        <item x="779"/>
        <item x="595"/>
        <item x="497"/>
        <item x="503"/>
        <item x="49"/>
        <item x="427"/>
        <item x="172"/>
        <item x="727"/>
        <item x="594"/>
        <item x="615"/>
        <item x="649"/>
        <item x="728"/>
        <item x="818"/>
        <item x="686"/>
        <item x="634"/>
        <item x="687"/>
        <item x="377"/>
        <item x="401"/>
        <item x="381"/>
        <item x="364"/>
        <item x="476"/>
        <item x="325"/>
        <item x="510"/>
        <item x="407"/>
        <item x="495"/>
        <item x="311"/>
        <item x="134"/>
        <item x="236"/>
        <item x="839"/>
        <item x="239"/>
        <item x="831"/>
        <item x="711"/>
        <item x="682"/>
        <item x="258"/>
        <item x="722"/>
        <item x="213"/>
        <item x="219"/>
        <item x="398"/>
        <item x="124"/>
        <item x="638"/>
        <item x="368"/>
        <item x="358"/>
        <item x="273"/>
        <item x="245"/>
        <item x="661"/>
        <item x="422"/>
        <item x="324"/>
        <item x="102"/>
        <item x="439"/>
        <item x="179"/>
        <item x="400"/>
        <item x="18"/>
        <item x="40"/>
        <item x="5"/>
        <item x="212"/>
        <item x="505"/>
        <item x="12"/>
        <item x="68"/>
        <item x="754"/>
        <item x="333"/>
        <item x="301"/>
        <item x="630"/>
        <item x="426"/>
        <item x="518"/>
        <item x="384"/>
        <item x="222"/>
        <item x="339"/>
        <item x="352"/>
        <item x="227"/>
        <item x="466"/>
        <item x="457"/>
        <item x="195"/>
        <item x="583"/>
        <item x="337"/>
        <item x="389"/>
        <item x="180"/>
        <item x="455"/>
        <item x="475"/>
        <item x="499"/>
        <item x="493"/>
        <item x="232"/>
        <item x="334"/>
        <item x="487"/>
        <item x="456"/>
        <item x="520"/>
        <item x="242"/>
        <item x="92"/>
        <item x="176"/>
        <item x="417"/>
        <item x="480"/>
        <item x="312"/>
        <item x="464"/>
        <item x="786"/>
        <item x="159"/>
        <item x="185"/>
        <item x="688"/>
        <item x="225"/>
        <item x="789"/>
        <item x="346"/>
        <item x="817"/>
        <item x="572"/>
        <item x="64"/>
        <item x="392"/>
        <item x="118"/>
        <item x="795"/>
        <item x="498"/>
        <item x="315"/>
        <item x="350"/>
        <item x="465"/>
        <item x="442"/>
        <item x="385"/>
        <item x="348"/>
        <item x="521"/>
        <item x="402"/>
        <item x="243"/>
        <item x="223"/>
        <item x="467"/>
        <item x="228"/>
        <item x="481"/>
        <item x="217"/>
        <item x="329"/>
        <item x="46"/>
        <item x="285"/>
        <item x="306"/>
        <item x="277"/>
        <item x="77"/>
        <item x="256"/>
        <item x="249"/>
        <item x="618"/>
        <item x="678"/>
        <item x="453"/>
        <item x="251"/>
        <item x="125"/>
        <item x="111"/>
        <item x="73"/>
        <item x="178"/>
        <item x="508"/>
        <item x="689"/>
        <item x="155"/>
        <item x="665"/>
        <item x="485"/>
        <item x="177"/>
        <item x="774"/>
        <item x="733"/>
        <item x="850"/>
        <item x="393"/>
        <item x="631"/>
        <item x="142"/>
        <item x="491"/>
        <item x="556"/>
        <item x="704"/>
        <item x="291"/>
        <item x="670"/>
        <item x="486"/>
        <item x="65"/>
        <item x="200"/>
        <item x="799"/>
        <item x="61"/>
        <item x="86"/>
        <item x="805"/>
        <item x="94"/>
        <item x="62"/>
        <item x="14"/>
        <item x="182"/>
        <item x="226"/>
        <item x="76"/>
        <item x="194"/>
        <item x="740"/>
        <item x="561"/>
        <item x="605"/>
        <item x="342"/>
        <item x="792"/>
        <item x="447"/>
        <item x="371"/>
        <item x="692"/>
        <item x="235"/>
        <item x="553"/>
        <item x="529"/>
        <item x="399"/>
        <item x="420"/>
        <item x="303"/>
        <item x="3"/>
        <item x="367"/>
        <item x="482"/>
        <item x="121"/>
        <item x="128"/>
        <item x="791"/>
        <item x="36"/>
        <item x="48"/>
        <item x="113"/>
        <item x="154"/>
        <item x="190"/>
        <item x="88"/>
        <item x="699"/>
        <item x="95"/>
        <item x="369"/>
        <item x="261"/>
        <item x="531"/>
        <item x="803"/>
        <item x="845"/>
        <item x="282"/>
        <item x="403"/>
        <item x="351"/>
        <item x="183"/>
        <item x="169"/>
        <item x="279"/>
        <item x="138"/>
        <item x="157"/>
        <item x="211"/>
        <item x="319"/>
        <item x="519"/>
        <item x="45"/>
        <item x="274"/>
        <item x="35"/>
        <item x="423"/>
        <item x="579"/>
        <item x="710"/>
        <item x="70"/>
        <item x="764"/>
        <item x="600"/>
        <item x="676"/>
        <item x="488"/>
        <item x="463"/>
        <item x="109"/>
        <item x="188"/>
        <item x="559"/>
        <item x="743"/>
        <item x="706"/>
        <item x="684"/>
        <item x="707"/>
        <item x="604"/>
        <item x="596"/>
        <item x="165"/>
        <item x="718"/>
        <item x="254"/>
        <item x="552"/>
        <item x="610"/>
        <item x="673"/>
        <item x="441"/>
        <item x="765"/>
        <item x="744"/>
        <item x="326"/>
        <item x="437"/>
        <item x="479"/>
        <item x="414"/>
        <item x="270"/>
        <item x="193"/>
        <item x="220"/>
        <item x="320"/>
        <item x="516"/>
        <item x="10"/>
        <item x="184"/>
        <item x="300"/>
        <item x="738"/>
        <item x="452"/>
        <item x="545"/>
        <item x="248"/>
        <item x="560"/>
        <item x="440"/>
        <item x="380"/>
        <item x="229"/>
        <item x="327"/>
        <item x="246"/>
        <item x="264"/>
        <item x="509"/>
        <item x="411"/>
        <item x="540"/>
        <item x="262"/>
        <item x="353"/>
        <item x="396"/>
        <item x="701"/>
        <item x="598"/>
        <item x="753"/>
        <item x="365"/>
        <item x="250"/>
        <item x="429"/>
        <item x="361"/>
        <item x="395"/>
        <item x="448"/>
        <item x="158"/>
        <item x="230"/>
        <item x="454"/>
        <item x="435"/>
        <item x="470"/>
        <item x="139"/>
        <item x="11"/>
        <item x="641"/>
        <item x="544"/>
        <item x="80"/>
        <item x="705"/>
        <item x="752"/>
        <item x="778"/>
        <item x="191"/>
        <item x="175"/>
        <item x="215"/>
        <item x="841"/>
        <item x="207"/>
        <item x="668"/>
        <item x="156"/>
        <item x="549"/>
        <item x="724"/>
        <item x="19"/>
        <item x="103"/>
        <item x="147"/>
        <item x="57"/>
        <item x="173"/>
        <item x="41"/>
        <item x="265"/>
        <item x="564"/>
        <item x="132"/>
        <item x="135"/>
        <item x="573"/>
        <item x="150"/>
        <item x="1"/>
        <item x="580"/>
        <item x="840"/>
        <item x="632"/>
        <item x="804"/>
        <item x="715"/>
        <item x="757"/>
        <item x="224"/>
        <item x="820"/>
        <item x="679"/>
        <item x="681"/>
        <item x="636"/>
        <item x="469"/>
        <item x="32"/>
        <item x="745"/>
        <item x="662"/>
        <item x="690"/>
        <item x="305"/>
        <item x="554"/>
        <item x="233"/>
        <item x="206"/>
        <item x="680"/>
        <item x="162"/>
        <item x="85"/>
        <item x="671"/>
        <item x="816"/>
        <item x="725"/>
        <item x="490"/>
        <item x="101"/>
        <item x="685"/>
        <item x="773"/>
        <item x="130"/>
        <item x="502"/>
        <item x="629"/>
        <item x="71"/>
        <item x="75"/>
        <item x="539"/>
        <item x="602"/>
        <item x="107"/>
        <item x="477"/>
        <item x="512"/>
        <item x="547"/>
        <item x="806"/>
        <item x="299"/>
        <item x="160"/>
        <item x="793"/>
        <item x="567"/>
        <item x="620"/>
        <item x="621"/>
        <item x="449"/>
        <item x="373"/>
        <item x="203"/>
        <item x="751"/>
        <item x="809"/>
        <item x="406"/>
        <item x="555"/>
        <item x="462"/>
        <item x="210"/>
        <item x="698"/>
        <item x="112"/>
        <item x="386"/>
        <item x="355"/>
        <item x="163"/>
        <item x="750"/>
        <item x="606"/>
        <item x="91"/>
        <item x="747"/>
        <item x="288"/>
        <item x="267"/>
        <item x="269"/>
        <item x="74"/>
        <item x="642"/>
        <item x="646"/>
        <item x="472"/>
        <item x="461"/>
        <item x="354"/>
        <item x="458"/>
        <item x="201"/>
        <item x="260"/>
        <item x="304"/>
        <item x="735"/>
        <item x="787"/>
        <item x="811"/>
        <item x="514"/>
        <item x="550"/>
        <item x="714"/>
        <item x="654"/>
        <item x="431"/>
        <item x="129"/>
        <item x="99"/>
        <item x="543"/>
        <item x="557"/>
        <item x="294"/>
        <item x="284"/>
        <item x="278"/>
        <item x="801"/>
        <item x="140"/>
        <item x="72"/>
        <item x="659"/>
        <item x="601"/>
        <item x="730"/>
        <item x="143"/>
        <item x="655"/>
        <item x="755"/>
        <item x="117"/>
        <item x="591"/>
        <item x="709"/>
        <item x="802"/>
        <item x="694"/>
        <item x="664"/>
        <item x="822"/>
        <item x="586"/>
        <item x="614"/>
        <item x="829"/>
        <item x="626"/>
        <item x="105"/>
        <item x="50"/>
        <item x="37"/>
        <item x="849"/>
        <item x="762"/>
        <item x="507"/>
        <item x="723"/>
        <item x="69"/>
        <item x="27"/>
        <item x="168"/>
        <item x="56"/>
        <item x="149"/>
        <item x="87"/>
        <item x="847"/>
        <item x="770"/>
        <item x="30"/>
        <item x="218"/>
        <item x="748"/>
        <item x="83"/>
        <item x="785"/>
        <item x="720"/>
        <item x="828"/>
        <item x="323"/>
        <item x="772"/>
        <item x="340"/>
        <item x="473"/>
        <item x="208"/>
        <item x="360"/>
        <item x="522"/>
        <item x="349"/>
        <item x="759"/>
        <item x="257"/>
        <item x="607"/>
        <item x="496"/>
        <item x="691"/>
        <item x="830"/>
        <item x="826"/>
        <item x="609"/>
        <item x="100"/>
        <item x="133"/>
        <item x="343"/>
        <item x="23"/>
        <item x="536"/>
        <item x="192"/>
        <item x="370"/>
        <item x="484"/>
        <item x="152"/>
        <item x="566"/>
        <item x="123"/>
        <item x="777"/>
        <item x="776"/>
        <item x="578"/>
        <item x="571"/>
        <item x="221"/>
        <item x="391"/>
        <item x="321"/>
        <item x="585"/>
        <item x="489"/>
        <item x="241"/>
        <item x="515"/>
        <item x="432"/>
        <item x="843"/>
        <item x="838"/>
        <item x="388"/>
        <item x="259"/>
        <item x="338"/>
        <item x="4"/>
        <item x="366"/>
        <item x="9"/>
        <item x="20"/>
        <item x="523"/>
        <item x="513"/>
        <item x="131"/>
        <item x="592"/>
        <item x="166"/>
        <item x="53"/>
        <item x="268"/>
        <item x="296"/>
        <item x="500"/>
        <item x="648"/>
        <item x="119"/>
        <item x="619"/>
        <item x="742"/>
        <item x="814"/>
        <item x="460"/>
        <item x="528"/>
        <item x="647"/>
        <item x="494"/>
        <item x="445"/>
        <item x="827"/>
        <item x="702"/>
        <item x="96"/>
        <item x="51"/>
        <item x="38"/>
        <item x="29"/>
        <item x="703"/>
        <item x="126"/>
        <item x="253"/>
        <item x="666"/>
        <item x="347"/>
        <item x="696"/>
        <item x="846"/>
        <item x="663"/>
        <item x="581"/>
        <item x="797"/>
        <item x="658"/>
        <item x="307"/>
        <item x="729"/>
        <item x="196"/>
        <item x="2"/>
        <item x="93"/>
        <item x="17"/>
        <item x="808"/>
        <item x="639"/>
        <item x="643"/>
        <item x="141"/>
        <item x="43"/>
        <item x="575"/>
        <item x="577"/>
        <item x="576"/>
        <item x="546"/>
        <item x="263"/>
        <item x="582"/>
        <item x="252"/>
        <item x="202"/>
        <item x="761"/>
        <item x="651"/>
        <item x="548"/>
        <item x="98"/>
        <item x="148"/>
        <item x="767"/>
        <item x="756"/>
        <item x="471"/>
        <item x="356"/>
        <item x="244"/>
        <item x="408"/>
        <item x="444"/>
        <item x="413"/>
        <item x="535"/>
        <item x="322"/>
        <item x="478"/>
        <item x="425"/>
        <item x="330"/>
        <item x="199"/>
        <item x="318"/>
        <item x="216"/>
        <item x="524"/>
        <item x="266"/>
        <item x="231"/>
        <item x="238"/>
        <item x="511"/>
        <item x="383"/>
        <item x="153"/>
        <item x="60"/>
        <item x="120"/>
        <item x="492"/>
        <item x="611"/>
        <item x="459"/>
        <item x="404"/>
        <item x="23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 t="grand">
      <x/>
    </i>
  </rowItems>
  <colFields count="1">
    <field x="4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Sum of Potential Busines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368AC-5E26-4F95-806E-76F27E171D2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1">
        <item x="5"/>
        <item x="0"/>
        <item x="2"/>
        <item x="4"/>
        <item x="9"/>
        <item x="6"/>
        <item x="3"/>
        <item x="7"/>
        <item x="8"/>
        <item x="1"/>
        <item t="default"/>
      </items>
    </pivotField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 Amount" fld="8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Sales rep ranking HW -1 2" cacheId="0" applyNumberFormats="0" applyBorderFormats="0" applyFontFormats="0" applyPatternFormats="0" applyAlignmentFormats="0" applyWidthHeightFormats="0" dataCaption="" updatedVersion="8" compact="0" compactData="0">
  <location ref="G4:H14" firstHeaderRow="1" firstDataRow="1" firstDataCol="1" rowPageCount="1" colPageCount="1"/>
  <pivotFields count="10">
    <pivotField name="Account Name" compact="0" outline="0" multipleItemSelectionAllowed="1" showAll="0"/>
    <pivotField name="Account Status" axis="axisPage" compact="0" outline="0" multipleItemSelectionAllowed="1" showAll="0">
      <items count="3">
        <item x="0"/>
        <item x="1"/>
        <item t="default"/>
      </items>
    </pivotField>
    <pivotField name="Future Growth Potential Segment" compact="0" outline="0" multipleItemSelectionAllowed="1" showAll="0"/>
    <pivotField name="Account Owner" axis="axisRow" compact="0" outline="0" multipleItemSelectionAllowed="1" showAll="0" sortType="ascending">
      <items count="10">
        <item x="4"/>
        <item x="3"/>
        <item x="2"/>
        <item x="6"/>
        <item x="1"/>
        <item x="8"/>
        <item x="7"/>
        <item x="5"/>
        <item x="0"/>
        <item t="default"/>
      </items>
    </pivotField>
    <pivotField name="Primary Country" compact="0" outline="0" multipleItemSelectionAllowed="1" showAll="0"/>
    <pivotField name="Primary City" compact="0" outline="0" multipleItemSelectionAllowed="1" showAll="0"/>
    <pivotField name="Potential Business" dataField="1" compact="0" numFmtId="164" outline="0" multipleItemSelectionAllowed="1" showAll="0"/>
    <pivotField name="Opportunity Start date" compact="0" outline="0" multipleItemSelectionAllowed="1" showAll="0"/>
    <pivotField name="Revenue Amount" compact="0" numFmtId="164" outline="0" multipleItemSelectionAllowed="1" showAll="0"/>
    <pivotField name="Opportunity Close Date" compact="0" outline="0" multipleItemSelectionAllowe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0"/>
  </pageFields>
  <dataFields count="1">
    <dataField name="SUM of Potential Business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Sales rep ranking HW -1 3" cacheId="0" applyNumberFormats="0" applyBorderFormats="0" applyFontFormats="0" applyPatternFormats="0" applyAlignmentFormats="0" applyWidthHeightFormats="0" dataCaption="" updatedVersion="8" compact="0" compactData="0">
  <location ref="R4:S14" firstHeaderRow="1" firstDataRow="1" firstDataCol="1" rowPageCount="1" colPageCount="1"/>
  <pivotFields count="10">
    <pivotField name="Account Name" compact="0" outline="0" multipleItemSelectionAllowed="1" showAll="0"/>
    <pivotField name="Account Status" axis="axisPage" dataField="1" compact="0" outline="0" multipleItemSelectionAllowed="1" showAll="0">
      <items count="3">
        <item h="1" x="0"/>
        <item x="1"/>
        <item t="default"/>
      </items>
    </pivotField>
    <pivotField name="Future Growth Potential Segment" compact="0" outline="0" multipleItemSelectionAllowed="1" showAll="0"/>
    <pivotField name="Account Owner" axis="axisRow" compact="0" outline="0" multipleItemSelectionAllowed="1" showAll="0" sortType="ascending">
      <items count="10">
        <item x="4"/>
        <item x="3"/>
        <item x="2"/>
        <item x="6"/>
        <item x="1"/>
        <item x="8"/>
        <item x="7"/>
        <item x="5"/>
        <item x="0"/>
        <item t="default"/>
      </items>
    </pivotField>
    <pivotField name="Primary Country" compact="0" outline="0" multipleItemSelectionAllowed="1" showAll="0"/>
    <pivotField name="Primary City" compact="0" outline="0" multipleItemSelectionAllowed="1" showAll="0"/>
    <pivotField name="Potential Business" compact="0" numFmtId="164" outline="0" multipleItemSelectionAllowed="1" showAll="0"/>
    <pivotField name="Opportunity Start date" compact="0" outline="0" multipleItemSelectionAllowed="1" showAll="0"/>
    <pivotField name="Revenue Amount" compact="0" numFmtId="164" outline="0" multipleItemSelectionAllowed="1" showAll="0"/>
    <pivotField name="Opportunity Close Date" compact="0" outline="0" multipleItemSelectionAllowe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0"/>
  </pageFields>
  <dataFields count="1">
    <dataField name="COUNTA of Account Status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Sales rep ranking HW -1" cacheId="0" applyNumberFormats="0" applyBorderFormats="0" applyFontFormats="0" applyPatternFormats="0" applyAlignmentFormats="0" applyWidthHeightFormats="0" dataCaption="" updatedVersion="8" compact="0" compactData="0">
  <location ref="A4:B14" firstHeaderRow="1" firstDataRow="1" firstDataCol="1" rowPageCount="1" colPageCount="1"/>
  <pivotFields count="10">
    <pivotField name="Account Name" compact="0" outline="0" multipleItemSelectionAllowed="1" showAll="0"/>
    <pivotField name="Account Status" axis="axisPage" compact="0" outline="0" multipleItemSelectionAllowed="1" showAll="0">
      <items count="3">
        <item h="1" x="0"/>
        <item x="1"/>
        <item t="default"/>
      </items>
    </pivotField>
    <pivotField name="Future Growth Potential Segment" compact="0" outline="0" multipleItemSelectionAllowed="1" showAll="0"/>
    <pivotField name="Account Owner" axis="axisRow" compact="0" outline="0" multipleItemSelectionAllowed="1" showAll="0" sortType="ascending">
      <items count="10">
        <item x="4"/>
        <item x="3"/>
        <item x="2"/>
        <item x="6"/>
        <item x="1"/>
        <item x="8"/>
        <item x="7"/>
        <item x="5"/>
        <item x="0"/>
        <item t="default"/>
      </items>
    </pivotField>
    <pivotField name="Primary Country" compact="0" outline="0" multipleItemSelectionAllowed="1" showAll="0"/>
    <pivotField name="Primary City" compact="0" outline="0" multipleItemSelectionAllowed="1" showAll="0"/>
    <pivotField name="Potential Business" compact="0" numFmtId="164" outline="0" multipleItemSelectionAllowed="1" showAll="0"/>
    <pivotField name="Opportunity Start date" compact="0" outline="0" multipleItemSelectionAllowed="1" showAll="0"/>
    <pivotField name="Revenue Amount" dataField="1" compact="0" numFmtId="164" outline="0" multipleItemSelectionAllowed="1" showAll="0"/>
    <pivotField name="Opportunity Close Date" compact="0" outline="0" multipleItemSelectionAllowe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0"/>
  </pageFields>
  <dataFields count="1">
    <dataField name="SUM of Revenue Amount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 Table 4 5" cacheId="0" applyNumberFormats="0" applyBorderFormats="0" applyFontFormats="0" applyPatternFormats="0" applyAlignmentFormats="0" applyWidthHeightFormats="0" dataCaption="" updatedVersion="8" compact="0" compactData="0">
  <location ref="L27:M37" firstHeaderRow="1" firstDataRow="1" firstDataCol="1" rowPageCount="1" colPageCount="1"/>
  <pivotFields count="10">
    <pivotField name="Account Name" dataField="1" compact="0" outline="0" multipleItemSelectionAllowed="1" showAll="0"/>
    <pivotField name="Account Status" axis="axisPage" compact="0" outline="0" multipleItemSelectionAllowed="1" showAll="0">
      <items count="3">
        <item h="1" x="0"/>
        <item x="1"/>
        <item t="default"/>
      </items>
    </pivotField>
    <pivotField name="Future Growth Potential Segment" compact="0" outline="0" multipleItemSelectionAllowed="1" showAll="0"/>
    <pivotField name="Account Owner" axis="axisRow" compact="0" outline="0" multipleItemSelectionAllowed="1" showAll="0" sortType="ascending">
      <items count="10">
        <item x="4"/>
        <item x="3"/>
        <item x="2"/>
        <item x="6"/>
        <item x="1"/>
        <item x="8"/>
        <item x="7"/>
        <item x="5"/>
        <item x="0"/>
        <item t="default"/>
      </items>
    </pivotField>
    <pivotField name="Primary Country" compact="0" outline="0" multipleItemSelectionAllowed="1" showAll="0"/>
    <pivotField name="Primary City" compact="0" outline="0" multipleItemSelectionAllowed="1" showAll="0"/>
    <pivotField name="Potential Business" compact="0" numFmtId="164" outline="0" multipleItemSelectionAllowed="1" showAll="0"/>
    <pivotField name="Opportunity Start date" compact="0" outline="0" multipleItemSelectionAllowed="1" showAll="0"/>
    <pivotField name="Revenue Amount" compact="0" numFmtId="164" outline="0" multipleItemSelectionAllowed="1" showAll="0"/>
    <pivotField name="Opportunity Close Date" compact="0" outline="0" multipleItemSelectionAllowe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0"/>
  </pageFields>
  <dataFields count="1">
    <dataField name="COUNTA of Account Nam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Pivot Table 4 2" cacheId="0" applyNumberFormats="0" applyBorderFormats="0" applyFontFormats="0" applyPatternFormats="0" applyAlignmentFormats="0" applyWidthHeightFormats="0" dataCaption="" updatedVersion="8" compact="0" compactData="0">
  <location ref="J4:K20" firstHeaderRow="1" firstDataRow="1" firstDataCol="1" rowPageCount="1" colPageCount="1"/>
  <pivotFields count="10">
    <pivotField name="Account Name" compact="0" outline="0" multipleItemSelectionAllowed="1" showAll="0"/>
    <pivotField name="Account Status" axis="axisPage" compact="0" outline="0" multipleItemSelectionAllowed="1" showAll="0">
      <items count="3">
        <item h="1" x="0"/>
        <item x="1"/>
        <item t="default"/>
      </items>
    </pivotField>
    <pivotField name="Future Growth Potential Segment" compact="0" outline="0" multipleItemSelectionAllowed="1" showAll="0"/>
    <pivotField name="Account Owner" compact="0" outline="0" multipleItemSelectionAllowed="1" showAll="0"/>
    <pivotField name="Primary Country" axis="axisRow" compact="0" outline="0" multipleItemSelectionAllowed="1" showAll="0" sortType="descending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Primary City" compact="0" outline="0" multipleItemSelectionAllowed="1" showAll="0"/>
    <pivotField name="Potential Business" compact="0" numFmtId="164" outline="0" multipleItemSelectionAllowed="1" showAll="0"/>
    <pivotField name="Opportunity Start date" compact="0" outline="0" multipleItemSelectionAllowed="1" showAll="0"/>
    <pivotField name="Revenue Amount" dataField="1" compact="0" numFmtId="164" outline="0" multipleItemSelectionAllowed="1" showAll="0"/>
    <pivotField name="Opportunity Close Date" compact="0" outline="0" multipleItemSelectionAllowed="1" showAll="0"/>
  </pivotFields>
  <rowFields count="1">
    <field x="4"/>
  </rowFields>
  <rowItems count="16">
    <i>
      <x v="7"/>
    </i>
    <i>
      <x/>
    </i>
    <i>
      <x v="3"/>
    </i>
    <i>
      <x v="2"/>
    </i>
    <i>
      <x v="10"/>
    </i>
    <i>
      <x v="9"/>
    </i>
    <i>
      <x v="12"/>
    </i>
    <i>
      <x v="16"/>
    </i>
    <i>
      <x v="1"/>
    </i>
    <i>
      <x v="15"/>
    </i>
    <i>
      <x v="19"/>
    </i>
    <i>
      <x v="17"/>
    </i>
    <i>
      <x v="11"/>
    </i>
    <i>
      <x v="18"/>
    </i>
    <i>
      <x v="8"/>
    </i>
    <i t="grand">
      <x/>
    </i>
  </rowItems>
  <colItems count="1">
    <i/>
  </colItems>
  <pageFields count="1">
    <pageField fld="1" hier="0"/>
  </pageFields>
  <dataFields count="1">
    <dataField name="SUM of Revenue Amount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Pivot Table 4 7" cacheId="0" applyNumberFormats="0" applyBorderFormats="0" applyFontFormats="0" applyPatternFormats="0" applyAlignmentFormats="0" applyWidthHeightFormats="0" dataCaption="" updatedVersion="8" compact="0" compactData="0">
  <location ref="AB27:AC37" firstHeaderRow="1" firstDataRow="1" firstDataCol="1" rowPageCount="1" colPageCount="1"/>
  <pivotFields count="10">
    <pivotField name="Account Name" compact="0" outline="0" multipleItemSelectionAllowed="1" showAll="0"/>
    <pivotField name="Account Status" axis="axisPage" compact="0" outline="0" multipleItemSelectionAllowed="1" showAll="0">
      <items count="3">
        <item h="1" x="0"/>
        <item x="1"/>
        <item t="default"/>
      </items>
    </pivotField>
    <pivotField name="Future Growth Potential Segment" compact="0" outline="0" multipleItemSelectionAllowed="1" showAll="0"/>
    <pivotField name="Account Owner" axis="axisRow" compact="0" outline="0" multipleItemSelectionAllowed="1" showAll="0" sortType="ascending">
      <items count="10">
        <item x="4"/>
        <item x="3"/>
        <item x="2"/>
        <item x="6"/>
        <item x="1"/>
        <item x="8"/>
        <item x="7"/>
        <item x="5"/>
        <item x="0"/>
        <item t="default"/>
      </items>
    </pivotField>
    <pivotField name="Primary Country" compact="0" outline="0" multipleItemSelectionAllowed="1" showAll="0"/>
    <pivotField name="Primary City" compact="0" outline="0" multipleItemSelectionAllowed="1" showAll="0"/>
    <pivotField name="Potential Business" dataField="1" compact="0" numFmtId="164" outline="0" multipleItemSelectionAllowed="1" showAll="0"/>
    <pivotField name="Opportunity Start date" compact="0" outline="0" multipleItemSelectionAllowed="1" showAll="0"/>
    <pivotField name="Revenue Amount" compact="0" numFmtId="164" outline="0" multipleItemSelectionAllowed="1" showAll="0"/>
    <pivotField name="Opportunity Close Date" compact="0" outline="0" multipleItemSelectionAllowe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0"/>
  </pageFields>
  <dataFields count="1">
    <dataField name="SUM of Potential Business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Pivot Table 4 3" cacheId="0" applyNumberFormats="0" applyBorderFormats="0" applyFontFormats="0" applyPatternFormats="0" applyAlignmentFormats="0" applyWidthHeightFormats="0" dataCaption="" updatedVersion="8" compact="0" compactData="0">
  <location ref="A27:B37" firstHeaderRow="1" firstDataRow="1" firstDataCol="1" rowPageCount="1" colPageCount="1"/>
  <pivotFields count="10">
    <pivotField name="Account Name" compact="0" outline="0" multipleItemSelectionAllowed="1" showAll="0"/>
    <pivotField name="Account Status" axis="axisPage" compact="0" outline="0" multipleItemSelectionAllowed="1" showAll="0">
      <items count="3">
        <item x="0"/>
        <item x="1"/>
        <item t="default"/>
      </items>
    </pivotField>
    <pivotField name="Future Growth Potential Segment" compact="0" outline="0" multipleItemSelectionAllowed="1" showAll="0"/>
    <pivotField name="Account Owner" axis="axisRow" compact="0" outline="0" multipleItemSelectionAllowed="1" showAll="0" sortType="ascending">
      <items count="10">
        <item x="4"/>
        <item x="3"/>
        <item x="2"/>
        <item x="6"/>
        <item x="1"/>
        <item x="8"/>
        <item x="7"/>
        <item x="5"/>
        <item x="0"/>
        <item t="default"/>
      </items>
    </pivotField>
    <pivotField name="Primary Country" compact="0" outline="0" multipleItemSelectionAllowed="1" showAll="0"/>
    <pivotField name="Primary City" compact="0" outline="0" multipleItemSelectionAllowed="1" showAll="0"/>
    <pivotField name="Potential Business" compact="0" numFmtId="164" outline="0" multipleItemSelectionAllowed="1" showAll="0"/>
    <pivotField name="Opportunity Start date" compact="0" outline="0" multipleItemSelectionAllowed="1" showAll="0"/>
    <pivotField name="Revenue Amount" dataField="1" compact="0" numFmtId="164" outline="0" multipleItemSelectionAllowed="1" showAll="0"/>
    <pivotField name="Opportunity Close Date" compact="0" outline="0" multipleItemSelectionAllowe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0"/>
  </pageFields>
  <dataFields count="1">
    <dataField name="Revenue amount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 Table 4 4" cacheId="0" applyNumberFormats="0" applyBorderFormats="0" applyFontFormats="0" applyPatternFormats="0" applyAlignmentFormats="0" applyWidthHeightFormats="0" dataCaption="" updatedVersion="8" compact="0" compactData="0">
  <location ref="F27:G37" firstHeaderRow="1" firstDataRow="1" firstDataCol="1" rowPageCount="1" colPageCount="1"/>
  <pivotFields count="10">
    <pivotField name="Account Name" dataField="1" compact="0" outline="0" multipleItemSelectionAllowed="1" showAll="0"/>
    <pivotField name="Account Status" axis="axisPage" compact="0" outline="0" multipleItemSelectionAllowed="1" showAll="0">
      <items count="3">
        <item x="0"/>
        <item x="1"/>
        <item t="default"/>
      </items>
    </pivotField>
    <pivotField name="Future Growth Potential Segment" compact="0" outline="0" multipleItemSelectionAllowed="1" showAll="0"/>
    <pivotField name="Account Owner" axis="axisRow" compact="0" outline="0" multipleItemSelectionAllowed="1" showAll="0" sortType="ascending">
      <items count="10">
        <item x="4"/>
        <item x="3"/>
        <item x="2"/>
        <item x="6"/>
        <item x="1"/>
        <item x="8"/>
        <item x="7"/>
        <item x="5"/>
        <item x="0"/>
        <item t="default"/>
      </items>
    </pivotField>
    <pivotField name="Primary Country" compact="0" outline="0" multipleItemSelectionAllowed="1" showAll="0"/>
    <pivotField name="Primary City" compact="0" outline="0" multipleItemSelectionAllowed="1" showAll="0"/>
    <pivotField name="Potential Business" compact="0" numFmtId="164" outline="0" multipleItemSelectionAllowed="1" showAll="0"/>
    <pivotField name="Opportunity Start date" compact="0" outline="0" multipleItemSelectionAllowed="1" showAll="0"/>
    <pivotField name="Revenue Amount" compact="0" numFmtId="164" outline="0" multipleItemSelectionAllowed="1" showAll="0"/>
    <pivotField name="Opportunity Close Date" compact="0" outline="0" multipleItemSelectionAllowe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0"/>
  </pageFields>
  <dataFields count="1">
    <dataField name="COUNTA of Account Nam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9000000}" name="Pivot Table 4 6" cacheId="0" applyNumberFormats="0" applyBorderFormats="0" applyFontFormats="0" applyPatternFormats="0" applyAlignmentFormats="0" applyWidthHeightFormats="0" dataCaption="" updatedVersion="8" compact="0" compactData="0">
  <location ref="V27:W37" firstHeaderRow="1" firstDataRow="1" firstDataCol="1" rowPageCount="1" colPageCount="1"/>
  <pivotFields count="10">
    <pivotField name="Account Name" compact="0" outline="0" multipleItemSelectionAllowed="1" showAll="0"/>
    <pivotField name="Account Status" axis="axisPage" compact="0" outline="0" multipleItemSelectionAllowed="1" showAll="0">
      <items count="3">
        <item x="0"/>
        <item x="1"/>
        <item t="default"/>
      </items>
    </pivotField>
    <pivotField name="Future Growth Potential Segment" compact="0" outline="0" multipleItemSelectionAllowed="1" showAll="0"/>
    <pivotField name="Account Owner" axis="axisRow" compact="0" outline="0" multipleItemSelectionAllowed="1" showAll="0" sortType="ascending">
      <items count="10">
        <item x="4"/>
        <item x="3"/>
        <item x="2"/>
        <item x="6"/>
        <item x="1"/>
        <item x="8"/>
        <item x="7"/>
        <item x="5"/>
        <item x="0"/>
        <item t="default"/>
      </items>
    </pivotField>
    <pivotField name="Primary Country" compact="0" outline="0" multipleItemSelectionAllowed="1" showAll="0"/>
    <pivotField name="Primary City" compact="0" outline="0" multipleItemSelectionAllowed="1" showAll="0"/>
    <pivotField name="Potential Business" dataField="1" compact="0" numFmtId="164" outline="0" multipleItemSelectionAllowed="1" showAll="0"/>
    <pivotField name="Opportunity Start date" compact="0" outline="0" multipleItemSelectionAllowed="1" showAll="0"/>
    <pivotField name="Revenue Amount" compact="0" numFmtId="164" outline="0" multipleItemSelectionAllowed="1" showAll="0"/>
    <pivotField name="Opportunity Close Date" compact="0" outline="0" multipleItemSelectionAllowe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0"/>
  </pageFields>
  <dataFields count="1">
    <dataField name="SUM of Potential Business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Pivot Table 4" cacheId="0" applyNumberFormats="0" applyBorderFormats="0" applyFontFormats="0" applyPatternFormats="0" applyAlignmentFormats="0" applyWidthHeightFormats="0" dataCaption="" updatedVersion="8" compact="0" compactData="0">
  <location ref="A4:B20" firstHeaderRow="1" firstDataRow="1" firstDataCol="1" rowPageCount="1" colPageCount="1"/>
  <pivotFields count="10">
    <pivotField name="Account Name" compact="0" outline="0" multipleItemSelectionAllowed="1" showAll="0"/>
    <pivotField name="Account Status" axis="axisPage" compact="0" outline="0" multipleItemSelectionAllowed="1" showAll="0">
      <items count="3">
        <item h="1" x="0"/>
        <item x="1"/>
        <item t="default"/>
      </items>
    </pivotField>
    <pivotField name="Future Growth Potential Segment" compact="0" outline="0" multipleItemSelectionAllowed="1" showAll="0"/>
    <pivotField name="Account Owner" compact="0" outline="0" multipleItemSelectionAllowed="1" showAll="0"/>
    <pivotField name="Primary Country" axis="axisRow" compact="0" outline="0" multipleItemSelectionAllowed="1" showAll="0" sortType="ascending">
      <items count="24">
        <item x="9"/>
        <item x="15"/>
        <item x="18"/>
        <item x="13"/>
        <item x="6"/>
        <item x="3"/>
        <item x="7"/>
        <item x="5"/>
        <item x="17"/>
        <item x="2"/>
        <item x="14"/>
        <item x="21"/>
        <item x="20"/>
        <item x="12"/>
        <item x="1"/>
        <item x="16"/>
        <item x="22"/>
        <item x="19"/>
        <item x="0"/>
        <item x="4"/>
        <item x="10"/>
        <item x="8"/>
        <item x="11"/>
        <item t="default"/>
      </items>
    </pivotField>
    <pivotField name="Primary City" compact="0" outline="0" multipleItemSelectionAllowed="1" showAll="0"/>
    <pivotField name="Potential Business" compact="0" numFmtId="164" outline="0" multipleItemSelectionAllowed="1" showAll="0"/>
    <pivotField name="Opportunity Start date" compact="0" outline="0" multipleItemSelectionAllowed="1" showAll="0"/>
    <pivotField name="Revenue Amount" dataField="1" compact="0" numFmtId="164" outline="0" multipleItemSelectionAllowed="1" showAll="0"/>
    <pivotField name="Opportunity Close Date" compact="0" outline="0" multipleItemSelectionAllowed="1" showAll="0"/>
  </pivotFields>
  <rowFields count="1">
    <field x="4"/>
  </rowFields>
  <rowItems count="16">
    <i>
      <x/>
    </i>
    <i>
      <x v="1"/>
    </i>
    <i>
      <x v="2"/>
    </i>
    <i>
      <x v="5"/>
    </i>
    <i>
      <x v="6"/>
    </i>
    <i>
      <x v="8"/>
    </i>
    <i>
      <x v="9"/>
    </i>
    <i>
      <x v="13"/>
    </i>
    <i>
      <x v="14"/>
    </i>
    <i>
      <x v="15"/>
    </i>
    <i>
      <x v="17"/>
    </i>
    <i>
      <x v="18"/>
    </i>
    <i>
      <x v="20"/>
    </i>
    <i>
      <x v="21"/>
    </i>
    <i>
      <x v="22"/>
    </i>
    <i t="grand">
      <x/>
    </i>
  </rowItems>
  <colItems count="1">
    <i/>
  </colItems>
  <pageFields count="1">
    <pageField fld="1" hier="0"/>
  </pageFields>
  <dataFields count="1">
    <dataField name="SUM of Revenue Amount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C8F8B-FA1C-42DD-97B1-38F494819308}" name="Table1" displayName="Table1" ref="A1:N1987" totalsRowShown="0" tableBorderDxfId="11">
  <autoFilter ref="A1:N1987" xr:uid="{00EC8F8B-FA1C-42DD-97B1-38F494819308}"/>
  <tableColumns count="14">
    <tableColumn id="1" xr3:uid="{30B55393-0B81-4527-A9ED-43825D51B31A}" name="Account Name" dataDxfId="10"/>
    <tableColumn id="2" xr3:uid="{7F83C27A-E71A-45EB-AF1C-FD21C45ED47E}" name="Account Status" dataDxfId="9"/>
    <tableColumn id="3" xr3:uid="{125DA7FC-143F-4CB4-BE01-8E464014171A}" name="Future Growth Potential Segment" dataDxfId="8"/>
    <tableColumn id="4" xr3:uid="{1E55F2C5-2AEC-4CD2-B819-5A772AD1C720}" name="Account Owner" dataDxfId="7"/>
    <tableColumn id="5" xr3:uid="{37793A85-7E50-4FC9-BFFA-4255449A6060}" name="Primary Country" dataDxfId="6"/>
    <tableColumn id="6" xr3:uid="{55A77C8C-6654-46FF-A33E-F929DBA1E26C}" name="Primary City" dataDxfId="5"/>
    <tableColumn id="7" xr3:uid="{07321AB5-FAFB-4301-8ADC-3AB36E1956D4}" name="Potential Business" dataDxfId="4"/>
    <tableColumn id="8" xr3:uid="{75ECDDC0-4F20-4438-883D-7DEEE173130D}" name="Opportunity Start date" dataDxfId="3"/>
    <tableColumn id="9" xr3:uid="{56A75F89-372D-4C8D-8D1F-AE736276B44B}" name="Revenue Amount" dataDxfId="2"/>
    <tableColumn id="10" xr3:uid="{36465DA8-971C-44DF-8B33-DAFC5B00E0A0}" name="Opportunity Close Date" dataDxfId="1"/>
    <tableColumn id="11" xr3:uid="{9830425F-9D2A-4DBB-91EE-A12E794585CE}" name="Quarter and Year wrt Close date">
      <calculatedColumnFormula>"Q" &amp; ROUNDUP(MONTH(J:J)/3,0) &amp; " " &amp; YEAR(J:J)</calculatedColumnFormula>
    </tableColumn>
    <tableColumn id="12" xr3:uid="{95A6B453-4DAC-47F3-B913-848E12D2F021}" name="Column1" dataDxfId="0">
      <calculatedColumnFormula>"Q" &amp; ROUNDUP(MONTH(J:J)/3,0) &amp; " " &amp; YEAR(J:J)</calculatedColumnFormula>
    </tableColumn>
    <tableColumn id="13" xr3:uid="{F0F8B8ED-CA5C-41F7-9586-4674C95E3CE8}" name="Column13"/>
    <tableColumn id="14" xr3:uid="{AB31752B-230F-4395-B152-53BA2D551325}" name="Colum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rastreator.com/" TargetMode="External"/><Relationship Id="rId13" Type="http://schemas.openxmlformats.org/officeDocument/2006/relationships/hyperlink" Target="http://kiabi.es/" TargetMode="External"/><Relationship Id="rId18" Type="http://schemas.openxmlformats.org/officeDocument/2006/relationships/hyperlink" Target="http://omx.ch/" TargetMode="External"/><Relationship Id="rId3" Type="http://schemas.openxmlformats.org/officeDocument/2006/relationships/hyperlink" Target="http://modalia.com/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://expohotels.com/" TargetMode="External"/><Relationship Id="rId12" Type="http://schemas.openxmlformats.org/officeDocument/2006/relationships/hyperlink" Target="http://jonnyrapp.com/" TargetMode="External"/><Relationship Id="rId17" Type="http://schemas.openxmlformats.org/officeDocument/2006/relationships/hyperlink" Target="http://crc-international.org/" TargetMode="External"/><Relationship Id="rId2" Type="http://schemas.openxmlformats.org/officeDocument/2006/relationships/hyperlink" Target="http://it-latino.net/" TargetMode="External"/><Relationship Id="rId16" Type="http://schemas.openxmlformats.org/officeDocument/2006/relationships/hyperlink" Target="http://realisaprint.com/" TargetMode="External"/><Relationship Id="rId20" Type="http://schemas.openxmlformats.org/officeDocument/2006/relationships/hyperlink" Target="http://youbuy.it/" TargetMode="External"/><Relationship Id="rId1" Type="http://schemas.openxmlformats.org/officeDocument/2006/relationships/hyperlink" Target="http://todocoleccion.net/" TargetMode="External"/><Relationship Id="rId6" Type="http://schemas.openxmlformats.org/officeDocument/2006/relationships/hyperlink" Target="http://apsl.net/" TargetMode="External"/><Relationship Id="rId11" Type="http://schemas.openxmlformats.org/officeDocument/2006/relationships/hyperlink" Target="http://tuexperto.com/" TargetMode="External"/><Relationship Id="rId5" Type="http://schemas.openxmlformats.org/officeDocument/2006/relationships/hyperlink" Target="http://familiafacil.es/" TargetMode="External"/><Relationship Id="rId15" Type="http://schemas.openxmlformats.org/officeDocument/2006/relationships/hyperlink" Target="http://floraqueen.com/" TargetMode="External"/><Relationship Id="rId10" Type="http://schemas.openxmlformats.org/officeDocument/2006/relationships/hyperlink" Target="http://agapea.com/" TargetMode="External"/><Relationship Id="rId19" Type="http://schemas.openxmlformats.org/officeDocument/2006/relationships/hyperlink" Target="http://miliboo.com/" TargetMode="External"/><Relationship Id="rId4" Type="http://schemas.openxmlformats.org/officeDocument/2006/relationships/hyperlink" Target="http://autodescuento.es/" TargetMode="External"/><Relationship Id="rId9" Type="http://schemas.openxmlformats.org/officeDocument/2006/relationships/hyperlink" Target="http://derecho.com/" TargetMode="External"/><Relationship Id="rId14" Type="http://schemas.openxmlformats.org/officeDocument/2006/relationships/hyperlink" Target="http://restaurantes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6C6F-2C90-4615-9FDA-EED6AF200776}">
  <dimension ref="A3:Y875"/>
  <sheetViews>
    <sheetView workbookViewId="0">
      <selection activeCell="D20" sqref="D20"/>
    </sheetView>
  </sheetViews>
  <sheetFormatPr defaultRowHeight="13.2" x14ac:dyDescent="0.25"/>
  <cols>
    <col min="1" max="1" width="31.21875" bestFit="1" customWidth="1"/>
    <col min="2" max="2" width="16.21875" bestFit="1" customWidth="1"/>
    <col min="3" max="3" width="8.21875" bestFit="1" customWidth="1"/>
    <col min="4" max="4" width="14.6640625" bestFit="1" customWidth="1"/>
    <col min="5" max="5" width="8.77734375" bestFit="1" customWidth="1"/>
    <col min="6" max="6" width="7.33203125" bestFit="1" customWidth="1"/>
    <col min="7" max="8" width="9" bestFit="1" customWidth="1"/>
    <col min="9" max="9" width="8.6640625" bestFit="1" customWidth="1"/>
    <col min="10" max="10" width="8.44140625" bestFit="1" customWidth="1"/>
    <col min="11" max="11" width="9" bestFit="1" customWidth="1"/>
    <col min="12" max="12" width="12.6640625" bestFit="1" customWidth="1"/>
    <col min="13" max="13" width="8.33203125" bestFit="1" customWidth="1"/>
    <col min="14" max="14" width="7.77734375" bestFit="1" customWidth="1"/>
    <col min="15" max="15" width="7" bestFit="1" customWidth="1"/>
    <col min="16" max="16" width="8.44140625" bestFit="1" customWidth="1"/>
    <col min="17" max="17" width="8.5546875" bestFit="1" customWidth="1"/>
    <col min="18" max="18" width="10.77734375" bestFit="1" customWidth="1"/>
    <col min="19" max="19" width="8.21875" bestFit="1" customWidth="1"/>
    <col min="20" max="20" width="10" bestFit="1" customWidth="1"/>
    <col min="21" max="21" width="7.88671875" bestFit="1" customWidth="1"/>
    <col min="22" max="22" width="11.21875" bestFit="1" customWidth="1"/>
    <col min="23" max="23" width="15.109375" bestFit="1" customWidth="1"/>
    <col min="24" max="24" width="8" bestFit="1" customWidth="1"/>
    <col min="25" max="25" width="11.33203125" bestFit="1" customWidth="1"/>
  </cols>
  <sheetData>
    <row r="3" spans="1:2" x14ac:dyDescent="0.25">
      <c r="A3" s="86" t="s">
        <v>3173</v>
      </c>
      <c r="B3" t="s">
        <v>3184</v>
      </c>
    </row>
    <row r="4" spans="1:2" x14ac:dyDescent="0.25">
      <c r="A4" s="87" t="s">
        <v>3174</v>
      </c>
      <c r="B4">
        <v>0</v>
      </c>
    </row>
    <row r="5" spans="1:2" x14ac:dyDescent="0.25">
      <c r="A5" s="87" t="s">
        <v>3175</v>
      </c>
      <c r="B5">
        <v>683333</v>
      </c>
    </row>
    <row r="6" spans="1:2" x14ac:dyDescent="0.25">
      <c r="A6" s="87" t="s">
        <v>3176</v>
      </c>
      <c r="B6">
        <v>350378</v>
      </c>
    </row>
    <row r="7" spans="1:2" x14ac:dyDescent="0.25">
      <c r="A7" s="87" t="s">
        <v>3177</v>
      </c>
      <c r="B7">
        <v>1517746</v>
      </c>
    </row>
    <row r="8" spans="1:2" x14ac:dyDescent="0.25">
      <c r="A8" s="87" t="s">
        <v>3178</v>
      </c>
      <c r="B8">
        <v>253426</v>
      </c>
    </row>
    <row r="9" spans="1:2" x14ac:dyDescent="0.25">
      <c r="A9" s="87" t="s">
        <v>3179</v>
      </c>
      <c r="B9">
        <v>125657</v>
      </c>
    </row>
    <row r="10" spans="1:2" x14ac:dyDescent="0.25">
      <c r="A10" s="87" t="s">
        <v>3180</v>
      </c>
      <c r="B10">
        <v>1331365</v>
      </c>
    </row>
    <row r="11" spans="1:2" x14ac:dyDescent="0.25">
      <c r="A11" s="87" t="s">
        <v>3181</v>
      </c>
      <c r="B11">
        <v>54683</v>
      </c>
    </row>
    <row r="12" spans="1:2" x14ac:dyDescent="0.25">
      <c r="A12" s="87" t="s">
        <v>3182</v>
      </c>
      <c r="B12">
        <v>32392</v>
      </c>
    </row>
    <row r="13" spans="1:2" x14ac:dyDescent="0.25">
      <c r="A13" s="87" t="s">
        <v>3183</v>
      </c>
      <c r="B13">
        <v>4327919</v>
      </c>
    </row>
    <row r="14" spans="1:2" x14ac:dyDescent="0.25">
      <c r="A14" s="87" t="s">
        <v>3146</v>
      </c>
      <c r="B14">
        <v>8676899</v>
      </c>
    </row>
    <row r="19" spans="1:25" x14ac:dyDescent="0.25">
      <c r="A19" s="86" t="s">
        <v>3192</v>
      </c>
      <c r="B19" s="86" t="s">
        <v>3191</v>
      </c>
    </row>
    <row r="20" spans="1:25" x14ac:dyDescent="0.25">
      <c r="A20" s="86" t="s">
        <v>3173</v>
      </c>
      <c r="B20" t="s">
        <v>1072</v>
      </c>
      <c r="C20" t="s">
        <v>2247</v>
      </c>
      <c r="D20" t="s">
        <v>2258</v>
      </c>
      <c r="E20" t="s">
        <v>1805</v>
      </c>
      <c r="F20" t="s">
        <v>979</v>
      </c>
      <c r="G20" t="s">
        <v>187</v>
      </c>
      <c r="H20" t="s">
        <v>1052</v>
      </c>
      <c r="I20" t="s">
        <v>292</v>
      </c>
      <c r="J20" t="s">
        <v>2255</v>
      </c>
      <c r="K20" t="s">
        <v>80</v>
      </c>
      <c r="L20" t="s">
        <v>1839</v>
      </c>
      <c r="M20" t="s">
        <v>2389</v>
      </c>
      <c r="N20" t="s">
        <v>2326</v>
      </c>
      <c r="O20" t="s">
        <v>1158</v>
      </c>
      <c r="P20" t="s">
        <v>22</v>
      </c>
      <c r="Q20" t="s">
        <v>2252</v>
      </c>
      <c r="R20" t="s">
        <v>2596</v>
      </c>
      <c r="S20" t="s">
        <v>2261</v>
      </c>
      <c r="T20" t="s">
        <v>14</v>
      </c>
      <c r="U20" t="s">
        <v>289</v>
      </c>
      <c r="V20" t="s">
        <v>1075</v>
      </c>
      <c r="W20" t="s">
        <v>1065</v>
      </c>
      <c r="X20" t="s">
        <v>1118</v>
      </c>
      <c r="Y20" t="s">
        <v>3146</v>
      </c>
    </row>
    <row r="21" spans="1:25" x14ac:dyDescent="0.25">
      <c r="A21" s="87">
        <v>20145</v>
      </c>
      <c r="K21">
        <v>157233</v>
      </c>
      <c r="Y21">
        <v>157233</v>
      </c>
    </row>
    <row r="22" spans="1:25" x14ac:dyDescent="0.25">
      <c r="A22" s="87">
        <v>20864</v>
      </c>
      <c r="K22">
        <v>91793</v>
      </c>
      <c r="Y22">
        <v>91793</v>
      </c>
    </row>
    <row r="23" spans="1:25" x14ac:dyDescent="0.25">
      <c r="A23" s="87">
        <v>35010</v>
      </c>
      <c r="K23">
        <v>184680</v>
      </c>
      <c r="Y23">
        <v>184680</v>
      </c>
    </row>
    <row r="24" spans="1:25" x14ac:dyDescent="0.25">
      <c r="A24" s="87">
        <v>36100</v>
      </c>
      <c r="K24">
        <v>99211</v>
      </c>
      <c r="Y24">
        <v>99211</v>
      </c>
    </row>
    <row r="25" spans="1:25" x14ac:dyDescent="0.25">
      <c r="A25" s="87" t="s">
        <v>2506</v>
      </c>
      <c r="K25">
        <v>30902</v>
      </c>
      <c r="Y25">
        <v>30902</v>
      </c>
    </row>
    <row r="26" spans="1:25" x14ac:dyDescent="0.25">
      <c r="A26" s="87" t="s">
        <v>3018</v>
      </c>
      <c r="K26">
        <v>120138</v>
      </c>
      <c r="Y26">
        <v>120138</v>
      </c>
    </row>
    <row r="27" spans="1:25" x14ac:dyDescent="0.25">
      <c r="A27" s="87" t="s">
        <v>249</v>
      </c>
      <c r="P27">
        <v>63020</v>
      </c>
      <c r="Y27">
        <v>63020</v>
      </c>
    </row>
    <row r="28" spans="1:25" x14ac:dyDescent="0.25">
      <c r="A28" s="87" t="s">
        <v>132</v>
      </c>
      <c r="T28">
        <v>158554</v>
      </c>
      <c r="Y28">
        <v>158554</v>
      </c>
    </row>
    <row r="29" spans="1:25" x14ac:dyDescent="0.25">
      <c r="A29" s="87" t="s">
        <v>648</v>
      </c>
      <c r="T29">
        <v>106692</v>
      </c>
      <c r="Y29">
        <v>106692</v>
      </c>
    </row>
    <row r="30" spans="1:25" x14ac:dyDescent="0.25">
      <c r="A30" s="87" t="s">
        <v>1557</v>
      </c>
      <c r="H30">
        <v>545216</v>
      </c>
      <c r="Y30">
        <v>545216</v>
      </c>
    </row>
    <row r="31" spans="1:25" x14ac:dyDescent="0.25">
      <c r="A31" s="87" t="s">
        <v>2916</v>
      </c>
      <c r="K31">
        <v>50316</v>
      </c>
      <c r="Y31">
        <v>50316</v>
      </c>
    </row>
    <row r="32" spans="1:25" x14ac:dyDescent="0.25">
      <c r="A32" s="87" t="s">
        <v>1719</v>
      </c>
      <c r="H32">
        <v>57380</v>
      </c>
      <c r="Y32">
        <v>57380</v>
      </c>
    </row>
    <row r="33" spans="1:25" x14ac:dyDescent="0.25">
      <c r="A33" s="87" t="s">
        <v>2812</v>
      </c>
      <c r="K33">
        <v>109545</v>
      </c>
      <c r="Y33">
        <v>109545</v>
      </c>
    </row>
    <row r="34" spans="1:25" x14ac:dyDescent="0.25">
      <c r="A34" s="87" t="s">
        <v>1914</v>
      </c>
      <c r="H34">
        <v>150659</v>
      </c>
      <c r="Y34">
        <v>150659</v>
      </c>
    </row>
    <row r="35" spans="1:25" x14ac:dyDescent="0.25">
      <c r="A35" s="87" t="s">
        <v>1998</v>
      </c>
      <c r="H35">
        <v>52325</v>
      </c>
      <c r="Y35">
        <v>52325</v>
      </c>
    </row>
    <row r="36" spans="1:25" x14ac:dyDescent="0.25">
      <c r="A36" s="87" t="s">
        <v>1867</v>
      </c>
      <c r="H36">
        <v>349968</v>
      </c>
      <c r="Y36">
        <v>349968</v>
      </c>
    </row>
    <row r="37" spans="1:25" x14ac:dyDescent="0.25">
      <c r="A37" s="87" t="s">
        <v>2268</v>
      </c>
      <c r="G37">
        <v>97965</v>
      </c>
      <c r="Y37">
        <v>97965</v>
      </c>
    </row>
    <row r="38" spans="1:25" x14ac:dyDescent="0.25">
      <c r="A38" s="87" t="s">
        <v>1317</v>
      </c>
      <c r="G38">
        <v>157181</v>
      </c>
      <c r="Y38">
        <v>157181</v>
      </c>
    </row>
    <row r="39" spans="1:25" x14ac:dyDescent="0.25">
      <c r="A39" s="87" t="s">
        <v>2447</v>
      </c>
      <c r="K39">
        <v>132337</v>
      </c>
      <c r="Y39">
        <v>132337</v>
      </c>
    </row>
    <row r="40" spans="1:25" x14ac:dyDescent="0.25">
      <c r="A40" s="87" t="s">
        <v>690</v>
      </c>
      <c r="T40">
        <v>87037</v>
      </c>
      <c r="Y40">
        <v>87037</v>
      </c>
    </row>
    <row r="41" spans="1:25" x14ac:dyDescent="0.25">
      <c r="A41" s="87" t="s">
        <v>1519</v>
      </c>
      <c r="G41">
        <v>67064</v>
      </c>
      <c r="Y41">
        <v>67064</v>
      </c>
    </row>
    <row r="42" spans="1:25" x14ac:dyDescent="0.25">
      <c r="A42" s="87" t="s">
        <v>2854</v>
      </c>
      <c r="K42">
        <v>77466</v>
      </c>
      <c r="Y42">
        <v>77466</v>
      </c>
    </row>
    <row r="43" spans="1:25" x14ac:dyDescent="0.25">
      <c r="A43" s="87" t="s">
        <v>1097</v>
      </c>
      <c r="H43">
        <v>139350</v>
      </c>
      <c r="Y43">
        <v>139350</v>
      </c>
    </row>
    <row r="44" spans="1:25" x14ac:dyDescent="0.25">
      <c r="A44" s="87" t="s">
        <v>299</v>
      </c>
      <c r="T44">
        <v>108983</v>
      </c>
      <c r="Y44">
        <v>108983</v>
      </c>
    </row>
    <row r="45" spans="1:25" x14ac:dyDescent="0.25">
      <c r="A45" s="87" t="s">
        <v>38</v>
      </c>
      <c r="T45">
        <v>1113702</v>
      </c>
      <c r="Y45">
        <v>1113702</v>
      </c>
    </row>
    <row r="46" spans="1:25" x14ac:dyDescent="0.25">
      <c r="A46" s="87" t="s">
        <v>391</v>
      </c>
      <c r="T46">
        <v>83580</v>
      </c>
      <c r="Y46">
        <v>83580</v>
      </c>
    </row>
    <row r="47" spans="1:25" x14ac:dyDescent="0.25">
      <c r="A47" s="87" t="s">
        <v>92</v>
      </c>
      <c r="T47">
        <v>76983</v>
      </c>
      <c r="Y47">
        <v>76983</v>
      </c>
    </row>
    <row r="48" spans="1:25" x14ac:dyDescent="0.25">
      <c r="A48" s="87" t="s">
        <v>401</v>
      </c>
      <c r="T48">
        <v>56858</v>
      </c>
      <c r="Y48">
        <v>56858</v>
      </c>
    </row>
    <row r="49" spans="1:25" x14ac:dyDescent="0.25">
      <c r="A49" s="87" t="s">
        <v>849</v>
      </c>
      <c r="T49">
        <v>32000</v>
      </c>
      <c r="Y49">
        <v>32000</v>
      </c>
    </row>
    <row r="50" spans="1:25" x14ac:dyDescent="0.25">
      <c r="A50" s="87" t="s">
        <v>730</v>
      </c>
      <c r="T50">
        <v>80523</v>
      </c>
      <c r="Y50">
        <v>80523</v>
      </c>
    </row>
    <row r="51" spans="1:25" x14ac:dyDescent="0.25">
      <c r="A51" s="87" t="s">
        <v>567</v>
      </c>
      <c r="T51">
        <v>557324</v>
      </c>
      <c r="Y51">
        <v>557324</v>
      </c>
    </row>
    <row r="52" spans="1:25" x14ac:dyDescent="0.25">
      <c r="A52" s="87" t="s">
        <v>242</v>
      </c>
      <c r="T52">
        <v>80523</v>
      </c>
      <c r="Y52">
        <v>80523</v>
      </c>
    </row>
    <row r="53" spans="1:25" x14ac:dyDescent="0.25">
      <c r="A53" s="87" t="s">
        <v>1591</v>
      </c>
      <c r="H53">
        <v>315568</v>
      </c>
      <c r="Y53">
        <v>315568</v>
      </c>
    </row>
    <row r="54" spans="1:25" x14ac:dyDescent="0.25">
      <c r="A54" s="87" t="s">
        <v>1732</v>
      </c>
      <c r="H54">
        <v>373568</v>
      </c>
      <c r="Y54">
        <v>373568</v>
      </c>
    </row>
    <row r="55" spans="1:25" x14ac:dyDescent="0.25">
      <c r="A55" s="87" t="s">
        <v>893</v>
      </c>
      <c r="T55">
        <v>143517</v>
      </c>
      <c r="Y55">
        <v>143517</v>
      </c>
    </row>
    <row r="56" spans="1:25" x14ac:dyDescent="0.25">
      <c r="A56" s="87" t="s">
        <v>1822</v>
      </c>
      <c r="H56">
        <v>181209</v>
      </c>
      <c r="Y56">
        <v>181209</v>
      </c>
    </row>
    <row r="57" spans="1:25" x14ac:dyDescent="0.25">
      <c r="A57" s="87" t="s">
        <v>3049</v>
      </c>
      <c r="K57">
        <v>277565</v>
      </c>
      <c r="Y57">
        <v>277565</v>
      </c>
    </row>
    <row r="58" spans="1:25" x14ac:dyDescent="0.25">
      <c r="A58" s="87" t="s">
        <v>2322</v>
      </c>
      <c r="G58">
        <v>115471</v>
      </c>
      <c r="Y58">
        <v>115471</v>
      </c>
    </row>
    <row r="59" spans="1:25" x14ac:dyDescent="0.25">
      <c r="A59" s="87" t="s">
        <v>1603</v>
      </c>
      <c r="B59">
        <v>77562</v>
      </c>
      <c r="Y59">
        <v>77562</v>
      </c>
    </row>
    <row r="60" spans="1:25" x14ac:dyDescent="0.25">
      <c r="A60" s="87" t="s">
        <v>2759</v>
      </c>
      <c r="K60">
        <v>80575</v>
      </c>
      <c r="Y60">
        <v>80575</v>
      </c>
    </row>
    <row r="61" spans="1:25" x14ac:dyDescent="0.25">
      <c r="A61" s="87" t="s">
        <v>3009</v>
      </c>
      <c r="K61">
        <v>77640</v>
      </c>
      <c r="Y61">
        <v>77640</v>
      </c>
    </row>
    <row r="62" spans="1:25" x14ac:dyDescent="0.25">
      <c r="A62" s="87" t="s">
        <v>2580</v>
      </c>
      <c r="K62">
        <v>77515</v>
      </c>
      <c r="Y62">
        <v>77515</v>
      </c>
    </row>
    <row r="63" spans="1:25" x14ac:dyDescent="0.25">
      <c r="A63" s="87" t="s">
        <v>2941</v>
      </c>
      <c r="K63">
        <v>116939</v>
      </c>
      <c r="Y63">
        <v>116939</v>
      </c>
    </row>
    <row r="64" spans="1:25" x14ac:dyDescent="0.25">
      <c r="A64" s="87" t="s">
        <v>2772</v>
      </c>
      <c r="K64">
        <v>141076</v>
      </c>
      <c r="Y64">
        <v>141076</v>
      </c>
    </row>
    <row r="65" spans="1:25" x14ac:dyDescent="0.25">
      <c r="A65" s="87" t="s">
        <v>109</v>
      </c>
      <c r="T65">
        <v>104166</v>
      </c>
      <c r="Y65">
        <v>104166</v>
      </c>
    </row>
    <row r="66" spans="1:25" x14ac:dyDescent="0.25">
      <c r="A66" s="87" t="s">
        <v>2483</v>
      </c>
      <c r="K66">
        <v>101487</v>
      </c>
      <c r="Y66">
        <v>101487</v>
      </c>
    </row>
    <row r="67" spans="1:25" x14ac:dyDescent="0.25">
      <c r="A67" s="87" t="s">
        <v>2567</v>
      </c>
      <c r="K67">
        <v>65114</v>
      </c>
      <c r="Y67">
        <v>65114</v>
      </c>
    </row>
    <row r="68" spans="1:25" x14ac:dyDescent="0.25">
      <c r="A68" s="87" t="s">
        <v>2675</v>
      </c>
      <c r="K68">
        <v>74058</v>
      </c>
      <c r="Y68">
        <v>74058</v>
      </c>
    </row>
    <row r="69" spans="1:25" x14ac:dyDescent="0.25">
      <c r="A69" s="87" t="s">
        <v>263</v>
      </c>
      <c r="T69">
        <v>122068</v>
      </c>
      <c r="Y69">
        <v>122068</v>
      </c>
    </row>
    <row r="70" spans="1:25" x14ac:dyDescent="0.25">
      <c r="A70" s="87" t="s">
        <v>159</v>
      </c>
      <c r="T70">
        <v>107069</v>
      </c>
      <c r="Y70">
        <v>107069</v>
      </c>
    </row>
    <row r="71" spans="1:25" x14ac:dyDescent="0.25">
      <c r="A71" s="87" t="s">
        <v>1383</v>
      </c>
      <c r="G71">
        <v>40191</v>
      </c>
      <c r="Y71">
        <v>40191</v>
      </c>
    </row>
    <row r="72" spans="1:25" x14ac:dyDescent="0.25">
      <c r="A72" s="87" t="s">
        <v>73</v>
      </c>
      <c r="T72">
        <v>187470</v>
      </c>
      <c r="Y72">
        <v>187470</v>
      </c>
    </row>
    <row r="73" spans="1:25" x14ac:dyDescent="0.25">
      <c r="A73" s="87" t="s">
        <v>2411</v>
      </c>
      <c r="K73">
        <v>69907</v>
      </c>
      <c r="Y73">
        <v>69907</v>
      </c>
    </row>
    <row r="74" spans="1:25" x14ac:dyDescent="0.25">
      <c r="A74" s="87" t="s">
        <v>1612</v>
      </c>
      <c r="H74">
        <v>49486</v>
      </c>
      <c r="Y74">
        <v>49486</v>
      </c>
    </row>
    <row r="75" spans="1:25" x14ac:dyDescent="0.25">
      <c r="A75" s="87" t="s">
        <v>3056</v>
      </c>
      <c r="K75">
        <v>99320</v>
      </c>
      <c r="Y75">
        <v>99320</v>
      </c>
    </row>
    <row r="76" spans="1:25" x14ac:dyDescent="0.25">
      <c r="A76" s="87" t="s">
        <v>1459</v>
      </c>
      <c r="G76">
        <v>110043</v>
      </c>
      <c r="Y76">
        <v>110043</v>
      </c>
    </row>
    <row r="77" spans="1:25" x14ac:dyDescent="0.25">
      <c r="A77" s="87" t="s">
        <v>2841</v>
      </c>
    </row>
    <row r="78" spans="1:25" x14ac:dyDescent="0.25">
      <c r="A78" s="87" t="s">
        <v>368</v>
      </c>
      <c r="K78">
        <v>112714</v>
      </c>
      <c r="Y78">
        <v>112714</v>
      </c>
    </row>
    <row r="79" spans="1:25" x14ac:dyDescent="0.25">
      <c r="A79" s="87" t="s">
        <v>365</v>
      </c>
      <c r="T79">
        <v>54725</v>
      </c>
      <c r="Y79">
        <v>54725</v>
      </c>
    </row>
    <row r="80" spans="1:25" x14ac:dyDescent="0.25">
      <c r="A80" s="87" t="s">
        <v>1826</v>
      </c>
      <c r="H80">
        <v>338397</v>
      </c>
      <c r="Y80">
        <v>338397</v>
      </c>
    </row>
    <row r="81" spans="1:25" x14ac:dyDescent="0.25">
      <c r="A81" s="87" t="s">
        <v>2933</v>
      </c>
      <c r="K81">
        <v>132000</v>
      </c>
      <c r="Y81">
        <v>132000</v>
      </c>
    </row>
    <row r="82" spans="1:25" x14ac:dyDescent="0.25">
      <c r="A82" s="87" t="s">
        <v>3047</v>
      </c>
      <c r="K82">
        <v>101449</v>
      </c>
      <c r="Y82">
        <v>101449</v>
      </c>
    </row>
    <row r="83" spans="1:25" x14ac:dyDescent="0.25">
      <c r="A83" s="87" t="s">
        <v>2623</v>
      </c>
      <c r="K83">
        <v>128110</v>
      </c>
      <c r="Y83">
        <v>128110</v>
      </c>
    </row>
    <row r="84" spans="1:25" x14ac:dyDescent="0.25">
      <c r="A84" s="87" t="s">
        <v>2231</v>
      </c>
      <c r="V84">
        <v>98316</v>
      </c>
      <c r="Y84">
        <v>98316</v>
      </c>
    </row>
    <row r="85" spans="1:25" x14ac:dyDescent="0.25">
      <c r="A85" s="87" t="s">
        <v>1794</v>
      </c>
      <c r="H85">
        <v>96601</v>
      </c>
      <c r="Y85">
        <v>96601</v>
      </c>
    </row>
    <row r="86" spans="1:25" x14ac:dyDescent="0.25">
      <c r="A86" s="87" t="s">
        <v>1937</v>
      </c>
      <c r="H86">
        <v>146799</v>
      </c>
      <c r="Y86">
        <v>146799</v>
      </c>
    </row>
    <row r="87" spans="1:25" x14ac:dyDescent="0.25">
      <c r="A87" s="87" t="s">
        <v>2131</v>
      </c>
      <c r="H87">
        <v>149219</v>
      </c>
      <c r="Y87">
        <v>149219</v>
      </c>
    </row>
    <row r="88" spans="1:25" x14ac:dyDescent="0.25">
      <c r="A88" s="87" t="s">
        <v>1889</v>
      </c>
      <c r="H88">
        <v>311129</v>
      </c>
      <c r="Y88">
        <v>311129</v>
      </c>
    </row>
    <row r="89" spans="1:25" x14ac:dyDescent="0.25">
      <c r="A89" s="87" t="s">
        <v>1933</v>
      </c>
    </row>
    <row r="90" spans="1:25" x14ac:dyDescent="0.25">
      <c r="A90" s="87" t="s">
        <v>1721</v>
      </c>
      <c r="H90">
        <v>366022</v>
      </c>
      <c r="Y90">
        <v>366022</v>
      </c>
    </row>
    <row r="91" spans="1:25" x14ac:dyDescent="0.25">
      <c r="A91" s="87" t="s">
        <v>1194</v>
      </c>
      <c r="H91">
        <v>94769</v>
      </c>
      <c r="Y91">
        <v>94769</v>
      </c>
    </row>
    <row r="92" spans="1:25" x14ac:dyDescent="0.25">
      <c r="A92" s="87" t="s">
        <v>1780</v>
      </c>
      <c r="H92">
        <v>400793</v>
      </c>
      <c r="Y92">
        <v>400793</v>
      </c>
    </row>
    <row r="93" spans="1:25" x14ac:dyDescent="0.25">
      <c r="A93" s="87" t="s">
        <v>207</v>
      </c>
      <c r="T93">
        <v>172921</v>
      </c>
      <c r="Y93">
        <v>172921</v>
      </c>
    </row>
    <row r="94" spans="1:25" x14ac:dyDescent="0.25">
      <c r="A94" s="87" t="s">
        <v>1360</v>
      </c>
      <c r="G94">
        <v>100035</v>
      </c>
      <c r="Y94">
        <v>100035</v>
      </c>
    </row>
    <row r="95" spans="1:25" x14ac:dyDescent="0.25">
      <c r="A95" s="87" t="s">
        <v>2954</v>
      </c>
      <c r="K95">
        <v>121680</v>
      </c>
      <c r="Y95">
        <v>121680</v>
      </c>
    </row>
    <row r="96" spans="1:25" x14ac:dyDescent="0.25">
      <c r="A96" s="87" t="s">
        <v>1840</v>
      </c>
      <c r="L96">
        <v>237786</v>
      </c>
      <c r="Y96">
        <v>237786</v>
      </c>
    </row>
    <row r="97" spans="1:25" x14ac:dyDescent="0.25">
      <c r="A97" s="87" t="s">
        <v>3023</v>
      </c>
      <c r="K97">
        <v>100528</v>
      </c>
      <c r="Y97">
        <v>100528</v>
      </c>
    </row>
    <row r="98" spans="1:25" x14ac:dyDescent="0.25">
      <c r="A98" s="87" t="s">
        <v>910</v>
      </c>
      <c r="T98">
        <v>55037</v>
      </c>
      <c r="Y98">
        <v>55037</v>
      </c>
    </row>
    <row r="99" spans="1:25" x14ac:dyDescent="0.25">
      <c r="A99" s="87" t="s">
        <v>15</v>
      </c>
      <c r="T99">
        <v>9977693</v>
      </c>
      <c r="Y99">
        <v>9977693</v>
      </c>
    </row>
    <row r="100" spans="1:25" x14ac:dyDescent="0.25">
      <c r="A100" s="87" t="s">
        <v>2417</v>
      </c>
      <c r="K100">
        <v>120380</v>
      </c>
      <c r="Y100">
        <v>120380</v>
      </c>
    </row>
    <row r="101" spans="1:25" x14ac:dyDescent="0.25">
      <c r="A101" s="87" t="s">
        <v>1616</v>
      </c>
      <c r="H101">
        <v>130735</v>
      </c>
      <c r="Y101">
        <v>130735</v>
      </c>
    </row>
    <row r="102" spans="1:25" x14ac:dyDescent="0.25">
      <c r="A102" s="87" t="s">
        <v>2671</v>
      </c>
      <c r="K102">
        <v>122985</v>
      </c>
      <c r="Y102">
        <v>122985</v>
      </c>
    </row>
    <row r="103" spans="1:25" x14ac:dyDescent="0.25">
      <c r="A103" s="87" t="s">
        <v>506</v>
      </c>
      <c r="T103">
        <v>488468</v>
      </c>
      <c r="Y103">
        <v>488468</v>
      </c>
    </row>
    <row r="104" spans="1:25" x14ac:dyDescent="0.25">
      <c r="A104" s="87" t="s">
        <v>2216</v>
      </c>
      <c r="V104">
        <v>80117</v>
      </c>
      <c r="Y104">
        <v>80117</v>
      </c>
    </row>
    <row r="105" spans="1:25" x14ac:dyDescent="0.25">
      <c r="A105" s="87" t="s">
        <v>81</v>
      </c>
      <c r="K105">
        <v>214575</v>
      </c>
      <c r="Y105">
        <v>214575</v>
      </c>
    </row>
    <row r="106" spans="1:25" x14ac:dyDescent="0.25">
      <c r="A106" s="87" t="s">
        <v>1633</v>
      </c>
      <c r="H106">
        <v>71090</v>
      </c>
      <c r="Y106">
        <v>71090</v>
      </c>
    </row>
    <row r="107" spans="1:25" x14ac:dyDescent="0.25">
      <c r="A107" s="87" t="s">
        <v>1020</v>
      </c>
      <c r="T107">
        <v>114481</v>
      </c>
      <c r="Y107">
        <v>114481</v>
      </c>
    </row>
    <row r="108" spans="1:25" x14ac:dyDescent="0.25">
      <c r="A108" s="87" t="s">
        <v>2432</v>
      </c>
      <c r="K108">
        <v>442694</v>
      </c>
      <c r="Y108">
        <v>442694</v>
      </c>
    </row>
    <row r="109" spans="1:25" x14ac:dyDescent="0.25">
      <c r="A109" s="87" t="s">
        <v>2508</v>
      </c>
      <c r="K109">
        <v>183335</v>
      </c>
      <c r="Y109">
        <v>183335</v>
      </c>
    </row>
    <row r="110" spans="1:25" x14ac:dyDescent="0.25">
      <c r="A110" s="87" t="s">
        <v>1643</v>
      </c>
      <c r="H110">
        <v>42246</v>
      </c>
      <c r="Y110">
        <v>42246</v>
      </c>
    </row>
    <row r="111" spans="1:25" x14ac:dyDescent="0.25">
      <c r="A111" s="87" t="s">
        <v>1093</v>
      </c>
      <c r="H111">
        <v>3769259</v>
      </c>
      <c r="Y111">
        <v>3769259</v>
      </c>
    </row>
    <row r="112" spans="1:25" x14ac:dyDescent="0.25">
      <c r="A112" s="87" t="s">
        <v>1678</v>
      </c>
      <c r="V112">
        <v>349452</v>
      </c>
      <c r="Y112">
        <v>349452</v>
      </c>
    </row>
    <row r="113" spans="1:25" x14ac:dyDescent="0.25">
      <c r="A113" s="87" t="s">
        <v>2570</v>
      </c>
      <c r="K113">
        <v>404266</v>
      </c>
      <c r="Y113">
        <v>404266</v>
      </c>
    </row>
    <row r="114" spans="1:25" x14ac:dyDescent="0.25">
      <c r="A114" s="87" t="s">
        <v>1125</v>
      </c>
      <c r="H114">
        <v>171662</v>
      </c>
      <c r="Y114">
        <v>171662</v>
      </c>
    </row>
    <row r="115" spans="1:25" x14ac:dyDescent="0.25">
      <c r="A115" s="87" t="s">
        <v>2617</v>
      </c>
      <c r="K115">
        <v>76841</v>
      </c>
      <c r="Y115">
        <v>76841</v>
      </c>
    </row>
    <row r="116" spans="1:25" x14ac:dyDescent="0.25">
      <c r="A116" s="87" t="s">
        <v>1641</v>
      </c>
      <c r="H116">
        <v>47336</v>
      </c>
      <c r="Y116">
        <v>47336</v>
      </c>
    </row>
    <row r="117" spans="1:25" x14ac:dyDescent="0.25">
      <c r="A117" s="87" t="s">
        <v>1924</v>
      </c>
      <c r="H117">
        <v>681617</v>
      </c>
      <c r="Y117">
        <v>681617</v>
      </c>
    </row>
    <row r="118" spans="1:25" x14ac:dyDescent="0.25">
      <c r="A118" s="87" t="s">
        <v>1206</v>
      </c>
      <c r="H118">
        <v>42040</v>
      </c>
      <c r="Y118">
        <v>42040</v>
      </c>
    </row>
    <row r="119" spans="1:25" x14ac:dyDescent="0.25">
      <c r="A119" s="87" t="s">
        <v>222</v>
      </c>
      <c r="T119">
        <v>107211</v>
      </c>
      <c r="Y119">
        <v>107211</v>
      </c>
    </row>
    <row r="120" spans="1:25" x14ac:dyDescent="0.25">
      <c r="A120" s="87" t="s">
        <v>127</v>
      </c>
      <c r="T120">
        <v>599897</v>
      </c>
      <c r="Y120">
        <v>599897</v>
      </c>
    </row>
    <row r="121" spans="1:25" x14ac:dyDescent="0.25">
      <c r="A121" s="87" t="s">
        <v>617</v>
      </c>
      <c r="T121">
        <v>88677</v>
      </c>
      <c r="Y121">
        <v>88677</v>
      </c>
    </row>
    <row r="122" spans="1:25" x14ac:dyDescent="0.25">
      <c r="A122" s="87" t="s">
        <v>1229</v>
      </c>
      <c r="G122">
        <v>118662</v>
      </c>
      <c r="Y122">
        <v>118662</v>
      </c>
    </row>
    <row r="123" spans="1:25" x14ac:dyDescent="0.25">
      <c r="A123" s="87" t="s">
        <v>1849</v>
      </c>
      <c r="H123">
        <v>141255</v>
      </c>
      <c r="Y123">
        <v>141255</v>
      </c>
    </row>
    <row r="124" spans="1:25" x14ac:dyDescent="0.25">
      <c r="A124" s="87" t="s">
        <v>1725</v>
      </c>
      <c r="H124">
        <v>684215</v>
      </c>
      <c r="Y124">
        <v>684215</v>
      </c>
    </row>
    <row r="125" spans="1:25" x14ac:dyDescent="0.25">
      <c r="A125" s="87" t="s">
        <v>1837</v>
      </c>
      <c r="H125">
        <v>311196</v>
      </c>
      <c r="Y125">
        <v>311196</v>
      </c>
    </row>
    <row r="126" spans="1:25" x14ac:dyDescent="0.25">
      <c r="A126" s="87" t="s">
        <v>2415</v>
      </c>
      <c r="K126">
        <v>759153</v>
      </c>
      <c r="Y126">
        <v>759153</v>
      </c>
    </row>
    <row r="127" spans="1:25" x14ac:dyDescent="0.25">
      <c r="A127" s="87" t="s">
        <v>2925</v>
      </c>
      <c r="K127">
        <v>55037</v>
      </c>
      <c r="Y127">
        <v>55037</v>
      </c>
    </row>
    <row r="128" spans="1:25" x14ac:dyDescent="0.25">
      <c r="A128" s="87" t="s">
        <v>2891</v>
      </c>
      <c r="K128">
        <v>217224</v>
      </c>
      <c r="Y128">
        <v>217224</v>
      </c>
    </row>
    <row r="129" spans="1:25" x14ac:dyDescent="0.25">
      <c r="A129" s="87" t="s">
        <v>1078</v>
      </c>
      <c r="H129">
        <v>701718</v>
      </c>
      <c r="Y129">
        <v>701718</v>
      </c>
    </row>
    <row r="130" spans="1:25" x14ac:dyDescent="0.25">
      <c r="A130" s="87" t="s">
        <v>1330</v>
      </c>
      <c r="G130">
        <v>164850</v>
      </c>
      <c r="Y130">
        <v>164850</v>
      </c>
    </row>
    <row r="131" spans="1:25" x14ac:dyDescent="0.25">
      <c r="A131" s="87" t="s">
        <v>2904</v>
      </c>
      <c r="K131">
        <v>98792</v>
      </c>
      <c r="Y131">
        <v>98792</v>
      </c>
    </row>
    <row r="132" spans="1:25" x14ac:dyDescent="0.25">
      <c r="A132" s="87" t="s">
        <v>2793</v>
      </c>
      <c r="K132">
        <v>127431</v>
      </c>
      <c r="Y132">
        <v>127431</v>
      </c>
    </row>
    <row r="133" spans="1:25" x14ac:dyDescent="0.25">
      <c r="A133" s="87" t="s">
        <v>2199</v>
      </c>
      <c r="V133">
        <v>121682</v>
      </c>
      <c r="Y133">
        <v>121682</v>
      </c>
    </row>
    <row r="134" spans="1:25" x14ac:dyDescent="0.25">
      <c r="A134" s="87" t="s">
        <v>194</v>
      </c>
      <c r="G134">
        <v>102196</v>
      </c>
      <c r="Y134">
        <v>102196</v>
      </c>
    </row>
    <row r="135" spans="1:25" x14ac:dyDescent="0.25">
      <c r="A135" s="87" t="s">
        <v>1376</v>
      </c>
      <c r="G135">
        <v>261417</v>
      </c>
      <c r="Y135">
        <v>261417</v>
      </c>
    </row>
    <row r="136" spans="1:25" x14ac:dyDescent="0.25">
      <c r="A136" s="87" t="s">
        <v>2739</v>
      </c>
      <c r="K136">
        <v>74238</v>
      </c>
      <c r="Y136">
        <v>74238</v>
      </c>
    </row>
    <row r="137" spans="1:25" x14ac:dyDescent="0.25">
      <c r="A137" s="87" t="s">
        <v>2481</v>
      </c>
      <c r="K137">
        <v>40836</v>
      </c>
      <c r="Y137">
        <v>40836</v>
      </c>
    </row>
    <row r="138" spans="1:25" x14ac:dyDescent="0.25">
      <c r="A138" s="87" t="s">
        <v>2869</v>
      </c>
      <c r="K138">
        <v>76408</v>
      </c>
      <c r="Y138">
        <v>76408</v>
      </c>
    </row>
    <row r="139" spans="1:25" x14ac:dyDescent="0.25">
      <c r="A139" s="87" t="s">
        <v>267</v>
      </c>
      <c r="P139">
        <v>328541</v>
      </c>
      <c r="Y139">
        <v>328541</v>
      </c>
    </row>
    <row r="140" spans="1:25" x14ac:dyDescent="0.25">
      <c r="A140" s="87" t="s">
        <v>1847</v>
      </c>
      <c r="H140">
        <v>149252</v>
      </c>
      <c r="Y140">
        <v>149252</v>
      </c>
    </row>
    <row r="141" spans="1:25" x14ac:dyDescent="0.25">
      <c r="A141" s="87" t="s">
        <v>1753</v>
      </c>
      <c r="H141">
        <v>488798</v>
      </c>
      <c r="Y141">
        <v>488798</v>
      </c>
    </row>
    <row r="142" spans="1:25" x14ac:dyDescent="0.25">
      <c r="A142" s="87" t="s">
        <v>2116</v>
      </c>
      <c r="H142">
        <v>164828</v>
      </c>
      <c r="Y142">
        <v>164828</v>
      </c>
    </row>
    <row r="143" spans="1:25" x14ac:dyDescent="0.25">
      <c r="A143" s="87" t="s">
        <v>2789</v>
      </c>
      <c r="K143">
        <v>78363</v>
      </c>
      <c r="Y143">
        <v>78363</v>
      </c>
    </row>
    <row r="144" spans="1:25" x14ac:dyDescent="0.25">
      <c r="A144" s="87" t="s">
        <v>501</v>
      </c>
      <c r="K144">
        <v>471193</v>
      </c>
      <c r="Y144">
        <v>471193</v>
      </c>
    </row>
    <row r="145" spans="1:25" x14ac:dyDescent="0.25">
      <c r="A145" s="87" t="s">
        <v>3109</v>
      </c>
      <c r="K145">
        <v>141917</v>
      </c>
      <c r="Y145">
        <v>141917</v>
      </c>
    </row>
    <row r="146" spans="1:25" x14ac:dyDescent="0.25">
      <c r="A146" s="87" t="s">
        <v>2206</v>
      </c>
      <c r="B146">
        <v>128399</v>
      </c>
      <c r="Y146">
        <v>128399</v>
      </c>
    </row>
    <row r="147" spans="1:25" x14ac:dyDescent="0.25">
      <c r="A147" s="87" t="s">
        <v>1605</v>
      </c>
      <c r="H147">
        <v>126011</v>
      </c>
      <c r="Y147">
        <v>126011</v>
      </c>
    </row>
    <row r="148" spans="1:25" x14ac:dyDescent="0.25">
      <c r="A148" s="87" t="s">
        <v>2523</v>
      </c>
      <c r="K148">
        <v>100385</v>
      </c>
      <c r="Y148">
        <v>100385</v>
      </c>
    </row>
    <row r="149" spans="1:25" x14ac:dyDescent="0.25">
      <c r="A149" s="87" t="s">
        <v>1878</v>
      </c>
      <c r="V149">
        <v>143043</v>
      </c>
      <c r="Y149">
        <v>143043</v>
      </c>
    </row>
    <row r="150" spans="1:25" x14ac:dyDescent="0.25">
      <c r="A150" s="87" t="s">
        <v>2913</v>
      </c>
    </row>
    <row r="151" spans="1:25" x14ac:dyDescent="0.25">
      <c r="A151" s="87" t="s">
        <v>2253</v>
      </c>
      <c r="Q151">
        <v>101707</v>
      </c>
      <c r="Y151">
        <v>101707</v>
      </c>
    </row>
    <row r="152" spans="1:25" x14ac:dyDescent="0.25">
      <c r="A152" s="87" t="s">
        <v>2256</v>
      </c>
      <c r="J152">
        <v>95993</v>
      </c>
      <c r="Y152">
        <v>95993</v>
      </c>
    </row>
    <row r="153" spans="1:25" x14ac:dyDescent="0.25">
      <c r="A153" s="87" t="s">
        <v>2735</v>
      </c>
      <c r="K153">
        <v>112578</v>
      </c>
      <c r="Y153">
        <v>112578</v>
      </c>
    </row>
    <row r="154" spans="1:25" x14ac:dyDescent="0.25">
      <c r="A154" s="87" t="s">
        <v>529</v>
      </c>
      <c r="T154">
        <v>71125</v>
      </c>
      <c r="Y154">
        <v>71125</v>
      </c>
    </row>
    <row r="155" spans="1:25" x14ac:dyDescent="0.25">
      <c r="A155" s="87" t="s">
        <v>1673</v>
      </c>
      <c r="H155">
        <v>929477</v>
      </c>
      <c r="Y155">
        <v>929477</v>
      </c>
    </row>
    <row r="156" spans="1:25" x14ac:dyDescent="0.25">
      <c r="A156" s="87" t="s">
        <v>1830</v>
      </c>
      <c r="V156">
        <v>149252</v>
      </c>
      <c r="Y156">
        <v>149252</v>
      </c>
    </row>
    <row r="157" spans="1:25" x14ac:dyDescent="0.25">
      <c r="A157" s="87" t="s">
        <v>792</v>
      </c>
      <c r="T157">
        <v>368455</v>
      </c>
      <c r="Y157">
        <v>368455</v>
      </c>
    </row>
    <row r="158" spans="1:25" x14ac:dyDescent="0.25">
      <c r="A158" s="87" t="s">
        <v>120</v>
      </c>
      <c r="T158">
        <v>49625</v>
      </c>
      <c r="Y158">
        <v>49625</v>
      </c>
    </row>
    <row r="159" spans="1:25" x14ac:dyDescent="0.25">
      <c r="A159" s="87" t="s">
        <v>719</v>
      </c>
      <c r="T159">
        <v>124126</v>
      </c>
      <c r="Y159">
        <v>124126</v>
      </c>
    </row>
    <row r="160" spans="1:25" x14ac:dyDescent="0.25">
      <c r="A160" s="87" t="s">
        <v>308</v>
      </c>
      <c r="T160">
        <v>147362</v>
      </c>
      <c r="Y160">
        <v>147362</v>
      </c>
    </row>
    <row r="161" spans="1:25" x14ac:dyDescent="0.25">
      <c r="A161" s="87" t="s">
        <v>2587</v>
      </c>
      <c r="K161">
        <v>197488</v>
      </c>
      <c r="Y161">
        <v>197488</v>
      </c>
    </row>
    <row r="162" spans="1:25" x14ac:dyDescent="0.25">
      <c r="A162" s="87" t="s">
        <v>2946</v>
      </c>
      <c r="K162">
        <v>88735</v>
      </c>
      <c r="Y162">
        <v>88735</v>
      </c>
    </row>
    <row r="163" spans="1:25" x14ac:dyDescent="0.25">
      <c r="A163" s="87" t="s">
        <v>2684</v>
      </c>
      <c r="K163">
        <v>155608</v>
      </c>
      <c r="Y163">
        <v>155608</v>
      </c>
    </row>
    <row r="164" spans="1:25" x14ac:dyDescent="0.25">
      <c r="A164" s="87" t="s">
        <v>2950</v>
      </c>
      <c r="K164">
        <v>86456</v>
      </c>
      <c r="Y164">
        <v>86456</v>
      </c>
    </row>
    <row r="165" spans="1:25" x14ac:dyDescent="0.25">
      <c r="A165" s="87" t="s">
        <v>2781</v>
      </c>
      <c r="K165">
        <v>42361</v>
      </c>
      <c r="Y165">
        <v>42361</v>
      </c>
    </row>
    <row r="166" spans="1:25" x14ac:dyDescent="0.25">
      <c r="A166" s="87" t="s">
        <v>2798</v>
      </c>
      <c r="K166">
        <v>75938</v>
      </c>
      <c r="Y166">
        <v>75938</v>
      </c>
    </row>
    <row r="167" spans="1:25" x14ac:dyDescent="0.25">
      <c r="A167" s="87" t="s">
        <v>2423</v>
      </c>
      <c r="K167">
        <v>156936</v>
      </c>
      <c r="Y167">
        <v>156936</v>
      </c>
    </row>
    <row r="168" spans="1:25" x14ac:dyDescent="0.25">
      <c r="A168" s="87" t="s">
        <v>2692</v>
      </c>
      <c r="K168">
        <v>401760</v>
      </c>
      <c r="Y168">
        <v>401760</v>
      </c>
    </row>
    <row r="169" spans="1:25" x14ac:dyDescent="0.25">
      <c r="A169" s="87" t="s">
        <v>2992</v>
      </c>
      <c r="K169">
        <v>70907</v>
      </c>
      <c r="Y169">
        <v>70907</v>
      </c>
    </row>
    <row r="170" spans="1:25" x14ac:dyDescent="0.25">
      <c r="A170" s="87" t="s">
        <v>3026</v>
      </c>
      <c r="K170">
        <v>74856</v>
      </c>
      <c r="Y170">
        <v>74856</v>
      </c>
    </row>
    <row r="171" spans="1:25" x14ac:dyDescent="0.25">
      <c r="A171" s="87" t="s">
        <v>1397</v>
      </c>
      <c r="G171">
        <v>126203</v>
      </c>
      <c r="Y171">
        <v>126203</v>
      </c>
    </row>
    <row r="172" spans="1:25" x14ac:dyDescent="0.25">
      <c r="A172" s="87" t="s">
        <v>872</v>
      </c>
      <c r="T172">
        <v>96217</v>
      </c>
      <c r="Y172">
        <v>96217</v>
      </c>
    </row>
    <row r="173" spans="1:25" x14ac:dyDescent="0.25">
      <c r="A173" s="87" t="s">
        <v>2438</v>
      </c>
      <c r="X173">
        <v>174080</v>
      </c>
      <c r="Y173">
        <v>174080</v>
      </c>
    </row>
    <row r="174" spans="1:25" x14ac:dyDescent="0.25">
      <c r="A174" s="87" t="s">
        <v>181</v>
      </c>
      <c r="T174">
        <v>55037</v>
      </c>
      <c r="Y174">
        <v>55037</v>
      </c>
    </row>
    <row r="175" spans="1:25" x14ac:dyDescent="0.25">
      <c r="A175" s="87" t="s">
        <v>1319</v>
      </c>
      <c r="G175">
        <v>181162</v>
      </c>
      <c r="Y175">
        <v>181162</v>
      </c>
    </row>
    <row r="176" spans="1:25" x14ac:dyDescent="0.25">
      <c r="A176" s="87" t="s">
        <v>2724</v>
      </c>
      <c r="K176">
        <v>156984</v>
      </c>
      <c r="Y176">
        <v>156984</v>
      </c>
    </row>
    <row r="177" spans="1:25" x14ac:dyDescent="0.25">
      <c r="A177" s="87" t="s">
        <v>2726</v>
      </c>
      <c r="K177">
        <v>98623</v>
      </c>
      <c r="Y177">
        <v>98623</v>
      </c>
    </row>
    <row r="178" spans="1:25" x14ac:dyDescent="0.25">
      <c r="A178" s="87" t="s">
        <v>113</v>
      </c>
      <c r="P178">
        <v>127427</v>
      </c>
      <c r="Y178">
        <v>127427</v>
      </c>
    </row>
    <row r="179" spans="1:25" x14ac:dyDescent="0.25">
      <c r="A179" s="87" t="s">
        <v>2266</v>
      </c>
      <c r="G179">
        <v>109064</v>
      </c>
      <c r="Y179">
        <v>109064</v>
      </c>
    </row>
    <row r="180" spans="1:25" x14ac:dyDescent="0.25">
      <c r="A180" s="87" t="s">
        <v>2818</v>
      </c>
      <c r="K180">
        <v>280613</v>
      </c>
      <c r="Y180">
        <v>280613</v>
      </c>
    </row>
    <row r="181" spans="1:25" x14ac:dyDescent="0.25">
      <c r="A181" s="87" t="s">
        <v>2495</v>
      </c>
      <c r="K181">
        <v>122786</v>
      </c>
      <c r="Y181">
        <v>122786</v>
      </c>
    </row>
    <row r="182" spans="1:25" x14ac:dyDescent="0.25">
      <c r="A182" s="87" t="s">
        <v>1040</v>
      </c>
      <c r="T182">
        <v>130594</v>
      </c>
      <c r="Y182">
        <v>130594</v>
      </c>
    </row>
    <row r="183" spans="1:25" x14ac:dyDescent="0.25">
      <c r="A183" s="87" t="s">
        <v>34</v>
      </c>
      <c r="P183">
        <v>107069</v>
      </c>
      <c r="Y183">
        <v>107069</v>
      </c>
    </row>
    <row r="184" spans="1:25" x14ac:dyDescent="0.25">
      <c r="A184" s="87" t="s">
        <v>2908</v>
      </c>
      <c r="K184">
        <v>74190</v>
      </c>
      <c r="Y184">
        <v>74190</v>
      </c>
    </row>
    <row r="185" spans="1:25" x14ac:dyDescent="0.25">
      <c r="A185" s="87" t="s">
        <v>3058</v>
      </c>
      <c r="K185">
        <v>111003</v>
      </c>
      <c r="Y185">
        <v>111003</v>
      </c>
    </row>
    <row r="186" spans="1:25" x14ac:dyDescent="0.25">
      <c r="A186" s="87" t="s">
        <v>2458</v>
      </c>
      <c r="K186">
        <v>97720</v>
      </c>
      <c r="Y186">
        <v>97720</v>
      </c>
    </row>
    <row r="187" spans="1:25" x14ac:dyDescent="0.25">
      <c r="A187" s="87" t="s">
        <v>377</v>
      </c>
      <c r="T187">
        <v>203793</v>
      </c>
      <c r="Y187">
        <v>203793</v>
      </c>
    </row>
    <row r="188" spans="1:25" x14ac:dyDescent="0.25">
      <c r="A188" s="87" t="s">
        <v>2864</v>
      </c>
      <c r="K188">
        <v>119329</v>
      </c>
      <c r="Y188">
        <v>119329</v>
      </c>
    </row>
    <row r="189" spans="1:25" x14ac:dyDescent="0.25">
      <c r="A189" s="87" t="s">
        <v>2474</v>
      </c>
      <c r="K189">
        <v>218412</v>
      </c>
      <c r="Y189">
        <v>218412</v>
      </c>
    </row>
    <row r="190" spans="1:25" x14ac:dyDescent="0.25">
      <c r="A190" s="87" t="s">
        <v>3082</v>
      </c>
      <c r="K190">
        <v>110101</v>
      </c>
      <c r="Y190">
        <v>110101</v>
      </c>
    </row>
    <row r="191" spans="1:25" x14ac:dyDescent="0.25">
      <c r="A191" s="87" t="s">
        <v>2774</v>
      </c>
      <c r="K191">
        <v>157549</v>
      </c>
      <c r="Y191">
        <v>157549</v>
      </c>
    </row>
    <row r="192" spans="1:25" x14ac:dyDescent="0.25">
      <c r="A192" s="87" t="s">
        <v>2976</v>
      </c>
      <c r="K192">
        <v>104884</v>
      </c>
      <c r="Y192">
        <v>104884</v>
      </c>
    </row>
    <row r="193" spans="1:25" x14ac:dyDescent="0.25">
      <c r="A193" s="87" t="s">
        <v>693</v>
      </c>
      <c r="T193">
        <v>115160</v>
      </c>
      <c r="Y193">
        <v>115160</v>
      </c>
    </row>
    <row r="194" spans="1:25" x14ac:dyDescent="0.25">
      <c r="A194" s="87" t="s">
        <v>538</v>
      </c>
      <c r="T194">
        <v>112085</v>
      </c>
      <c r="Y194">
        <v>112085</v>
      </c>
    </row>
    <row r="195" spans="1:25" x14ac:dyDescent="0.25">
      <c r="A195" s="87" t="s">
        <v>2743</v>
      </c>
      <c r="K195">
        <v>105493</v>
      </c>
      <c r="Y195">
        <v>105493</v>
      </c>
    </row>
    <row r="196" spans="1:25" x14ac:dyDescent="0.25">
      <c r="A196" s="87" t="s">
        <v>252</v>
      </c>
      <c r="T196">
        <v>48820</v>
      </c>
      <c r="Y196">
        <v>48820</v>
      </c>
    </row>
    <row r="197" spans="1:25" x14ac:dyDescent="0.25">
      <c r="A197" s="87" t="s">
        <v>2985</v>
      </c>
      <c r="K197">
        <v>54080</v>
      </c>
      <c r="Y197">
        <v>54080</v>
      </c>
    </row>
    <row r="198" spans="1:25" x14ac:dyDescent="0.25">
      <c r="A198" s="87" t="s">
        <v>2871</v>
      </c>
      <c r="K198">
        <v>118935</v>
      </c>
      <c r="Y198">
        <v>118935</v>
      </c>
    </row>
    <row r="199" spans="1:25" x14ac:dyDescent="0.25">
      <c r="A199" s="87" t="s">
        <v>1350</v>
      </c>
      <c r="G199">
        <v>100026</v>
      </c>
      <c r="Y199">
        <v>100026</v>
      </c>
    </row>
    <row r="200" spans="1:25" x14ac:dyDescent="0.25">
      <c r="A200" s="87" t="s">
        <v>2497</v>
      </c>
      <c r="K200">
        <v>100596</v>
      </c>
      <c r="Y200">
        <v>100596</v>
      </c>
    </row>
    <row r="201" spans="1:25" x14ac:dyDescent="0.25">
      <c r="A201" s="87" t="s">
        <v>2647</v>
      </c>
      <c r="K201">
        <v>160901</v>
      </c>
      <c r="Y201">
        <v>160901</v>
      </c>
    </row>
    <row r="202" spans="1:25" x14ac:dyDescent="0.25">
      <c r="A202" s="87" t="s">
        <v>152</v>
      </c>
      <c r="T202">
        <v>109980</v>
      </c>
      <c r="Y202">
        <v>109980</v>
      </c>
    </row>
    <row r="203" spans="1:25" x14ac:dyDescent="0.25">
      <c r="A203" s="87" t="s">
        <v>1428</v>
      </c>
      <c r="G203">
        <v>100625</v>
      </c>
      <c r="Y203">
        <v>100625</v>
      </c>
    </row>
    <row r="204" spans="1:25" x14ac:dyDescent="0.25">
      <c r="A204" s="87" t="s">
        <v>2042</v>
      </c>
      <c r="H204">
        <v>118485</v>
      </c>
      <c r="Y204">
        <v>118485</v>
      </c>
    </row>
    <row r="205" spans="1:25" x14ac:dyDescent="0.25">
      <c r="A205" s="87" t="s">
        <v>1332</v>
      </c>
      <c r="G205">
        <v>33488</v>
      </c>
      <c r="Y205">
        <v>33488</v>
      </c>
    </row>
    <row r="206" spans="1:25" x14ac:dyDescent="0.25">
      <c r="A206" s="87" t="s">
        <v>2846</v>
      </c>
      <c r="K206">
        <v>215383</v>
      </c>
      <c r="Y206">
        <v>215383</v>
      </c>
    </row>
    <row r="207" spans="1:25" x14ac:dyDescent="0.25">
      <c r="A207" s="87" t="s">
        <v>3013</v>
      </c>
      <c r="K207">
        <v>96602</v>
      </c>
      <c r="Y207">
        <v>96602</v>
      </c>
    </row>
    <row r="208" spans="1:25" x14ac:dyDescent="0.25">
      <c r="A208" s="87" t="s">
        <v>2538</v>
      </c>
      <c r="K208">
        <v>76838</v>
      </c>
      <c r="Y208">
        <v>76838</v>
      </c>
    </row>
    <row r="209" spans="1:25" x14ac:dyDescent="0.25">
      <c r="A209" s="87" t="s">
        <v>1891</v>
      </c>
      <c r="V209">
        <v>90072</v>
      </c>
      <c r="Y209">
        <v>90072</v>
      </c>
    </row>
    <row r="210" spans="1:25" x14ac:dyDescent="0.25">
      <c r="A210" s="87" t="s">
        <v>2341</v>
      </c>
      <c r="G210">
        <v>51499</v>
      </c>
      <c r="Y210">
        <v>51499</v>
      </c>
    </row>
    <row r="211" spans="1:25" x14ac:dyDescent="0.25">
      <c r="A211" s="87" t="s">
        <v>1353</v>
      </c>
      <c r="G211">
        <v>80596</v>
      </c>
      <c r="Y211">
        <v>80596</v>
      </c>
    </row>
    <row r="212" spans="1:25" x14ac:dyDescent="0.25">
      <c r="A212" s="87" t="s">
        <v>2324</v>
      </c>
      <c r="G212">
        <v>89781</v>
      </c>
      <c r="Y212">
        <v>89781</v>
      </c>
    </row>
    <row r="213" spans="1:25" x14ac:dyDescent="0.25">
      <c r="A213" s="87" t="s">
        <v>2344</v>
      </c>
      <c r="G213">
        <v>74071</v>
      </c>
      <c r="Y213">
        <v>74071</v>
      </c>
    </row>
    <row r="214" spans="1:25" x14ac:dyDescent="0.25">
      <c r="A214" s="87" t="s">
        <v>1902</v>
      </c>
      <c r="V214">
        <v>52824</v>
      </c>
      <c r="Y214">
        <v>52824</v>
      </c>
    </row>
    <row r="215" spans="1:25" x14ac:dyDescent="0.25">
      <c r="A215" s="87" t="s">
        <v>1385</v>
      </c>
      <c r="G215">
        <v>143573</v>
      </c>
      <c r="Y215">
        <v>143573</v>
      </c>
    </row>
    <row r="216" spans="1:25" x14ac:dyDescent="0.25">
      <c r="A216" s="87" t="s">
        <v>1454</v>
      </c>
      <c r="G216">
        <v>182063</v>
      </c>
      <c r="Y216">
        <v>182063</v>
      </c>
    </row>
    <row r="217" spans="1:25" x14ac:dyDescent="0.25">
      <c r="A217" s="87" t="s">
        <v>2994</v>
      </c>
      <c r="K217">
        <v>110008</v>
      </c>
      <c r="Y217">
        <v>110008</v>
      </c>
    </row>
    <row r="218" spans="1:25" x14ac:dyDescent="0.25">
      <c r="A218" s="87" t="s">
        <v>2413</v>
      </c>
      <c r="V218">
        <v>58013</v>
      </c>
      <c r="Y218">
        <v>58013</v>
      </c>
    </row>
    <row r="219" spans="1:25" x14ac:dyDescent="0.25">
      <c r="A219" s="87" t="s">
        <v>3107</v>
      </c>
      <c r="K219">
        <v>121682</v>
      </c>
      <c r="Y219">
        <v>121682</v>
      </c>
    </row>
    <row r="220" spans="1:25" x14ac:dyDescent="0.25">
      <c r="A220" s="87" t="s">
        <v>2787</v>
      </c>
      <c r="K220">
        <v>100584</v>
      </c>
      <c r="Y220">
        <v>100584</v>
      </c>
    </row>
    <row r="221" spans="1:25" x14ac:dyDescent="0.25">
      <c r="A221" s="87" t="s">
        <v>2354</v>
      </c>
      <c r="G221">
        <v>209215</v>
      </c>
      <c r="Y221">
        <v>209215</v>
      </c>
    </row>
    <row r="222" spans="1:25" x14ac:dyDescent="0.25">
      <c r="A222" s="87" t="s">
        <v>2469</v>
      </c>
      <c r="K222">
        <v>135009</v>
      </c>
      <c r="Y222">
        <v>135009</v>
      </c>
    </row>
    <row r="223" spans="1:25" x14ac:dyDescent="0.25">
      <c r="A223" s="87" t="s">
        <v>3089</v>
      </c>
      <c r="K223">
        <v>92123</v>
      </c>
      <c r="Y223">
        <v>92123</v>
      </c>
    </row>
    <row r="224" spans="1:25" x14ac:dyDescent="0.25">
      <c r="A224" s="87" t="s">
        <v>2878</v>
      </c>
      <c r="K224">
        <v>69532</v>
      </c>
      <c r="Y224">
        <v>69532</v>
      </c>
    </row>
    <row r="225" spans="1:25" x14ac:dyDescent="0.25">
      <c r="A225" s="87" t="s">
        <v>2314</v>
      </c>
      <c r="G225">
        <v>86478</v>
      </c>
      <c r="Y225">
        <v>86478</v>
      </c>
    </row>
    <row r="226" spans="1:25" x14ac:dyDescent="0.25">
      <c r="A226" s="87" t="s">
        <v>1107</v>
      </c>
      <c r="H226">
        <v>96000</v>
      </c>
      <c r="Y226">
        <v>96000</v>
      </c>
    </row>
    <row r="227" spans="1:25" x14ac:dyDescent="0.25">
      <c r="A227" s="87" t="s">
        <v>2906</v>
      </c>
      <c r="K227">
        <v>180078</v>
      </c>
      <c r="Y227">
        <v>180078</v>
      </c>
    </row>
    <row r="228" spans="1:25" x14ac:dyDescent="0.25">
      <c r="A228" s="87" t="s">
        <v>1549</v>
      </c>
      <c r="G228">
        <v>28516</v>
      </c>
      <c r="Y228">
        <v>28516</v>
      </c>
    </row>
    <row r="229" spans="1:25" x14ac:dyDescent="0.25">
      <c r="A229" s="87" t="s">
        <v>2603</v>
      </c>
      <c r="K229">
        <v>80106</v>
      </c>
      <c r="Y229">
        <v>80106</v>
      </c>
    </row>
    <row r="230" spans="1:25" x14ac:dyDescent="0.25">
      <c r="A230" s="87" t="s">
        <v>3105</v>
      </c>
      <c r="K230">
        <v>101707</v>
      </c>
      <c r="Y230">
        <v>101707</v>
      </c>
    </row>
    <row r="231" spans="1:25" x14ac:dyDescent="0.25">
      <c r="A231" s="87" t="s">
        <v>3051</v>
      </c>
      <c r="K231">
        <v>87997</v>
      </c>
      <c r="Y231">
        <v>87997</v>
      </c>
    </row>
    <row r="232" spans="1:25" x14ac:dyDescent="0.25">
      <c r="A232" s="87" t="s">
        <v>2627</v>
      </c>
      <c r="K232">
        <v>100555</v>
      </c>
      <c r="Y232">
        <v>100555</v>
      </c>
    </row>
    <row r="233" spans="1:25" x14ac:dyDescent="0.25">
      <c r="A233" s="87" t="s">
        <v>2171</v>
      </c>
      <c r="H233">
        <v>153536</v>
      </c>
      <c r="K233">
        <v>116494</v>
      </c>
      <c r="Y233">
        <v>270030</v>
      </c>
    </row>
    <row r="234" spans="1:25" x14ac:dyDescent="0.25">
      <c r="A234" s="87" t="s">
        <v>2330</v>
      </c>
      <c r="G234">
        <v>69503</v>
      </c>
      <c r="Y234">
        <v>69503</v>
      </c>
    </row>
    <row r="235" spans="1:25" x14ac:dyDescent="0.25">
      <c r="A235" s="87" t="s">
        <v>2551</v>
      </c>
      <c r="K235">
        <v>119114</v>
      </c>
      <c r="Y235">
        <v>119114</v>
      </c>
    </row>
    <row r="236" spans="1:25" x14ac:dyDescent="0.25">
      <c r="A236" s="87" t="s">
        <v>2999</v>
      </c>
      <c r="K236">
        <v>72195</v>
      </c>
      <c r="Y236">
        <v>72195</v>
      </c>
    </row>
    <row r="237" spans="1:25" x14ac:dyDescent="0.25">
      <c r="A237" s="87" t="s">
        <v>2518</v>
      </c>
      <c r="K237">
        <v>121681</v>
      </c>
      <c r="Y237">
        <v>121681</v>
      </c>
    </row>
    <row r="238" spans="1:25" x14ac:dyDescent="0.25">
      <c r="A238" s="87" t="s">
        <v>564</v>
      </c>
      <c r="T238">
        <v>333843</v>
      </c>
      <c r="Y238">
        <v>333843</v>
      </c>
    </row>
    <row r="239" spans="1:25" x14ac:dyDescent="0.25">
      <c r="A239" s="87" t="s">
        <v>1025</v>
      </c>
      <c r="T239">
        <v>86450</v>
      </c>
      <c r="Y239">
        <v>86450</v>
      </c>
    </row>
    <row r="240" spans="1:25" x14ac:dyDescent="0.25">
      <c r="A240" s="87" t="s">
        <v>2531</v>
      </c>
      <c r="K240">
        <v>171823</v>
      </c>
      <c r="Y240">
        <v>171823</v>
      </c>
    </row>
    <row r="241" spans="1:25" x14ac:dyDescent="0.25">
      <c r="A241" s="87" t="s">
        <v>908</v>
      </c>
      <c r="T241">
        <v>203793</v>
      </c>
      <c r="Y241">
        <v>203793</v>
      </c>
    </row>
    <row r="242" spans="1:25" x14ac:dyDescent="0.25">
      <c r="A242" s="87" t="s">
        <v>1478</v>
      </c>
      <c r="G242">
        <v>131164</v>
      </c>
      <c r="Y242">
        <v>131164</v>
      </c>
    </row>
    <row r="243" spans="1:25" x14ac:dyDescent="0.25">
      <c r="A243" s="87" t="s">
        <v>1522</v>
      </c>
      <c r="G243">
        <v>61835</v>
      </c>
      <c r="Y243">
        <v>61835</v>
      </c>
    </row>
    <row r="244" spans="1:25" x14ac:dyDescent="0.25">
      <c r="A244" s="87" t="s">
        <v>3053</v>
      </c>
      <c r="K244">
        <v>143565</v>
      </c>
      <c r="Y244">
        <v>143565</v>
      </c>
    </row>
    <row r="245" spans="1:25" x14ac:dyDescent="0.25">
      <c r="A245" s="87" t="s">
        <v>2500</v>
      </c>
      <c r="K245">
        <v>118908</v>
      </c>
      <c r="Y245">
        <v>118908</v>
      </c>
    </row>
    <row r="246" spans="1:25" x14ac:dyDescent="0.25">
      <c r="A246" s="87" t="s">
        <v>2549</v>
      </c>
      <c r="K246">
        <v>28800</v>
      </c>
      <c r="Y246">
        <v>28800</v>
      </c>
    </row>
    <row r="247" spans="1:25" x14ac:dyDescent="0.25">
      <c r="A247" s="87" t="s">
        <v>2339</v>
      </c>
      <c r="G247">
        <v>77468</v>
      </c>
      <c r="Y247">
        <v>77468</v>
      </c>
    </row>
    <row r="248" spans="1:25" x14ac:dyDescent="0.25">
      <c r="A248" s="87" t="s">
        <v>735</v>
      </c>
      <c r="T248">
        <v>270429</v>
      </c>
      <c r="Y248">
        <v>270429</v>
      </c>
    </row>
    <row r="249" spans="1:25" x14ac:dyDescent="0.25">
      <c r="A249" s="87" t="s">
        <v>1740</v>
      </c>
      <c r="H249">
        <v>243554</v>
      </c>
      <c r="Y249">
        <v>243554</v>
      </c>
    </row>
    <row r="250" spans="1:25" x14ac:dyDescent="0.25">
      <c r="A250" s="87" t="s">
        <v>1516</v>
      </c>
      <c r="G250">
        <v>74762</v>
      </c>
      <c r="Y250">
        <v>74762</v>
      </c>
    </row>
    <row r="251" spans="1:25" x14ac:dyDescent="0.25">
      <c r="A251" s="87" t="s">
        <v>1393</v>
      </c>
      <c r="G251">
        <v>56360</v>
      </c>
      <c r="Y251">
        <v>56360</v>
      </c>
    </row>
    <row r="252" spans="1:25" x14ac:dyDescent="0.25">
      <c r="A252" s="87" t="s">
        <v>2576</v>
      </c>
      <c r="K252">
        <v>126158</v>
      </c>
      <c r="Y252">
        <v>126158</v>
      </c>
    </row>
    <row r="253" spans="1:25" x14ac:dyDescent="0.25">
      <c r="A253" s="87" t="s">
        <v>161</v>
      </c>
      <c r="T253">
        <v>143517</v>
      </c>
      <c r="Y253">
        <v>143517</v>
      </c>
    </row>
    <row r="254" spans="1:25" x14ac:dyDescent="0.25">
      <c r="A254" s="87" t="s">
        <v>1813</v>
      </c>
      <c r="B254">
        <v>365681</v>
      </c>
      <c r="Y254">
        <v>365681</v>
      </c>
    </row>
    <row r="255" spans="1:25" x14ac:dyDescent="0.25">
      <c r="A255" s="87" t="s">
        <v>1730</v>
      </c>
      <c r="V255">
        <v>434352</v>
      </c>
      <c r="Y255">
        <v>434352</v>
      </c>
    </row>
    <row r="256" spans="1:25" x14ac:dyDescent="0.25">
      <c r="A256" s="87" t="s">
        <v>1691</v>
      </c>
      <c r="H256">
        <v>667689</v>
      </c>
      <c r="Y256">
        <v>667689</v>
      </c>
    </row>
    <row r="257" spans="1:25" x14ac:dyDescent="0.25">
      <c r="A257" s="87" t="s">
        <v>982</v>
      </c>
      <c r="T257">
        <v>189835</v>
      </c>
      <c r="Y257">
        <v>189835</v>
      </c>
    </row>
    <row r="258" spans="1:25" x14ac:dyDescent="0.25">
      <c r="A258" s="87" t="s">
        <v>2732</v>
      </c>
      <c r="K258">
        <v>55049</v>
      </c>
      <c r="Y258">
        <v>55049</v>
      </c>
    </row>
    <row r="259" spans="1:25" x14ac:dyDescent="0.25">
      <c r="A259" s="87" t="s">
        <v>1372</v>
      </c>
      <c r="G259">
        <v>85439</v>
      </c>
      <c r="Y259">
        <v>85439</v>
      </c>
    </row>
    <row r="260" spans="1:25" x14ac:dyDescent="0.25">
      <c r="A260" s="87" t="s">
        <v>2126</v>
      </c>
      <c r="H260">
        <v>209133</v>
      </c>
      <c r="Y260">
        <v>209133</v>
      </c>
    </row>
    <row r="261" spans="1:25" x14ac:dyDescent="0.25">
      <c r="A261" s="87" t="s">
        <v>1766</v>
      </c>
    </row>
    <row r="262" spans="1:25" x14ac:dyDescent="0.25">
      <c r="A262" s="87" t="s">
        <v>1552</v>
      </c>
    </row>
    <row r="263" spans="1:25" x14ac:dyDescent="0.25">
      <c r="A263" s="87" t="s">
        <v>1260</v>
      </c>
      <c r="G263">
        <v>62654</v>
      </c>
      <c r="Y263">
        <v>62654</v>
      </c>
    </row>
    <row r="264" spans="1:25" x14ac:dyDescent="0.25">
      <c r="A264" s="87" t="s">
        <v>2202</v>
      </c>
      <c r="H264">
        <v>176371</v>
      </c>
      <c r="Y264">
        <v>176371</v>
      </c>
    </row>
    <row r="265" spans="1:25" x14ac:dyDescent="0.25">
      <c r="A265" s="87" t="s">
        <v>2237</v>
      </c>
      <c r="V265">
        <v>42376</v>
      </c>
      <c r="Y265">
        <v>42376</v>
      </c>
    </row>
    <row r="266" spans="1:25" x14ac:dyDescent="0.25">
      <c r="A266" s="87" t="s">
        <v>1882</v>
      </c>
      <c r="H266">
        <v>1231312</v>
      </c>
      <c r="Y266">
        <v>1231312</v>
      </c>
    </row>
    <row r="267" spans="1:25" x14ac:dyDescent="0.25">
      <c r="A267" s="87" t="s">
        <v>2293</v>
      </c>
      <c r="G267">
        <v>96217</v>
      </c>
      <c r="Y267">
        <v>96217</v>
      </c>
    </row>
    <row r="268" spans="1:25" x14ac:dyDescent="0.25">
      <c r="A268" s="87" t="s">
        <v>561</v>
      </c>
      <c r="T268">
        <v>235733</v>
      </c>
      <c r="Y268">
        <v>235733</v>
      </c>
    </row>
    <row r="269" spans="1:25" x14ac:dyDescent="0.25">
      <c r="A269" s="87" t="s">
        <v>469</v>
      </c>
      <c r="T269">
        <v>154130</v>
      </c>
      <c r="Y269">
        <v>154130</v>
      </c>
    </row>
    <row r="270" spans="1:25" x14ac:dyDescent="0.25">
      <c r="A270" s="87" t="s">
        <v>431</v>
      </c>
      <c r="T270">
        <v>431853</v>
      </c>
      <c r="Y270">
        <v>431853</v>
      </c>
    </row>
    <row r="271" spans="1:25" x14ac:dyDescent="0.25">
      <c r="A271" s="87" t="s">
        <v>140</v>
      </c>
      <c r="T271">
        <v>71125</v>
      </c>
      <c r="Y271">
        <v>71125</v>
      </c>
    </row>
    <row r="272" spans="1:25" x14ac:dyDescent="0.25">
      <c r="A272" s="87" t="s">
        <v>2011</v>
      </c>
      <c r="H272">
        <v>101473</v>
      </c>
      <c r="Y272">
        <v>101473</v>
      </c>
    </row>
    <row r="273" spans="1:25" x14ac:dyDescent="0.25">
      <c r="A273" s="87" t="s">
        <v>2562</v>
      </c>
      <c r="K273">
        <v>73022</v>
      </c>
      <c r="Y273">
        <v>73022</v>
      </c>
    </row>
    <row r="274" spans="1:25" x14ac:dyDescent="0.25">
      <c r="A274" s="87" t="s">
        <v>1857</v>
      </c>
      <c r="H274">
        <v>468134</v>
      </c>
      <c r="Y274">
        <v>468134</v>
      </c>
    </row>
    <row r="275" spans="1:25" x14ac:dyDescent="0.25">
      <c r="A275" s="87" t="s">
        <v>2226</v>
      </c>
      <c r="H275">
        <v>112460</v>
      </c>
      <c r="Y275">
        <v>112460</v>
      </c>
    </row>
    <row r="276" spans="1:25" x14ac:dyDescent="0.25">
      <c r="A276" s="87" t="s">
        <v>41</v>
      </c>
      <c r="T276">
        <v>58504</v>
      </c>
      <c r="Y276">
        <v>58504</v>
      </c>
    </row>
    <row r="277" spans="1:25" x14ac:dyDescent="0.25">
      <c r="A277" s="87" t="s">
        <v>1713</v>
      </c>
      <c r="H277">
        <v>421991</v>
      </c>
      <c r="Y277">
        <v>421991</v>
      </c>
    </row>
    <row r="278" spans="1:25" x14ac:dyDescent="0.25">
      <c r="A278" s="87" t="s">
        <v>2401</v>
      </c>
      <c r="H278">
        <v>132248</v>
      </c>
      <c r="Y278">
        <v>132248</v>
      </c>
    </row>
    <row r="279" spans="1:25" x14ac:dyDescent="0.25">
      <c r="A279" s="87" t="s">
        <v>1898</v>
      </c>
      <c r="H279">
        <v>178915</v>
      </c>
      <c r="Y279">
        <v>178915</v>
      </c>
    </row>
    <row r="280" spans="1:25" x14ac:dyDescent="0.25">
      <c r="A280" s="87" t="s">
        <v>932</v>
      </c>
      <c r="T280">
        <v>56858</v>
      </c>
      <c r="Y280">
        <v>56858</v>
      </c>
    </row>
    <row r="281" spans="1:25" x14ac:dyDescent="0.25">
      <c r="A281" s="87" t="s">
        <v>436</v>
      </c>
      <c r="T281">
        <v>270429</v>
      </c>
      <c r="Y281">
        <v>270429</v>
      </c>
    </row>
    <row r="282" spans="1:25" x14ac:dyDescent="0.25">
      <c r="A282" s="87" t="s">
        <v>1689</v>
      </c>
      <c r="H282">
        <v>303342</v>
      </c>
      <c r="Y282">
        <v>303342</v>
      </c>
    </row>
    <row r="283" spans="1:25" x14ac:dyDescent="0.25">
      <c r="A283" s="87" t="s">
        <v>1561</v>
      </c>
      <c r="H283">
        <v>45775</v>
      </c>
      <c r="Y283">
        <v>45775</v>
      </c>
    </row>
    <row r="284" spans="1:25" x14ac:dyDescent="0.25">
      <c r="A284" s="87" t="s">
        <v>281</v>
      </c>
      <c r="P284">
        <v>277784</v>
      </c>
      <c r="Y284">
        <v>277784</v>
      </c>
    </row>
    <row r="285" spans="1:25" x14ac:dyDescent="0.25">
      <c r="A285" s="87" t="s">
        <v>1076</v>
      </c>
      <c r="V285">
        <v>131914</v>
      </c>
      <c r="Y285">
        <v>131914</v>
      </c>
    </row>
    <row r="286" spans="1:25" x14ac:dyDescent="0.25">
      <c r="A286" s="87" t="s">
        <v>2608</v>
      </c>
      <c r="K286">
        <v>281760</v>
      </c>
      <c r="Y286">
        <v>281760</v>
      </c>
    </row>
    <row r="287" spans="1:25" x14ac:dyDescent="0.25">
      <c r="A287" s="87" t="s">
        <v>2901</v>
      </c>
      <c r="K287">
        <v>142296</v>
      </c>
      <c r="Y287">
        <v>142296</v>
      </c>
    </row>
    <row r="288" spans="1:25" x14ac:dyDescent="0.25">
      <c r="A288" s="87" t="s">
        <v>2427</v>
      </c>
      <c r="K288">
        <v>51469</v>
      </c>
      <c r="Y288">
        <v>51469</v>
      </c>
    </row>
    <row r="289" spans="1:25" x14ac:dyDescent="0.25">
      <c r="A289" s="87" t="s">
        <v>2102</v>
      </c>
      <c r="H289">
        <v>58295</v>
      </c>
      <c r="Y289">
        <v>58295</v>
      </c>
    </row>
    <row r="290" spans="1:25" x14ac:dyDescent="0.25">
      <c r="A290" s="87" t="s">
        <v>2124</v>
      </c>
    </row>
    <row r="291" spans="1:25" x14ac:dyDescent="0.25">
      <c r="A291" s="87" t="s">
        <v>230</v>
      </c>
      <c r="P291">
        <v>404995</v>
      </c>
      <c r="Y291">
        <v>404995</v>
      </c>
    </row>
    <row r="292" spans="1:25" x14ac:dyDescent="0.25">
      <c r="A292" s="87" t="s">
        <v>1876</v>
      </c>
      <c r="H292">
        <v>290520</v>
      </c>
      <c r="Y292">
        <v>290520</v>
      </c>
    </row>
    <row r="293" spans="1:25" x14ac:dyDescent="0.25">
      <c r="A293" s="87" t="s">
        <v>912</v>
      </c>
      <c r="P293">
        <v>106786</v>
      </c>
      <c r="Y293">
        <v>106786</v>
      </c>
    </row>
    <row r="294" spans="1:25" x14ac:dyDescent="0.25">
      <c r="A294" s="87" t="s">
        <v>2761</v>
      </c>
      <c r="K294">
        <v>69191</v>
      </c>
      <c r="Y294">
        <v>69191</v>
      </c>
    </row>
    <row r="295" spans="1:25" x14ac:dyDescent="0.25">
      <c r="A295" s="87" t="s">
        <v>2425</v>
      </c>
      <c r="K295">
        <v>523456</v>
      </c>
      <c r="Y295">
        <v>523456</v>
      </c>
    </row>
    <row r="296" spans="1:25" x14ac:dyDescent="0.25">
      <c r="A296" s="87" t="s">
        <v>2479</v>
      </c>
      <c r="K296">
        <v>62403</v>
      </c>
      <c r="Y296">
        <v>62403</v>
      </c>
    </row>
    <row r="297" spans="1:25" x14ac:dyDescent="0.25">
      <c r="A297" s="87" t="s">
        <v>2560</v>
      </c>
    </row>
    <row r="298" spans="1:25" x14ac:dyDescent="0.25">
      <c r="A298" s="87" t="s">
        <v>2764</v>
      </c>
      <c r="K298">
        <v>146655</v>
      </c>
      <c r="Y298">
        <v>146655</v>
      </c>
    </row>
    <row r="299" spans="1:25" x14ac:dyDescent="0.25">
      <c r="A299" s="87" t="s">
        <v>3006</v>
      </c>
      <c r="K299">
        <v>157511</v>
      </c>
      <c r="Y299">
        <v>157511</v>
      </c>
    </row>
    <row r="300" spans="1:25" x14ac:dyDescent="0.25">
      <c r="A300" s="87" t="s">
        <v>2655</v>
      </c>
      <c r="K300">
        <v>77441</v>
      </c>
      <c r="Y300">
        <v>77441</v>
      </c>
    </row>
    <row r="301" spans="1:25" x14ac:dyDescent="0.25">
      <c r="A301" s="87" t="s">
        <v>2521</v>
      </c>
      <c r="K301">
        <v>228908</v>
      </c>
      <c r="Y301">
        <v>228908</v>
      </c>
    </row>
    <row r="302" spans="1:25" x14ac:dyDescent="0.25">
      <c r="A302" s="87" t="s">
        <v>2657</v>
      </c>
      <c r="K302">
        <v>86474</v>
      </c>
      <c r="Y302">
        <v>86474</v>
      </c>
    </row>
    <row r="303" spans="1:25" x14ac:dyDescent="0.25">
      <c r="A303" s="87" t="s">
        <v>1727</v>
      </c>
      <c r="H303">
        <v>217224</v>
      </c>
      <c r="Y303">
        <v>217224</v>
      </c>
    </row>
    <row r="304" spans="1:25" x14ac:dyDescent="0.25">
      <c r="A304" s="87" t="s">
        <v>1803</v>
      </c>
      <c r="H304">
        <v>373025</v>
      </c>
      <c r="Y304">
        <v>373025</v>
      </c>
    </row>
    <row r="305" spans="1:25" x14ac:dyDescent="0.25">
      <c r="A305" s="87" t="s">
        <v>1738</v>
      </c>
      <c r="H305">
        <v>725626</v>
      </c>
      <c r="Y305">
        <v>725626</v>
      </c>
    </row>
    <row r="306" spans="1:25" x14ac:dyDescent="0.25">
      <c r="A306" s="87" t="s">
        <v>1693</v>
      </c>
      <c r="H306">
        <v>323942</v>
      </c>
      <c r="Y306">
        <v>323942</v>
      </c>
    </row>
    <row r="307" spans="1:25" x14ac:dyDescent="0.25">
      <c r="A307" s="87" t="s">
        <v>2019</v>
      </c>
      <c r="H307">
        <v>81128</v>
      </c>
      <c r="Y307">
        <v>81128</v>
      </c>
    </row>
    <row r="308" spans="1:25" x14ac:dyDescent="0.25">
      <c r="A308" s="87" t="s">
        <v>1582</v>
      </c>
      <c r="H308">
        <v>56390</v>
      </c>
      <c r="Y308">
        <v>56390</v>
      </c>
    </row>
    <row r="309" spans="1:25" x14ac:dyDescent="0.25">
      <c r="A309" s="87" t="s">
        <v>2152</v>
      </c>
      <c r="H309">
        <v>118900</v>
      </c>
      <c r="Y309">
        <v>118900</v>
      </c>
    </row>
    <row r="310" spans="1:25" x14ac:dyDescent="0.25">
      <c r="A310" s="87" t="s">
        <v>1818</v>
      </c>
      <c r="V310">
        <v>274079</v>
      </c>
      <c r="Y310">
        <v>274079</v>
      </c>
    </row>
    <row r="311" spans="1:25" x14ac:dyDescent="0.25">
      <c r="A311" s="87" t="s">
        <v>2096</v>
      </c>
      <c r="H311">
        <v>131573</v>
      </c>
      <c r="Y311">
        <v>131573</v>
      </c>
    </row>
    <row r="312" spans="1:25" x14ac:dyDescent="0.25">
      <c r="A312" s="87" t="s">
        <v>1526</v>
      </c>
      <c r="G312">
        <v>113524</v>
      </c>
      <c r="Y312">
        <v>113524</v>
      </c>
    </row>
    <row r="313" spans="1:25" x14ac:dyDescent="0.25">
      <c r="A313" s="87" t="s">
        <v>686</v>
      </c>
      <c r="T313">
        <v>120677</v>
      </c>
      <c r="Y313">
        <v>120677</v>
      </c>
    </row>
    <row r="314" spans="1:25" x14ac:dyDescent="0.25">
      <c r="A314" s="87" t="s">
        <v>1190</v>
      </c>
    </row>
    <row r="315" spans="1:25" x14ac:dyDescent="0.25">
      <c r="A315" s="87" t="s">
        <v>3066</v>
      </c>
      <c r="K315">
        <v>56365</v>
      </c>
      <c r="Y315">
        <v>56365</v>
      </c>
    </row>
    <row r="316" spans="1:25" x14ac:dyDescent="0.25">
      <c r="A316" s="87" t="s">
        <v>1202</v>
      </c>
      <c r="H316">
        <v>54728</v>
      </c>
      <c r="Y316">
        <v>54728</v>
      </c>
    </row>
    <row r="317" spans="1:25" x14ac:dyDescent="0.25">
      <c r="A317" s="87" t="s">
        <v>3045</v>
      </c>
      <c r="K317">
        <v>100785</v>
      </c>
      <c r="Y317">
        <v>100785</v>
      </c>
    </row>
    <row r="318" spans="1:25" x14ac:dyDescent="0.25">
      <c r="A318" s="87" t="s">
        <v>2722</v>
      </c>
      <c r="K318">
        <v>161635</v>
      </c>
      <c r="Y318">
        <v>161635</v>
      </c>
    </row>
    <row r="319" spans="1:25" x14ac:dyDescent="0.25">
      <c r="A319" s="87" t="s">
        <v>2641</v>
      </c>
      <c r="K319">
        <v>143639</v>
      </c>
      <c r="Y319">
        <v>143639</v>
      </c>
    </row>
    <row r="320" spans="1:25" x14ac:dyDescent="0.25">
      <c r="A320" s="87" t="s">
        <v>1267</v>
      </c>
      <c r="G320">
        <v>146585</v>
      </c>
      <c r="Y320">
        <v>146585</v>
      </c>
    </row>
    <row r="321" spans="1:25" x14ac:dyDescent="0.25">
      <c r="A321" s="87" t="s">
        <v>2745</v>
      </c>
      <c r="K321">
        <v>83117</v>
      </c>
      <c r="Y321">
        <v>83117</v>
      </c>
    </row>
    <row r="322" spans="1:25" x14ac:dyDescent="0.25">
      <c r="A322" s="87" t="s">
        <v>1121</v>
      </c>
      <c r="H322">
        <v>194216</v>
      </c>
      <c r="Y322">
        <v>194216</v>
      </c>
    </row>
    <row r="323" spans="1:25" x14ac:dyDescent="0.25">
      <c r="A323" s="87" t="s">
        <v>1136</v>
      </c>
      <c r="H323">
        <v>112690</v>
      </c>
      <c r="Y323">
        <v>112690</v>
      </c>
    </row>
    <row r="324" spans="1:25" x14ac:dyDescent="0.25">
      <c r="A324" s="87" t="s">
        <v>1796</v>
      </c>
      <c r="H324">
        <v>57602</v>
      </c>
      <c r="Y324">
        <v>57602</v>
      </c>
    </row>
    <row r="325" spans="1:25" x14ac:dyDescent="0.25">
      <c r="A325" s="87" t="s">
        <v>628</v>
      </c>
      <c r="T325">
        <v>102196</v>
      </c>
      <c r="Y325">
        <v>102196</v>
      </c>
    </row>
    <row r="326" spans="1:25" x14ac:dyDescent="0.25">
      <c r="A326" s="87" t="s">
        <v>2534</v>
      </c>
    </row>
    <row r="327" spans="1:25" x14ac:dyDescent="0.25">
      <c r="A327" s="87" t="s">
        <v>1704</v>
      </c>
      <c r="H327">
        <v>304640</v>
      </c>
      <c r="Y327">
        <v>304640</v>
      </c>
    </row>
    <row r="328" spans="1:25" x14ac:dyDescent="0.25">
      <c r="A328" s="87" t="s">
        <v>1675</v>
      </c>
      <c r="V328">
        <v>48456</v>
      </c>
      <c r="Y328">
        <v>48456</v>
      </c>
    </row>
    <row r="329" spans="1:25" x14ac:dyDescent="0.25">
      <c r="A329" s="87" t="s">
        <v>1323</v>
      </c>
      <c r="V329">
        <v>251934</v>
      </c>
      <c r="Y329">
        <v>251934</v>
      </c>
    </row>
    <row r="330" spans="1:25" x14ac:dyDescent="0.25">
      <c r="A330" s="87" t="s">
        <v>1225</v>
      </c>
      <c r="V330">
        <v>178351</v>
      </c>
      <c r="Y330">
        <v>178351</v>
      </c>
    </row>
    <row r="331" spans="1:25" x14ac:dyDescent="0.25">
      <c r="A331" s="87" t="s">
        <v>2589</v>
      </c>
      <c r="K331">
        <v>474728</v>
      </c>
      <c r="Y331">
        <v>474728</v>
      </c>
    </row>
    <row r="332" spans="1:25" x14ac:dyDescent="0.25">
      <c r="A332" s="87" t="s">
        <v>1860</v>
      </c>
      <c r="H332">
        <v>58235</v>
      </c>
      <c r="Y332">
        <v>58235</v>
      </c>
    </row>
    <row r="333" spans="1:25" x14ac:dyDescent="0.25">
      <c r="A333" s="87" t="s">
        <v>1579</v>
      </c>
      <c r="H333">
        <v>35470</v>
      </c>
      <c r="Y333">
        <v>35470</v>
      </c>
    </row>
    <row r="334" spans="1:25" x14ac:dyDescent="0.25">
      <c r="A334" s="87" t="s">
        <v>489</v>
      </c>
    </row>
    <row r="335" spans="1:25" x14ac:dyDescent="0.25">
      <c r="A335" s="87" t="s">
        <v>1905</v>
      </c>
      <c r="H335">
        <v>88044</v>
      </c>
      <c r="Y335">
        <v>88044</v>
      </c>
    </row>
    <row r="336" spans="1:25" x14ac:dyDescent="0.25">
      <c r="A336" s="87" t="s">
        <v>961</v>
      </c>
      <c r="T336">
        <v>90293</v>
      </c>
      <c r="Y336">
        <v>90293</v>
      </c>
    </row>
    <row r="337" spans="1:25" x14ac:dyDescent="0.25">
      <c r="A337" s="87" t="s">
        <v>1800</v>
      </c>
      <c r="H337">
        <v>555147</v>
      </c>
      <c r="Y337">
        <v>555147</v>
      </c>
    </row>
    <row r="338" spans="1:25" x14ac:dyDescent="0.25">
      <c r="A338" s="87" t="s">
        <v>102</v>
      </c>
      <c r="T338">
        <v>133858</v>
      </c>
      <c r="Y338">
        <v>133858</v>
      </c>
    </row>
    <row r="339" spans="1:25" x14ac:dyDescent="0.25">
      <c r="A339" s="87" t="s">
        <v>184</v>
      </c>
      <c r="T339">
        <v>83160</v>
      </c>
      <c r="Y339">
        <v>83160</v>
      </c>
    </row>
    <row r="340" spans="1:25" x14ac:dyDescent="0.25">
      <c r="A340" s="87" t="s">
        <v>32</v>
      </c>
      <c r="T340">
        <v>100034</v>
      </c>
      <c r="Y340">
        <v>100034</v>
      </c>
    </row>
    <row r="341" spans="1:25" x14ac:dyDescent="0.25">
      <c r="A341" s="87" t="s">
        <v>1116</v>
      </c>
      <c r="V341">
        <v>60997</v>
      </c>
      <c r="Y341">
        <v>60997</v>
      </c>
    </row>
    <row r="342" spans="1:25" x14ac:dyDescent="0.25">
      <c r="A342" s="87" t="s">
        <v>2129</v>
      </c>
      <c r="H342">
        <v>42980</v>
      </c>
      <c r="Y342">
        <v>42980</v>
      </c>
    </row>
    <row r="343" spans="1:25" x14ac:dyDescent="0.25">
      <c r="A343" s="87" t="s">
        <v>70</v>
      </c>
      <c r="T343">
        <v>421751</v>
      </c>
      <c r="Y343">
        <v>421751</v>
      </c>
    </row>
    <row r="344" spans="1:25" x14ac:dyDescent="0.25">
      <c r="A344" s="87" t="s">
        <v>324</v>
      </c>
      <c r="T344">
        <v>445438</v>
      </c>
      <c r="Y344">
        <v>445438</v>
      </c>
    </row>
    <row r="345" spans="1:25" x14ac:dyDescent="0.25">
      <c r="A345" s="87" t="s">
        <v>2833</v>
      </c>
      <c r="K345">
        <v>58486</v>
      </c>
      <c r="Y345">
        <v>58486</v>
      </c>
    </row>
    <row r="346" spans="1:25" x14ac:dyDescent="0.25">
      <c r="A346" s="87" t="s">
        <v>1607</v>
      </c>
      <c r="B346">
        <v>672816</v>
      </c>
      <c r="Y346">
        <v>672816</v>
      </c>
    </row>
    <row r="347" spans="1:25" x14ac:dyDescent="0.25">
      <c r="A347" s="87" t="s">
        <v>1476</v>
      </c>
      <c r="G347">
        <v>148872</v>
      </c>
      <c r="Y347">
        <v>148872</v>
      </c>
    </row>
    <row r="348" spans="1:25" x14ac:dyDescent="0.25">
      <c r="A348" s="87" t="s">
        <v>2512</v>
      </c>
      <c r="K348">
        <v>110866</v>
      </c>
      <c r="Y348">
        <v>110866</v>
      </c>
    </row>
    <row r="349" spans="1:25" x14ac:dyDescent="0.25">
      <c r="A349" s="87" t="s">
        <v>1874</v>
      </c>
      <c r="H349">
        <v>86919</v>
      </c>
      <c r="Y349">
        <v>86919</v>
      </c>
    </row>
    <row r="350" spans="1:25" x14ac:dyDescent="0.25">
      <c r="A350" s="87" t="s">
        <v>2174</v>
      </c>
      <c r="H350">
        <v>143789</v>
      </c>
      <c r="Y350">
        <v>143789</v>
      </c>
    </row>
    <row r="351" spans="1:25" x14ac:dyDescent="0.25">
      <c r="A351" s="87" t="s">
        <v>1745</v>
      </c>
      <c r="H351">
        <v>193320</v>
      </c>
      <c r="Y351">
        <v>193320</v>
      </c>
    </row>
    <row r="352" spans="1:25" x14ac:dyDescent="0.25">
      <c r="A352" s="87" t="s">
        <v>1144</v>
      </c>
      <c r="H352">
        <v>124052</v>
      </c>
      <c r="Y352">
        <v>124052</v>
      </c>
    </row>
    <row r="353" spans="1:25" x14ac:dyDescent="0.25">
      <c r="A353" s="87" t="s">
        <v>1627</v>
      </c>
      <c r="H353">
        <v>49626</v>
      </c>
      <c r="Y353">
        <v>49626</v>
      </c>
    </row>
    <row r="354" spans="1:25" x14ac:dyDescent="0.25">
      <c r="A354" s="87" t="s">
        <v>1660</v>
      </c>
      <c r="H354">
        <v>63003</v>
      </c>
      <c r="Y354">
        <v>63003</v>
      </c>
    </row>
    <row r="355" spans="1:25" x14ac:dyDescent="0.25">
      <c r="A355" s="87" t="s">
        <v>1161</v>
      </c>
      <c r="H355">
        <v>2132925</v>
      </c>
      <c r="Y355">
        <v>2132925</v>
      </c>
    </row>
    <row r="356" spans="1:25" x14ac:dyDescent="0.25">
      <c r="A356" s="87" t="s">
        <v>1989</v>
      </c>
      <c r="H356">
        <v>152451</v>
      </c>
      <c r="Y356">
        <v>152451</v>
      </c>
    </row>
    <row r="357" spans="1:25" x14ac:dyDescent="0.25">
      <c r="A357" s="87" t="s">
        <v>1961</v>
      </c>
    </row>
    <row r="358" spans="1:25" x14ac:dyDescent="0.25">
      <c r="A358" s="87" t="s">
        <v>1070</v>
      </c>
      <c r="H358">
        <v>279826</v>
      </c>
      <c r="Y358">
        <v>279826</v>
      </c>
    </row>
    <row r="359" spans="1:25" x14ac:dyDescent="0.25">
      <c r="A359" s="87" t="s">
        <v>2398</v>
      </c>
      <c r="H359">
        <v>40829</v>
      </c>
      <c r="Y359">
        <v>40829</v>
      </c>
    </row>
    <row r="360" spans="1:25" x14ac:dyDescent="0.25">
      <c r="A360" s="87" t="s">
        <v>1619</v>
      </c>
      <c r="H360">
        <v>68851</v>
      </c>
      <c r="Y360">
        <v>68851</v>
      </c>
    </row>
    <row r="361" spans="1:25" x14ac:dyDescent="0.25">
      <c r="A361" s="87" t="s">
        <v>1760</v>
      </c>
      <c r="H361">
        <v>217224</v>
      </c>
      <c r="Y361">
        <v>217224</v>
      </c>
    </row>
    <row r="362" spans="1:25" x14ac:dyDescent="0.25">
      <c r="A362" s="87" t="s">
        <v>980</v>
      </c>
      <c r="F362">
        <v>169608</v>
      </c>
      <c r="Y362">
        <v>169608</v>
      </c>
    </row>
    <row r="363" spans="1:25" x14ac:dyDescent="0.25">
      <c r="A363" s="87" t="s">
        <v>1951</v>
      </c>
      <c r="H363">
        <v>51410</v>
      </c>
      <c r="Y363">
        <v>51410</v>
      </c>
    </row>
    <row r="364" spans="1:25" x14ac:dyDescent="0.25">
      <c r="A364" s="87" t="s">
        <v>2015</v>
      </c>
      <c r="V364">
        <v>232779</v>
      </c>
      <c r="Y364">
        <v>232779</v>
      </c>
    </row>
    <row r="365" spans="1:25" x14ac:dyDescent="0.25">
      <c r="A365" s="87" t="s">
        <v>2108</v>
      </c>
      <c r="H365">
        <v>55063</v>
      </c>
      <c r="Y365">
        <v>55063</v>
      </c>
    </row>
    <row r="366" spans="1:25" x14ac:dyDescent="0.25">
      <c r="A366" s="87" t="s">
        <v>2087</v>
      </c>
      <c r="H366">
        <v>170814</v>
      </c>
      <c r="Y366">
        <v>170814</v>
      </c>
    </row>
    <row r="367" spans="1:25" x14ac:dyDescent="0.25">
      <c r="A367" s="87" t="s">
        <v>1177</v>
      </c>
      <c r="V367">
        <v>43894</v>
      </c>
      <c r="Y367">
        <v>43894</v>
      </c>
    </row>
    <row r="368" spans="1:25" x14ac:dyDescent="0.25">
      <c r="A368" s="87" t="s">
        <v>1609</v>
      </c>
      <c r="B368">
        <v>72712</v>
      </c>
      <c r="Y368">
        <v>72712</v>
      </c>
    </row>
    <row r="369" spans="1:25" x14ac:dyDescent="0.25">
      <c r="A369" s="87" t="s">
        <v>2055</v>
      </c>
      <c r="H369">
        <v>143728</v>
      </c>
      <c r="Y369">
        <v>143728</v>
      </c>
    </row>
    <row r="370" spans="1:25" x14ac:dyDescent="0.25">
      <c r="A370" s="87" t="s">
        <v>1959</v>
      </c>
      <c r="H370">
        <v>114000</v>
      </c>
      <c r="Y370">
        <v>114000</v>
      </c>
    </row>
    <row r="371" spans="1:25" x14ac:dyDescent="0.25">
      <c r="A371" s="87" t="s">
        <v>2178</v>
      </c>
      <c r="H371">
        <v>288868</v>
      </c>
      <c r="Y371">
        <v>288868</v>
      </c>
    </row>
    <row r="372" spans="1:25" x14ac:dyDescent="0.25">
      <c r="A372" s="87" t="s">
        <v>1214</v>
      </c>
      <c r="H372">
        <v>105593</v>
      </c>
      <c r="Y372">
        <v>105593</v>
      </c>
    </row>
    <row r="373" spans="1:25" x14ac:dyDescent="0.25">
      <c r="A373" s="87" t="s">
        <v>444</v>
      </c>
      <c r="T373">
        <v>74208</v>
      </c>
      <c r="Y373">
        <v>74208</v>
      </c>
    </row>
    <row r="374" spans="1:25" x14ac:dyDescent="0.25">
      <c r="A374" s="87" t="s">
        <v>944</v>
      </c>
      <c r="T374">
        <v>104166</v>
      </c>
      <c r="Y374">
        <v>104166</v>
      </c>
    </row>
    <row r="375" spans="1:25" x14ac:dyDescent="0.25">
      <c r="A375" s="87" t="s">
        <v>1842</v>
      </c>
      <c r="H375">
        <v>100561</v>
      </c>
      <c r="Y375">
        <v>100561</v>
      </c>
    </row>
    <row r="376" spans="1:25" x14ac:dyDescent="0.25">
      <c r="A376" s="87" t="s">
        <v>2035</v>
      </c>
      <c r="H376">
        <v>115531</v>
      </c>
      <c r="Y376">
        <v>115531</v>
      </c>
    </row>
    <row r="377" spans="1:25" x14ac:dyDescent="0.25">
      <c r="A377" s="87" t="s">
        <v>1530</v>
      </c>
      <c r="G377">
        <v>32925</v>
      </c>
      <c r="Y377">
        <v>32925</v>
      </c>
    </row>
    <row r="378" spans="1:25" x14ac:dyDescent="0.25">
      <c r="A378" s="87" t="s">
        <v>1983</v>
      </c>
      <c r="H378">
        <v>38843</v>
      </c>
      <c r="Y378">
        <v>38843</v>
      </c>
    </row>
    <row r="379" spans="1:25" x14ac:dyDescent="0.25">
      <c r="A379" s="87" t="s">
        <v>2921</v>
      </c>
      <c r="K379">
        <v>299036</v>
      </c>
      <c r="Y379">
        <v>299036</v>
      </c>
    </row>
    <row r="380" spans="1:25" x14ac:dyDescent="0.25">
      <c r="A380" s="87" t="s">
        <v>842</v>
      </c>
      <c r="T380">
        <v>134196</v>
      </c>
      <c r="Y380">
        <v>134196</v>
      </c>
    </row>
    <row r="381" spans="1:25" x14ac:dyDescent="0.25">
      <c r="A381" s="87" t="s">
        <v>1018</v>
      </c>
    </row>
    <row r="382" spans="1:25" x14ac:dyDescent="0.25">
      <c r="A382" s="87" t="s">
        <v>2659</v>
      </c>
      <c r="K382">
        <v>109690</v>
      </c>
      <c r="Y382">
        <v>109690</v>
      </c>
    </row>
    <row r="383" spans="1:25" x14ac:dyDescent="0.25">
      <c r="A383" s="87" t="s">
        <v>1156</v>
      </c>
      <c r="H383">
        <v>118608</v>
      </c>
      <c r="Y383">
        <v>118608</v>
      </c>
    </row>
    <row r="384" spans="1:25" x14ac:dyDescent="0.25">
      <c r="A384" s="87" t="s">
        <v>2927</v>
      </c>
      <c r="K384">
        <v>56363</v>
      </c>
      <c r="Y384">
        <v>56363</v>
      </c>
    </row>
    <row r="385" spans="1:25" x14ac:dyDescent="0.25">
      <c r="A385" s="87" t="s">
        <v>1645</v>
      </c>
      <c r="H385">
        <v>154075</v>
      </c>
      <c r="Y385">
        <v>154075</v>
      </c>
    </row>
    <row r="386" spans="1:25" x14ac:dyDescent="0.25">
      <c r="A386" s="87" t="s">
        <v>3004</v>
      </c>
      <c r="K386">
        <v>76766</v>
      </c>
      <c r="Y386">
        <v>76766</v>
      </c>
    </row>
    <row r="387" spans="1:25" x14ac:dyDescent="0.25">
      <c r="A387" s="87" t="s">
        <v>2348</v>
      </c>
    </row>
    <row r="388" spans="1:25" x14ac:dyDescent="0.25">
      <c r="A388" s="87" t="s">
        <v>285</v>
      </c>
      <c r="T388">
        <v>108925</v>
      </c>
      <c r="Y388">
        <v>108925</v>
      </c>
    </row>
    <row r="389" spans="1:25" x14ac:dyDescent="0.25">
      <c r="A389" s="87" t="s">
        <v>1774</v>
      </c>
      <c r="H389">
        <v>70066</v>
      </c>
      <c r="Y389">
        <v>70066</v>
      </c>
    </row>
    <row r="390" spans="1:25" x14ac:dyDescent="0.25">
      <c r="A390" s="87" t="s">
        <v>573</v>
      </c>
      <c r="T390">
        <v>147362</v>
      </c>
      <c r="Y390">
        <v>147362</v>
      </c>
    </row>
    <row r="391" spans="1:25" x14ac:dyDescent="0.25">
      <c r="A391" s="87" t="s">
        <v>2943</v>
      </c>
      <c r="K391">
        <v>89781</v>
      </c>
      <c r="Y391">
        <v>89781</v>
      </c>
    </row>
    <row r="392" spans="1:25" x14ac:dyDescent="0.25">
      <c r="A392" s="87" t="s">
        <v>2104</v>
      </c>
      <c r="H392">
        <v>118703</v>
      </c>
      <c r="Y392">
        <v>118703</v>
      </c>
    </row>
    <row r="393" spans="1:25" x14ac:dyDescent="0.25">
      <c r="A393" s="87" t="s">
        <v>1554</v>
      </c>
      <c r="H393">
        <v>65099</v>
      </c>
      <c r="Y393">
        <v>65099</v>
      </c>
    </row>
    <row r="394" spans="1:25" x14ac:dyDescent="0.25">
      <c r="A394" s="87" t="s">
        <v>1656</v>
      </c>
      <c r="H394">
        <v>283485</v>
      </c>
      <c r="Y394">
        <v>283485</v>
      </c>
    </row>
    <row r="395" spans="1:25" x14ac:dyDescent="0.25">
      <c r="A395" s="87" t="s">
        <v>1986</v>
      </c>
      <c r="H395">
        <v>32208</v>
      </c>
      <c r="Y395">
        <v>32208</v>
      </c>
    </row>
    <row r="396" spans="1:25" x14ac:dyDescent="0.25">
      <c r="A396" s="87" t="s">
        <v>1912</v>
      </c>
      <c r="H396">
        <v>88374</v>
      </c>
      <c r="Y396">
        <v>88374</v>
      </c>
    </row>
    <row r="397" spans="1:25" x14ac:dyDescent="0.25">
      <c r="A397" s="87" t="s">
        <v>1748</v>
      </c>
      <c r="H397">
        <v>98846</v>
      </c>
      <c r="Y397">
        <v>98846</v>
      </c>
    </row>
    <row r="398" spans="1:25" x14ac:dyDescent="0.25">
      <c r="A398" s="87" t="s">
        <v>1652</v>
      </c>
      <c r="H398">
        <v>33520</v>
      </c>
      <c r="Y398">
        <v>33520</v>
      </c>
    </row>
    <row r="399" spans="1:25" x14ac:dyDescent="0.25">
      <c r="A399" s="87" t="s">
        <v>2180</v>
      </c>
      <c r="H399">
        <v>74394</v>
      </c>
      <c r="Y399">
        <v>74394</v>
      </c>
    </row>
    <row r="400" spans="1:25" x14ac:dyDescent="0.25">
      <c r="A400" s="87" t="s">
        <v>1806</v>
      </c>
      <c r="E400">
        <v>89785</v>
      </c>
      <c r="Y400">
        <v>89785</v>
      </c>
    </row>
    <row r="401" spans="1:25" x14ac:dyDescent="0.25">
      <c r="A401" s="87" t="s">
        <v>1219</v>
      </c>
      <c r="H401">
        <v>96619</v>
      </c>
      <c r="Y401">
        <v>96619</v>
      </c>
    </row>
    <row r="402" spans="1:25" x14ac:dyDescent="0.25">
      <c r="A402" s="87" t="s">
        <v>1148</v>
      </c>
      <c r="H402">
        <v>1681116</v>
      </c>
      <c r="Y402">
        <v>1681116</v>
      </c>
    </row>
    <row r="403" spans="1:25" x14ac:dyDescent="0.25">
      <c r="A403" s="87" t="s">
        <v>1992</v>
      </c>
      <c r="V403">
        <v>204793</v>
      </c>
      <c r="Y403">
        <v>204793</v>
      </c>
    </row>
    <row r="404" spans="1:25" x14ac:dyDescent="0.25">
      <c r="A404" s="87" t="s">
        <v>1164</v>
      </c>
      <c r="H404">
        <v>109545</v>
      </c>
      <c r="Y404">
        <v>109545</v>
      </c>
    </row>
    <row r="405" spans="1:25" x14ac:dyDescent="0.25">
      <c r="A405" s="87" t="s">
        <v>2038</v>
      </c>
      <c r="H405">
        <v>434322</v>
      </c>
      <c r="Y405">
        <v>434322</v>
      </c>
    </row>
    <row r="406" spans="1:25" x14ac:dyDescent="0.25">
      <c r="A406" s="87" t="s">
        <v>1131</v>
      </c>
      <c r="H406">
        <v>277828</v>
      </c>
      <c r="Y406">
        <v>277828</v>
      </c>
    </row>
    <row r="407" spans="1:25" x14ac:dyDescent="0.25">
      <c r="A407" s="87" t="s">
        <v>1593</v>
      </c>
      <c r="H407">
        <v>45500</v>
      </c>
      <c r="Y407">
        <v>45500</v>
      </c>
    </row>
    <row r="408" spans="1:25" x14ac:dyDescent="0.25">
      <c r="A408" s="87" t="s">
        <v>220</v>
      </c>
      <c r="T408">
        <v>368455</v>
      </c>
      <c r="Y408">
        <v>368455</v>
      </c>
    </row>
    <row r="409" spans="1:25" x14ac:dyDescent="0.25">
      <c r="A409" s="87" t="s">
        <v>1367</v>
      </c>
      <c r="G409">
        <v>916552</v>
      </c>
      <c r="Y409">
        <v>916552</v>
      </c>
    </row>
    <row r="410" spans="1:25" x14ac:dyDescent="0.25">
      <c r="A410" s="87" t="s">
        <v>1492</v>
      </c>
      <c r="G410">
        <v>42133</v>
      </c>
      <c r="Y410">
        <v>42133</v>
      </c>
    </row>
    <row r="411" spans="1:25" x14ac:dyDescent="0.25">
      <c r="A411" s="87" t="s">
        <v>1335</v>
      </c>
      <c r="G411">
        <v>128469</v>
      </c>
      <c r="Y411">
        <v>128469</v>
      </c>
    </row>
    <row r="412" spans="1:25" x14ac:dyDescent="0.25">
      <c r="A412" s="87" t="s">
        <v>362</v>
      </c>
      <c r="T412">
        <v>58504</v>
      </c>
      <c r="Y412">
        <v>58504</v>
      </c>
    </row>
    <row r="413" spans="1:25" x14ac:dyDescent="0.25">
      <c r="A413" s="87" t="s">
        <v>1262</v>
      </c>
      <c r="G413">
        <v>33511</v>
      </c>
      <c r="Y413">
        <v>33511</v>
      </c>
    </row>
    <row r="414" spans="1:25" x14ac:dyDescent="0.25">
      <c r="A414" s="87" t="s">
        <v>1237</v>
      </c>
      <c r="G414">
        <v>107238</v>
      </c>
      <c r="Y414">
        <v>107238</v>
      </c>
    </row>
    <row r="415" spans="1:25" x14ac:dyDescent="0.25">
      <c r="A415" s="87" t="s">
        <v>2485</v>
      </c>
      <c r="K415">
        <v>453947</v>
      </c>
      <c r="Y415">
        <v>453947</v>
      </c>
    </row>
    <row r="416" spans="1:25" x14ac:dyDescent="0.25">
      <c r="A416" s="87" t="s">
        <v>2629</v>
      </c>
      <c r="K416">
        <v>449057</v>
      </c>
      <c r="Y416">
        <v>449057</v>
      </c>
    </row>
    <row r="417" spans="1:25" x14ac:dyDescent="0.25">
      <c r="A417" s="87" t="s">
        <v>1942</v>
      </c>
      <c r="V417">
        <v>33497</v>
      </c>
      <c r="Y417">
        <v>33497</v>
      </c>
    </row>
    <row r="418" spans="1:25" x14ac:dyDescent="0.25">
      <c r="A418" s="87" t="s">
        <v>1250</v>
      </c>
      <c r="G418">
        <v>185671</v>
      </c>
      <c r="Y418">
        <v>185671</v>
      </c>
    </row>
    <row r="419" spans="1:25" x14ac:dyDescent="0.25">
      <c r="A419" s="87" t="s">
        <v>630</v>
      </c>
      <c r="T419">
        <v>100539</v>
      </c>
      <c r="Y419">
        <v>100539</v>
      </c>
    </row>
    <row r="420" spans="1:25" x14ac:dyDescent="0.25">
      <c r="A420" s="87" t="s">
        <v>547</v>
      </c>
      <c r="T420">
        <v>169608</v>
      </c>
      <c r="Y420">
        <v>169608</v>
      </c>
    </row>
    <row r="421" spans="1:25" x14ac:dyDescent="0.25">
      <c r="A421" s="87" t="s">
        <v>350</v>
      </c>
      <c r="T421">
        <v>594648</v>
      </c>
      <c r="Y421">
        <v>594648</v>
      </c>
    </row>
    <row r="422" spans="1:25" x14ac:dyDescent="0.25">
      <c r="A422" s="87" t="s">
        <v>954</v>
      </c>
      <c r="T422">
        <v>101488</v>
      </c>
      <c r="Y422">
        <v>101488</v>
      </c>
    </row>
    <row r="423" spans="1:25" x14ac:dyDescent="0.25">
      <c r="A423" s="87" t="s">
        <v>2137</v>
      </c>
      <c r="H423">
        <v>109475</v>
      </c>
      <c r="Y423">
        <v>109475</v>
      </c>
    </row>
    <row r="424" spans="1:25" x14ac:dyDescent="0.25">
      <c r="A424" s="87" t="s">
        <v>2661</v>
      </c>
      <c r="K424">
        <v>166384</v>
      </c>
      <c r="Y424">
        <v>166384</v>
      </c>
    </row>
    <row r="425" spans="1:25" x14ac:dyDescent="0.25">
      <c r="A425" s="87" t="s">
        <v>803</v>
      </c>
      <c r="P425">
        <v>191190</v>
      </c>
      <c r="Y425">
        <v>191190</v>
      </c>
    </row>
    <row r="426" spans="1:25" x14ac:dyDescent="0.25">
      <c r="A426" s="87" t="s">
        <v>2599</v>
      </c>
      <c r="K426">
        <v>136958</v>
      </c>
      <c r="Y426">
        <v>136958</v>
      </c>
    </row>
    <row r="427" spans="1:25" x14ac:dyDescent="0.25">
      <c r="A427" s="87" t="s">
        <v>2048</v>
      </c>
      <c r="H427">
        <v>114024</v>
      </c>
      <c r="Y427">
        <v>114024</v>
      </c>
    </row>
    <row r="428" spans="1:25" x14ac:dyDescent="0.25">
      <c r="A428" s="87" t="s">
        <v>950</v>
      </c>
      <c r="T428">
        <v>191190</v>
      </c>
      <c r="Y428">
        <v>191190</v>
      </c>
    </row>
    <row r="429" spans="1:25" x14ac:dyDescent="0.25">
      <c r="A429" s="87" t="s">
        <v>2887</v>
      </c>
      <c r="K429">
        <v>136970</v>
      </c>
      <c r="Y429">
        <v>136970</v>
      </c>
    </row>
    <row r="430" spans="1:25" x14ac:dyDescent="0.25">
      <c r="A430" s="87" t="s">
        <v>2778</v>
      </c>
      <c r="K430">
        <v>61001</v>
      </c>
      <c r="Y430">
        <v>61001</v>
      </c>
    </row>
    <row r="431" spans="1:25" x14ac:dyDescent="0.25">
      <c r="A431" s="87" t="s">
        <v>3103</v>
      </c>
      <c r="K431">
        <v>100791</v>
      </c>
      <c r="Y431">
        <v>100791</v>
      </c>
    </row>
    <row r="432" spans="1:25" x14ac:dyDescent="0.25">
      <c r="A432" s="87" t="s">
        <v>1777</v>
      </c>
      <c r="H432">
        <v>307132</v>
      </c>
      <c r="Y432">
        <v>307132</v>
      </c>
    </row>
    <row r="433" spans="1:25" x14ac:dyDescent="0.25">
      <c r="A433" s="87" t="s">
        <v>2514</v>
      </c>
    </row>
    <row r="434" spans="1:25" x14ac:dyDescent="0.25">
      <c r="A434" s="87" t="s">
        <v>712</v>
      </c>
      <c r="T434">
        <v>88858</v>
      </c>
      <c r="Y434">
        <v>88858</v>
      </c>
    </row>
    <row r="435" spans="1:25" x14ac:dyDescent="0.25">
      <c r="A435" s="87" t="s">
        <v>2076</v>
      </c>
      <c r="B435">
        <v>143641</v>
      </c>
      <c r="Y435">
        <v>143641</v>
      </c>
    </row>
    <row r="436" spans="1:25" x14ac:dyDescent="0.25">
      <c r="A436" s="87" t="s">
        <v>2310</v>
      </c>
      <c r="G436">
        <v>651030</v>
      </c>
      <c r="Y436">
        <v>651030</v>
      </c>
    </row>
    <row r="437" spans="1:25" x14ac:dyDescent="0.25">
      <c r="A437" s="87" t="s">
        <v>2703</v>
      </c>
      <c r="K437">
        <v>98847</v>
      </c>
      <c r="Y437">
        <v>98847</v>
      </c>
    </row>
    <row r="438" spans="1:25" x14ac:dyDescent="0.25">
      <c r="A438" s="87" t="s">
        <v>1391</v>
      </c>
      <c r="G438">
        <v>46921</v>
      </c>
      <c r="Y438">
        <v>46921</v>
      </c>
    </row>
    <row r="439" spans="1:25" x14ac:dyDescent="0.25">
      <c r="A439" s="87" t="s">
        <v>2610</v>
      </c>
      <c r="K439">
        <v>320086</v>
      </c>
      <c r="Y439">
        <v>320086</v>
      </c>
    </row>
    <row r="440" spans="1:25" x14ac:dyDescent="0.25">
      <c r="A440" s="87" t="s">
        <v>2050</v>
      </c>
      <c r="H440">
        <v>57390</v>
      </c>
      <c r="Y440">
        <v>57390</v>
      </c>
    </row>
    <row r="441" spans="1:25" x14ac:dyDescent="0.25">
      <c r="A441" s="87" t="s">
        <v>290</v>
      </c>
      <c r="U441">
        <v>32000</v>
      </c>
      <c r="Y441">
        <v>32000</v>
      </c>
    </row>
    <row r="442" spans="1:25" x14ac:dyDescent="0.25">
      <c r="A442" s="87" t="s">
        <v>1085</v>
      </c>
      <c r="B442">
        <v>510245</v>
      </c>
      <c r="Y442">
        <v>510245</v>
      </c>
    </row>
    <row r="443" spans="1:25" x14ac:dyDescent="0.25">
      <c r="A443" s="87" t="s">
        <v>2952</v>
      </c>
      <c r="K443">
        <v>107388</v>
      </c>
      <c r="Y443">
        <v>107388</v>
      </c>
    </row>
    <row r="444" spans="1:25" x14ac:dyDescent="0.25">
      <c r="A444" s="87" t="s">
        <v>275</v>
      </c>
      <c r="P444">
        <v>1247222</v>
      </c>
      <c r="Y444">
        <v>1247222</v>
      </c>
    </row>
    <row r="445" spans="1:25" x14ac:dyDescent="0.25">
      <c r="A445" s="87" t="s">
        <v>416</v>
      </c>
      <c r="P445">
        <v>331500</v>
      </c>
      <c r="Y445">
        <v>331500</v>
      </c>
    </row>
    <row r="446" spans="1:25" x14ac:dyDescent="0.25">
      <c r="A446" s="87" t="s">
        <v>2970</v>
      </c>
      <c r="K446">
        <v>76989</v>
      </c>
      <c r="Y446">
        <v>76989</v>
      </c>
    </row>
    <row r="447" spans="1:25" x14ac:dyDescent="0.25">
      <c r="A447" s="87" t="s">
        <v>457</v>
      </c>
      <c r="T447">
        <v>138589</v>
      </c>
      <c r="Y447">
        <v>138589</v>
      </c>
    </row>
    <row r="448" spans="1:25" x14ac:dyDescent="0.25">
      <c r="A448" s="87" t="s">
        <v>279</v>
      </c>
      <c r="T448">
        <v>219470</v>
      </c>
      <c r="Y448">
        <v>219470</v>
      </c>
    </row>
    <row r="449" spans="1:25" x14ac:dyDescent="0.25">
      <c r="A449" s="87" t="s">
        <v>78</v>
      </c>
      <c r="T449">
        <v>76925</v>
      </c>
      <c r="Y449">
        <v>76925</v>
      </c>
    </row>
    <row r="450" spans="1:25" x14ac:dyDescent="0.25">
      <c r="A450" s="87" t="s">
        <v>988</v>
      </c>
      <c r="T450">
        <v>142085</v>
      </c>
      <c r="Y450">
        <v>142085</v>
      </c>
    </row>
    <row r="451" spans="1:25" x14ac:dyDescent="0.25">
      <c r="A451" s="87" t="s">
        <v>1159</v>
      </c>
      <c r="O451">
        <v>145364</v>
      </c>
      <c r="Y451">
        <v>145364</v>
      </c>
    </row>
    <row r="452" spans="1:25" x14ac:dyDescent="0.25">
      <c r="A452" s="87" t="s">
        <v>360</v>
      </c>
      <c r="T452">
        <v>143517</v>
      </c>
      <c r="Y452">
        <v>143517</v>
      </c>
    </row>
    <row r="453" spans="1:25" x14ac:dyDescent="0.25">
      <c r="A453" s="87" t="s">
        <v>1066</v>
      </c>
      <c r="W453">
        <v>100503</v>
      </c>
      <c r="Y453">
        <v>100503</v>
      </c>
    </row>
    <row r="454" spans="1:25" x14ac:dyDescent="0.25">
      <c r="A454" s="87" t="s">
        <v>2795</v>
      </c>
      <c r="K454">
        <v>149252</v>
      </c>
      <c r="Y454">
        <v>149252</v>
      </c>
    </row>
    <row r="455" spans="1:25" x14ac:dyDescent="0.25">
      <c r="A455" s="87" t="s">
        <v>2320</v>
      </c>
      <c r="G455">
        <v>143476</v>
      </c>
      <c r="Y455">
        <v>143476</v>
      </c>
    </row>
    <row r="456" spans="1:25" x14ac:dyDescent="0.25">
      <c r="A456" s="87" t="s">
        <v>2451</v>
      </c>
      <c r="K456">
        <v>123212</v>
      </c>
      <c r="Y456">
        <v>123212</v>
      </c>
    </row>
    <row r="457" spans="1:25" x14ac:dyDescent="0.25">
      <c r="A457" s="87" t="s">
        <v>1637</v>
      </c>
      <c r="H457">
        <v>40198</v>
      </c>
      <c r="Y457">
        <v>40198</v>
      </c>
    </row>
    <row r="458" spans="1:25" x14ac:dyDescent="0.25">
      <c r="A458" s="87" t="s">
        <v>2937</v>
      </c>
      <c r="K458">
        <v>72913</v>
      </c>
      <c r="Y458">
        <v>72913</v>
      </c>
    </row>
    <row r="459" spans="1:25" x14ac:dyDescent="0.25">
      <c r="A459" s="87" t="s">
        <v>1926</v>
      </c>
      <c r="H459">
        <v>252371</v>
      </c>
      <c r="Y459">
        <v>252371</v>
      </c>
    </row>
    <row r="460" spans="1:25" x14ac:dyDescent="0.25">
      <c r="A460" s="87" t="s">
        <v>1710</v>
      </c>
      <c r="H460">
        <v>270461</v>
      </c>
      <c r="Y460">
        <v>270461</v>
      </c>
    </row>
    <row r="461" spans="1:25" x14ac:dyDescent="0.25">
      <c r="A461" s="87" t="s">
        <v>2669</v>
      </c>
      <c r="K461">
        <v>180130</v>
      </c>
      <c r="Y461">
        <v>180130</v>
      </c>
    </row>
    <row r="462" spans="1:25" x14ac:dyDescent="0.25">
      <c r="A462" s="87" t="s">
        <v>1187</v>
      </c>
    </row>
    <row r="463" spans="1:25" x14ac:dyDescent="0.25">
      <c r="A463" s="87" t="s">
        <v>2300</v>
      </c>
      <c r="G463">
        <v>50755</v>
      </c>
      <c r="Y463">
        <v>50755</v>
      </c>
    </row>
    <row r="464" spans="1:25" x14ac:dyDescent="0.25">
      <c r="A464" s="87" t="s">
        <v>2213</v>
      </c>
      <c r="B464">
        <v>114529</v>
      </c>
      <c r="Y464">
        <v>114529</v>
      </c>
    </row>
    <row r="465" spans="1:25" x14ac:dyDescent="0.25">
      <c r="A465" s="87" t="s">
        <v>1798</v>
      </c>
      <c r="H465">
        <v>109436</v>
      </c>
      <c r="Y465">
        <v>109436</v>
      </c>
    </row>
    <row r="466" spans="1:25" x14ac:dyDescent="0.25">
      <c r="A466" s="87" t="s">
        <v>1851</v>
      </c>
      <c r="V466">
        <v>143553</v>
      </c>
      <c r="Y466">
        <v>143553</v>
      </c>
    </row>
    <row r="467" spans="1:25" x14ac:dyDescent="0.25">
      <c r="A467" s="87" t="s">
        <v>1480</v>
      </c>
      <c r="G467">
        <v>704990</v>
      </c>
      <c r="Y467">
        <v>704990</v>
      </c>
    </row>
    <row r="468" spans="1:25" x14ac:dyDescent="0.25">
      <c r="A468" s="87" t="s">
        <v>27</v>
      </c>
      <c r="T468">
        <v>15104676</v>
      </c>
      <c r="Y468">
        <v>15104676</v>
      </c>
    </row>
    <row r="469" spans="1:25" x14ac:dyDescent="0.25">
      <c r="A469" s="87" t="s">
        <v>1701</v>
      </c>
      <c r="H469">
        <v>107231</v>
      </c>
      <c r="Y469">
        <v>107231</v>
      </c>
    </row>
    <row r="470" spans="1:25" x14ac:dyDescent="0.25">
      <c r="A470" s="87" t="s">
        <v>2040</v>
      </c>
      <c r="H470">
        <v>88374</v>
      </c>
      <c r="Y470">
        <v>88374</v>
      </c>
    </row>
    <row r="471" spans="1:25" x14ac:dyDescent="0.25">
      <c r="A471" s="87" t="s">
        <v>603</v>
      </c>
      <c r="T471">
        <v>100034</v>
      </c>
      <c r="Y471">
        <v>100034</v>
      </c>
    </row>
    <row r="472" spans="1:25" x14ac:dyDescent="0.25">
      <c r="A472" s="87" t="s">
        <v>651</v>
      </c>
      <c r="T472">
        <v>588201</v>
      </c>
      <c r="Y472">
        <v>588201</v>
      </c>
    </row>
    <row r="473" spans="1:25" x14ac:dyDescent="0.25">
      <c r="A473" s="87" t="s">
        <v>2935</v>
      </c>
      <c r="K473">
        <v>69400</v>
      </c>
      <c r="Y473">
        <v>69400</v>
      </c>
    </row>
    <row r="474" spans="1:25" x14ac:dyDescent="0.25">
      <c r="A474" s="87" t="s">
        <v>174</v>
      </c>
      <c r="T474">
        <v>845267</v>
      </c>
      <c r="Y474">
        <v>845267</v>
      </c>
    </row>
    <row r="475" spans="1:25" x14ac:dyDescent="0.25">
      <c r="A475" s="87" t="s">
        <v>224</v>
      </c>
      <c r="T475">
        <v>547421</v>
      </c>
      <c r="Y475">
        <v>547421</v>
      </c>
    </row>
    <row r="476" spans="1:25" x14ac:dyDescent="0.25">
      <c r="A476" s="87" t="s">
        <v>551</v>
      </c>
      <c r="T476">
        <v>219470</v>
      </c>
      <c r="Y476">
        <v>219470</v>
      </c>
    </row>
    <row r="477" spans="1:25" x14ac:dyDescent="0.25">
      <c r="A477" s="87" t="s">
        <v>801</v>
      </c>
      <c r="T477">
        <v>355370</v>
      </c>
      <c r="Y477">
        <v>355370</v>
      </c>
    </row>
    <row r="478" spans="1:25" x14ac:dyDescent="0.25">
      <c r="A478" s="87" t="s">
        <v>1053</v>
      </c>
      <c r="H478">
        <v>1071397</v>
      </c>
      <c r="Y478">
        <v>1071397</v>
      </c>
    </row>
    <row r="479" spans="1:25" x14ac:dyDescent="0.25">
      <c r="A479" s="87" t="s">
        <v>427</v>
      </c>
      <c r="T479">
        <v>101400</v>
      </c>
      <c r="Y479">
        <v>101400</v>
      </c>
    </row>
    <row r="480" spans="1:25" x14ac:dyDescent="0.25">
      <c r="A480" s="87" t="s">
        <v>2690</v>
      </c>
      <c r="K480">
        <v>49615</v>
      </c>
      <c r="Y480">
        <v>49615</v>
      </c>
    </row>
    <row r="481" spans="1:25" x14ac:dyDescent="0.25">
      <c r="A481" s="87" t="s">
        <v>460</v>
      </c>
      <c r="T481">
        <v>161511</v>
      </c>
      <c r="Y481">
        <v>161511</v>
      </c>
    </row>
    <row r="482" spans="1:25" x14ac:dyDescent="0.25">
      <c r="A482" s="87" t="s">
        <v>1706</v>
      </c>
      <c r="H482">
        <v>42218</v>
      </c>
      <c r="Y482">
        <v>42218</v>
      </c>
    </row>
    <row r="483" spans="1:25" x14ac:dyDescent="0.25">
      <c r="A483" s="87" t="s">
        <v>1277</v>
      </c>
      <c r="G483">
        <v>355320</v>
      </c>
      <c r="Y483">
        <v>355320</v>
      </c>
    </row>
    <row r="484" spans="1:25" x14ac:dyDescent="0.25">
      <c r="A484" s="87" t="s">
        <v>2223</v>
      </c>
      <c r="H484">
        <v>101282</v>
      </c>
      <c r="Y484">
        <v>101282</v>
      </c>
    </row>
    <row r="485" spans="1:25" x14ac:dyDescent="0.25">
      <c r="A485" s="87" t="s">
        <v>2966</v>
      </c>
      <c r="K485">
        <v>77518</v>
      </c>
      <c r="Y485">
        <v>77518</v>
      </c>
    </row>
    <row r="486" spans="1:25" x14ac:dyDescent="0.25">
      <c r="A486" s="87" t="s">
        <v>3092</v>
      </c>
      <c r="K486">
        <v>61835</v>
      </c>
      <c r="Y486">
        <v>61835</v>
      </c>
    </row>
    <row r="487" spans="1:25" x14ac:dyDescent="0.25">
      <c r="A487" s="87" t="s">
        <v>1357</v>
      </c>
      <c r="G487">
        <v>155783</v>
      </c>
      <c r="Y487">
        <v>155783</v>
      </c>
    </row>
    <row r="488" spans="1:25" x14ac:dyDescent="0.25">
      <c r="A488" s="87" t="s">
        <v>1808</v>
      </c>
      <c r="V488">
        <v>114534</v>
      </c>
      <c r="Y488">
        <v>114534</v>
      </c>
    </row>
    <row r="489" spans="1:25" x14ac:dyDescent="0.25">
      <c r="A489" s="87" t="s">
        <v>1658</v>
      </c>
      <c r="H489">
        <v>126347</v>
      </c>
      <c r="Y489">
        <v>126347</v>
      </c>
    </row>
    <row r="490" spans="1:25" x14ac:dyDescent="0.25">
      <c r="A490" s="87" t="s">
        <v>1005</v>
      </c>
      <c r="T490">
        <v>100034</v>
      </c>
      <c r="Y490">
        <v>100034</v>
      </c>
    </row>
    <row r="491" spans="1:25" x14ac:dyDescent="0.25">
      <c r="A491" s="87" t="s">
        <v>901</v>
      </c>
      <c r="P491">
        <v>74208</v>
      </c>
      <c r="Y491">
        <v>74208</v>
      </c>
    </row>
    <row r="492" spans="1:25" x14ac:dyDescent="0.25">
      <c r="A492" s="87" t="s">
        <v>1346</v>
      </c>
      <c r="G492">
        <v>33531</v>
      </c>
      <c r="Y492">
        <v>33531</v>
      </c>
    </row>
    <row r="493" spans="1:25" x14ac:dyDescent="0.25">
      <c r="A493" s="87" t="s">
        <v>695</v>
      </c>
      <c r="T493">
        <v>169608</v>
      </c>
      <c r="Y493">
        <v>169608</v>
      </c>
    </row>
    <row r="494" spans="1:25" x14ac:dyDescent="0.25">
      <c r="A494" s="87" t="s">
        <v>821</v>
      </c>
      <c r="T494">
        <v>71125</v>
      </c>
      <c r="Y494">
        <v>71125</v>
      </c>
    </row>
    <row r="495" spans="1:25" x14ac:dyDescent="0.25">
      <c r="A495" s="87" t="s">
        <v>1114</v>
      </c>
      <c r="H495">
        <v>97713</v>
      </c>
      <c r="Y495">
        <v>97713</v>
      </c>
    </row>
    <row r="496" spans="1:25" x14ac:dyDescent="0.25">
      <c r="A496" s="87" t="s">
        <v>1566</v>
      </c>
      <c r="H496">
        <v>93814</v>
      </c>
      <c r="Y496">
        <v>93814</v>
      </c>
    </row>
    <row r="497" spans="1:25" x14ac:dyDescent="0.25">
      <c r="A497" s="87" t="s">
        <v>2176</v>
      </c>
      <c r="H497">
        <v>101425</v>
      </c>
      <c r="Y497">
        <v>101425</v>
      </c>
    </row>
    <row r="498" spans="1:25" x14ac:dyDescent="0.25">
      <c r="A498" s="87" t="s">
        <v>217</v>
      </c>
      <c r="T498">
        <v>106692</v>
      </c>
      <c r="Y498">
        <v>106692</v>
      </c>
    </row>
    <row r="499" spans="1:25" x14ac:dyDescent="0.25">
      <c r="A499" s="87" t="s">
        <v>1326</v>
      </c>
      <c r="G499">
        <v>356981</v>
      </c>
      <c r="Y499">
        <v>356981</v>
      </c>
    </row>
    <row r="500" spans="1:25" x14ac:dyDescent="0.25">
      <c r="A500" s="87" t="s">
        <v>165</v>
      </c>
      <c r="P500">
        <v>54725</v>
      </c>
      <c r="Y500">
        <v>54725</v>
      </c>
    </row>
    <row r="501" spans="1:25" x14ac:dyDescent="0.25">
      <c r="A501" s="87" t="s">
        <v>1865</v>
      </c>
      <c r="H501">
        <v>143593</v>
      </c>
      <c r="Y501">
        <v>143593</v>
      </c>
    </row>
    <row r="502" spans="1:25" x14ac:dyDescent="0.25">
      <c r="A502" s="87" t="s">
        <v>2372</v>
      </c>
      <c r="G502">
        <v>81192</v>
      </c>
      <c r="Y502">
        <v>81192</v>
      </c>
    </row>
    <row r="503" spans="1:25" x14ac:dyDescent="0.25">
      <c r="A503" s="87" t="s">
        <v>2720</v>
      </c>
      <c r="K503">
        <v>181674</v>
      </c>
      <c r="Y503">
        <v>181674</v>
      </c>
    </row>
    <row r="504" spans="1:25" x14ac:dyDescent="0.25">
      <c r="A504" s="87" t="s">
        <v>329</v>
      </c>
      <c r="K504">
        <v>4664196</v>
      </c>
      <c r="Y504">
        <v>4664196</v>
      </c>
    </row>
    <row r="505" spans="1:25" x14ac:dyDescent="0.25">
      <c r="A505" s="87" t="s">
        <v>2857</v>
      </c>
      <c r="K505">
        <v>215330</v>
      </c>
      <c r="Y505">
        <v>215330</v>
      </c>
    </row>
    <row r="506" spans="1:25" x14ac:dyDescent="0.25">
      <c r="A506" s="87" t="s">
        <v>2440</v>
      </c>
      <c r="K506">
        <v>143768</v>
      </c>
      <c r="Y506">
        <v>143768</v>
      </c>
    </row>
    <row r="507" spans="1:25" x14ac:dyDescent="0.25">
      <c r="A507" s="87" t="s">
        <v>2625</v>
      </c>
      <c r="K507">
        <v>60693</v>
      </c>
      <c r="Y507">
        <v>60693</v>
      </c>
    </row>
    <row r="508" spans="1:25" x14ac:dyDescent="0.25">
      <c r="A508" s="87" t="s">
        <v>2057</v>
      </c>
    </row>
    <row r="509" spans="1:25" x14ac:dyDescent="0.25">
      <c r="A509" s="87" t="s">
        <v>1981</v>
      </c>
      <c r="H509">
        <v>103313</v>
      </c>
      <c r="Y509">
        <v>103313</v>
      </c>
    </row>
    <row r="510" spans="1:25" x14ac:dyDescent="0.25">
      <c r="A510" s="87" t="s">
        <v>532</v>
      </c>
      <c r="T510">
        <v>118761</v>
      </c>
      <c r="Y510">
        <v>118761</v>
      </c>
    </row>
    <row r="511" spans="1:25" x14ac:dyDescent="0.25">
      <c r="A511" s="87" t="s">
        <v>1030</v>
      </c>
      <c r="T511">
        <v>106557</v>
      </c>
      <c r="Y511">
        <v>106557</v>
      </c>
    </row>
    <row r="512" spans="1:25" x14ac:dyDescent="0.25">
      <c r="A512" s="87" t="s">
        <v>2316</v>
      </c>
    </row>
    <row r="513" spans="1:25" x14ac:dyDescent="0.25">
      <c r="A513" s="87" t="s">
        <v>2802</v>
      </c>
      <c r="K513">
        <v>101613</v>
      </c>
      <c r="Y513">
        <v>101613</v>
      </c>
    </row>
    <row r="514" spans="1:25" x14ac:dyDescent="0.25">
      <c r="A514" s="87" t="s">
        <v>2707</v>
      </c>
      <c r="K514">
        <v>124385</v>
      </c>
      <c r="Y514">
        <v>124385</v>
      </c>
    </row>
    <row r="515" spans="1:25" x14ac:dyDescent="0.25">
      <c r="A515" s="87" t="s">
        <v>2651</v>
      </c>
      <c r="K515">
        <v>181198</v>
      </c>
      <c r="Y515">
        <v>181198</v>
      </c>
    </row>
    <row r="516" spans="1:25" x14ac:dyDescent="0.25">
      <c r="A516" s="87" t="s">
        <v>2712</v>
      </c>
      <c r="K516">
        <v>138504</v>
      </c>
      <c r="Y516">
        <v>138504</v>
      </c>
    </row>
    <row r="517" spans="1:25" x14ac:dyDescent="0.25">
      <c r="A517" s="87" t="s">
        <v>2449</v>
      </c>
      <c r="K517">
        <v>118894</v>
      </c>
      <c r="Y517">
        <v>118894</v>
      </c>
    </row>
    <row r="518" spans="1:25" x14ac:dyDescent="0.25">
      <c r="A518" s="87" t="s">
        <v>2430</v>
      </c>
      <c r="K518">
        <v>189637</v>
      </c>
      <c r="Y518">
        <v>189637</v>
      </c>
    </row>
    <row r="519" spans="1:25" x14ac:dyDescent="0.25">
      <c r="A519" s="87" t="s">
        <v>879</v>
      </c>
      <c r="T519">
        <v>118761</v>
      </c>
      <c r="Y519">
        <v>118761</v>
      </c>
    </row>
    <row r="520" spans="1:25" x14ac:dyDescent="0.25">
      <c r="A520" s="87" t="s">
        <v>2737</v>
      </c>
      <c r="K520">
        <v>111856</v>
      </c>
      <c r="Y520">
        <v>111856</v>
      </c>
    </row>
    <row r="521" spans="1:25" x14ac:dyDescent="0.25">
      <c r="A521" s="87" t="s">
        <v>1258</v>
      </c>
      <c r="G521">
        <v>220506</v>
      </c>
      <c r="Y521">
        <v>220506</v>
      </c>
    </row>
    <row r="522" spans="1:25" x14ac:dyDescent="0.25">
      <c r="A522" s="87" t="s">
        <v>2298</v>
      </c>
      <c r="G522">
        <v>144674</v>
      </c>
      <c r="Y522">
        <v>144674</v>
      </c>
    </row>
    <row r="523" spans="1:25" x14ac:dyDescent="0.25">
      <c r="A523" s="87" t="s">
        <v>2463</v>
      </c>
      <c r="K523">
        <v>412894</v>
      </c>
      <c r="Y523">
        <v>412894</v>
      </c>
    </row>
    <row r="524" spans="1:25" x14ac:dyDescent="0.25">
      <c r="A524" s="87" t="s">
        <v>2619</v>
      </c>
      <c r="K524">
        <v>37800</v>
      </c>
      <c r="Y524">
        <v>37800</v>
      </c>
    </row>
    <row r="525" spans="1:25" x14ac:dyDescent="0.25">
      <c r="A525" s="87" t="s">
        <v>1909</v>
      </c>
      <c r="H525">
        <v>74048</v>
      </c>
      <c r="Y525">
        <v>74048</v>
      </c>
    </row>
    <row r="526" spans="1:25" x14ac:dyDescent="0.25">
      <c r="A526" s="87" t="s">
        <v>2859</v>
      </c>
      <c r="K526">
        <v>62175</v>
      </c>
      <c r="Y526">
        <v>62175</v>
      </c>
    </row>
    <row r="527" spans="1:25" x14ac:dyDescent="0.25">
      <c r="A527" s="87" t="s">
        <v>2806</v>
      </c>
      <c r="K527">
        <v>100181</v>
      </c>
      <c r="Y527">
        <v>100181</v>
      </c>
    </row>
    <row r="528" spans="1:25" x14ac:dyDescent="0.25">
      <c r="A528" s="87" t="s">
        <v>1584</v>
      </c>
      <c r="H528">
        <v>339772</v>
      </c>
      <c r="Y528">
        <v>339772</v>
      </c>
    </row>
    <row r="529" spans="1:25" x14ac:dyDescent="0.25">
      <c r="A529" s="87" t="s">
        <v>1900</v>
      </c>
      <c r="H529">
        <v>209815</v>
      </c>
      <c r="Y529">
        <v>209815</v>
      </c>
    </row>
    <row r="530" spans="1:25" x14ac:dyDescent="0.25">
      <c r="A530" s="87" t="s">
        <v>2030</v>
      </c>
      <c r="H530">
        <v>144507</v>
      </c>
      <c r="Y530">
        <v>144507</v>
      </c>
    </row>
    <row r="531" spans="1:25" x14ac:dyDescent="0.25">
      <c r="A531" s="87" t="s">
        <v>1834</v>
      </c>
      <c r="H531">
        <v>457075</v>
      </c>
      <c r="Y531">
        <v>457075</v>
      </c>
    </row>
    <row r="532" spans="1:25" x14ac:dyDescent="0.25">
      <c r="A532" s="87" t="s">
        <v>1315</v>
      </c>
    </row>
    <row r="533" spans="1:25" x14ac:dyDescent="0.25">
      <c r="A533" s="87" t="s">
        <v>1063</v>
      </c>
      <c r="H533">
        <v>271202</v>
      </c>
      <c r="Y533">
        <v>271202</v>
      </c>
    </row>
    <row r="534" spans="1:25" x14ac:dyDescent="0.25">
      <c r="A534" s="87" t="s">
        <v>1138</v>
      </c>
      <c r="H534">
        <v>1089124</v>
      </c>
      <c r="Y534">
        <v>1089124</v>
      </c>
    </row>
    <row r="535" spans="1:25" x14ac:dyDescent="0.25">
      <c r="A535" s="87" t="s">
        <v>1568</v>
      </c>
      <c r="H535">
        <v>479139</v>
      </c>
      <c r="Y535">
        <v>479139</v>
      </c>
    </row>
    <row r="536" spans="1:25" x14ac:dyDescent="0.25">
      <c r="A536" s="87" t="s">
        <v>2167</v>
      </c>
      <c r="H536">
        <v>311127</v>
      </c>
      <c r="Y536">
        <v>311127</v>
      </c>
    </row>
    <row r="537" spans="1:25" x14ac:dyDescent="0.25">
      <c r="A537" s="87" t="s">
        <v>52</v>
      </c>
      <c r="T537">
        <v>106208</v>
      </c>
      <c r="Y537">
        <v>106208</v>
      </c>
    </row>
    <row r="538" spans="1:25" x14ac:dyDescent="0.25">
      <c r="A538" s="87" t="s">
        <v>1008</v>
      </c>
      <c r="T538">
        <v>45786</v>
      </c>
      <c r="Y538">
        <v>45786</v>
      </c>
    </row>
    <row r="539" spans="1:25" x14ac:dyDescent="0.25">
      <c r="A539" s="87" t="s">
        <v>1468</v>
      </c>
      <c r="G539">
        <v>42040</v>
      </c>
      <c r="Y539">
        <v>42040</v>
      </c>
    </row>
    <row r="540" spans="1:25" x14ac:dyDescent="0.25">
      <c r="A540" s="87" t="s">
        <v>2791</v>
      </c>
      <c r="K540">
        <v>85130</v>
      </c>
      <c r="Y540">
        <v>85130</v>
      </c>
    </row>
    <row r="541" spans="1:25" x14ac:dyDescent="0.25">
      <c r="A541" s="87" t="s">
        <v>1939</v>
      </c>
      <c r="H541">
        <v>132359</v>
      </c>
      <c r="Y541">
        <v>132359</v>
      </c>
    </row>
    <row r="542" spans="1:25" x14ac:dyDescent="0.25">
      <c r="A542" s="87" t="s">
        <v>2277</v>
      </c>
    </row>
    <row r="543" spans="1:25" x14ac:dyDescent="0.25">
      <c r="A543" s="87" t="s">
        <v>1233</v>
      </c>
      <c r="G543">
        <v>80118</v>
      </c>
      <c r="Y543">
        <v>80118</v>
      </c>
    </row>
    <row r="544" spans="1:25" x14ac:dyDescent="0.25">
      <c r="A544" s="87" t="s">
        <v>2318</v>
      </c>
      <c r="G544">
        <v>191832</v>
      </c>
      <c r="Y544">
        <v>191832</v>
      </c>
    </row>
    <row r="545" spans="1:25" x14ac:dyDescent="0.25">
      <c r="A545" s="87" t="s">
        <v>1907</v>
      </c>
      <c r="H545">
        <v>33496</v>
      </c>
      <c r="Y545">
        <v>33496</v>
      </c>
    </row>
    <row r="546" spans="1:25" x14ac:dyDescent="0.25">
      <c r="A546" s="87" t="s">
        <v>1735</v>
      </c>
      <c r="H546">
        <v>123309</v>
      </c>
      <c r="Y546">
        <v>123309</v>
      </c>
    </row>
    <row r="547" spans="1:25" x14ac:dyDescent="0.25">
      <c r="A547" s="87" t="s">
        <v>1169</v>
      </c>
      <c r="H547">
        <v>143585</v>
      </c>
      <c r="Y547">
        <v>143585</v>
      </c>
    </row>
    <row r="548" spans="1:25" x14ac:dyDescent="0.25">
      <c r="A548" s="87" t="s">
        <v>1586</v>
      </c>
      <c r="H548">
        <v>103226</v>
      </c>
      <c r="Y548">
        <v>103226</v>
      </c>
    </row>
    <row r="549" spans="1:25" x14ac:dyDescent="0.25">
      <c r="A549" s="87" t="s">
        <v>1227</v>
      </c>
      <c r="G549">
        <v>124797</v>
      </c>
      <c r="Y549">
        <v>124797</v>
      </c>
    </row>
    <row r="550" spans="1:25" x14ac:dyDescent="0.25">
      <c r="A550" s="87" t="s">
        <v>1293</v>
      </c>
      <c r="G550">
        <v>109569</v>
      </c>
      <c r="Y550">
        <v>109569</v>
      </c>
    </row>
    <row r="551" spans="1:25" x14ac:dyDescent="0.25">
      <c r="A551" s="87" t="s">
        <v>2140</v>
      </c>
      <c r="H551">
        <v>139354</v>
      </c>
      <c r="Y551">
        <v>139354</v>
      </c>
    </row>
    <row r="552" spans="1:25" x14ac:dyDescent="0.25">
      <c r="A552" s="87" t="s">
        <v>1828</v>
      </c>
      <c r="H552">
        <v>141274</v>
      </c>
      <c r="Y552">
        <v>141274</v>
      </c>
    </row>
    <row r="553" spans="1:25" x14ac:dyDescent="0.25">
      <c r="A553" s="87" t="s">
        <v>2262</v>
      </c>
      <c r="S553">
        <v>50316</v>
      </c>
      <c r="Y553">
        <v>50316</v>
      </c>
    </row>
    <row r="554" spans="1:25" x14ac:dyDescent="0.25">
      <c r="A554" s="87" t="s">
        <v>1279</v>
      </c>
      <c r="G554">
        <v>131690</v>
      </c>
      <c r="Y554">
        <v>131690</v>
      </c>
    </row>
    <row r="555" spans="1:25" x14ac:dyDescent="0.25">
      <c r="A555" s="87" t="s">
        <v>1664</v>
      </c>
      <c r="H555">
        <v>806850</v>
      </c>
      <c r="Y555">
        <v>806850</v>
      </c>
    </row>
    <row r="556" spans="1:25" x14ac:dyDescent="0.25">
      <c r="A556" s="87" t="s">
        <v>1788</v>
      </c>
      <c r="H556">
        <v>185364</v>
      </c>
      <c r="Y556">
        <v>185364</v>
      </c>
    </row>
    <row r="557" spans="1:25" x14ac:dyDescent="0.25">
      <c r="A557" s="87" t="s">
        <v>2696</v>
      </c>
      <c r="K557">
        <v>152450</v>
      </c>
      <c r="Y557">
        <v>152450</v>
      </c>
    </row>
    <row r="558" spans="1:25" x14ac:dyDescent="0.25">
      <c r="A558" s="87" t="s">
        <v>2434</v>
      </c>
      <c r="K558">
        <v>82556</v>
      </c>
      <c r="Y558">
        <v>82556</v>
      </c>
    </row>
    <row r="559" spans="1:25" x14ac:dyDescent="0.25">
      <c r="A559" s="87" t="s">
        <v>2831</v>
      </c>
      <c r="K559">
        <v>157835</v>
      </c>
      <c r="Y559">
        <v>157835</v>
      </c>
    </row>
    <row r="560" spans="1:25" x14ac:dyDescent="0.25">
      <c r="A560" s="87" t="s">
        <v>1696</v>
      </c>
      <c r="H560">
        <v>195611</v>
      </c>
      <c r="Y560">
        <v>195611</v>
      </c>
    </row>
    <row r="561" spans="1:25" x14ac:dyDescent="0.25">
      <c r="A561" s="87" t="s">
        <v>1239</v>
      </c>
      <c r="X561">
        <v>354937</v>
      </c>
      <c r="Y561">
        <v>354937</v>
      </c>
    </row>
    <row r="562" spans="1:25" x14ac:dyDescent="0.25">
      <c r="A562" s="87" t="s">
        <v>1880</v>
      </c>
      <c r="H562">
        <v>70910</v>
      </c>
      <c r="Y562">
        <v>70910</v>
      </c>
    </row>
    <row r="563" spans="1:25" x14ac:dyDescent="0.25">
      <c r="A563" s="87" t="s">
        <v>1684</v>
      </c>
      <c r="H563">
        <v>143555</v>
      </c>
      <c r="Y563">
        <v>143555</v>
      </c>
    </row>
    <row r="564" spans="1:25" x14ac:dyDescent="0.25">
      <c r="A564" s="87" t="s">
        <v>1784</v>
      </c>
      <c r="H564">
        <v>164828</v>
      </c>
      <c r="Y564">
        <v>164828</v>
      </c>
    </row>
    <row r="565" spans="1:25" x14ac:dyDescent="0.25">
      <c r="A565" s="87" t="s">
        <v>1928</v>
      </c>
      <c r="H565">
        <v>104065</v>
      </c>
      <c r="Y565">
        <v>104065</v>
      </c>
    </row>
    <row r="566" spans="1:25" x14ac:dyDescent="0.25">
      <c r="A566" s="87" t="s">
        <v>834</v>
      </c>
      <c r="P566">
        <v>235793</v>
      </c>
      <c r="Y566">
        <v>235793</v>
      </c>
    </row>
    <row r="567" spans="1:25" x14ac:dyDescent="0.25">
      <c r="A567" s="87" t="s">
        <v>1172</v>
      </c>
      <c r="H567">
        <v>142013</v>
      </c>
      <c r="Y567">
        <v>142013</v>
      </c>
    </row>
    <row r="568" spans="1:25" x14ac:dyDescent="0.25">
      <c r="A568" s="87" t="s">
        <v>1944</v>
      </c>
      <c r="H568">
        <v>200566</v>
      </c>
      <c r="Y568">
        <v>200566</v>
      </c>
    </row>
    <row r="569" spans="1:25" x14ac:dyDescent="0.25">
      <c r="A569" s="87" t="s">
        <v>1896</v>
      </c>
      <c r="X569">
        <v>160759</v>
      </c>
      <c r="Y569">
        <v>160759</v>
      </c>
    </row>
    <row r="570" spans="1:25" x14ac:dyDescent="0.25">
      <c r="A570" s="87" t="s">
        <v>2002</v>
      </c>
      <c r="H570">
        <v>42000</v>
      </c>
      <c r="Y570">
        <v>42000</v>
      </c>
    </row>
    <row r="571" spans="1:25" x14ac:dyDescent="0.25">
      <c r="A571" s="87" t="s">
        <v>698</v>
      </c>
      <c r="T571">
        <v>219470</v>
      </c>
      <c r="Y571">
        <v>219470</v>
      </c>
    </row>
    <row r="572" spans="1:25" x14ac:dyDescent="0.25">
      <c r="A572" s="87" t="s">
        <v>62</v>
      </c>
      <c r="P572">
        <v>203793</v>
      </c>
      <c r="Y572">
        <v>203793</v>
      </c>
    </row>
    <row r="573" spans="1:25" x14ac:dyDescent="0.25">
      <c r="A573" s="87" t="s">
        <v>2540</v>
      </c>
      <c r="K573">
        <v>130506</v>
      </c>
      <c r="Y573">
        <v>130506</v>
      </c>
    </row>
    <row r="574" spans="1:25" x14ac:dyDescent="0.25">
      <c r="A574" s="87" t="s">
        <v>2275</v>
      </c>
      <c r="G574">
        <v>124768</v>
      </c>
      <c r="Y574">
        <v>124768</v>
      </c>
    </row>
    <row r="575" spans="1:25" x14ac:dyDescent="0.25">
      <c r="A575" s="87" t="s">
        <v>375</v>
      </c>
      <c r="T575">
        <v>88677</v>
      </c>
      <c r="Y575">
        <v>88677</v>
      </c>
    </row>
    <row r="576" spans="1:25" x14ac:dyDescent="0.25">
      <c r="A576" s="87" t="s">
        <v>2705</v>
      </c>
      <c r="K576">
        <v>89781</v>
      </c>
      <c r="Y576">
        <v>89781</v>
      </c>
    </row>
    <row r="577" spans="1:25" x14ac:dyDescent="0.25">
      <c r="A577" s="87" t="s">
        <v>2827</v>
      </c>
      <c r="K577">
        <v>82571</v>
      </c>
      <c r="Y577">
        <v>82571</v>
      </c>
    </row>
    <row r="578" spans="1:25" x14ac:dyDescent="0.25">
      <c r="A578" s="87" t="s">
        <v>2899</v>
      </c>
      <c r="K578">
        <v>121681</v>
      </c>
      <c r="Y578">
        <v>121681</v>
      </c>
    </row>
    <row r="579" spans="1:25" x14ac:dyDescent="0.25">
      <c r="A579" s="87" t="s">
        <v>1057</v>
      </c>
      <c r="H579">
        <v>85170</v>
      </c>
      <c r="Y579">
        <v>85170</v>
      </c>
    </row>
    <row r="580" spans="1:25" x14ac:dyDescent="0.25">
      <c r="A580" s="87" t="s">
        <v>937</v>
      </c>
      <c r="T580">
        <v>92126</v>
      </c>
      <c r="Y580">
        <v>92126</v>
      </c>
    </row>
    <row r="581" spans="1:25" x14ac:dyDescent="0.25">
      <c r="A581" s="87" t="s">
        <v>1127</v>
      </c>
      <c r="H581">
        <v>72238</v>
      </c>
      <c r="Y581">
        <v>72238</v>
      </c>
    </row>
    <row r="582" spans="1:25" x14ac:dyDescent="0.25">
      <c r="A582" s="87" t="s">
        <v>3078</v>
      </c>
      <c r="K582">
        <v>84327</v>
      </c>
      <c r="Y582">
        <v>84327</v>
      </c>
    </row>
    <row r="583" spans="1:25" x14ac:dyDescent="0.25">
      <c r="A583" s="87" t="s">
        <v>1101</v>
      </c>
      <c r="H583">
        <v>62420</v>
      </c>
      <c r="Y583">
        <v>62420</v>
      </c>
    </row>
    <row r="584" spans="1:25" x14ac:dyDescent="0.25">
      <c r="A584" s="87" t="s">
        <v>2605</v>
      </c>
      <c r="K584">
        <v>245397</v>
      </c>
      <c r="Y584">
        <v>245397</v>
      </c>
    </row>
    <row r="585" spans="1:25" x14ac:dyDescent="0.25">
      <c r="A585" s="87" t="s">
        <v>815</v>
      </c>
      <c r="T585">
        <v>67742</v>
      </c>
      <c r="Y585">
        <v>67742</v>
      </c>
    </row>
    <row r="586" spans="1:25" x14ac:dyDescent="0.25">
      <c r="A586" s="87" t="s">
        <v>2288</v>
      </c>
      <c r="G586">
        <v>674447</v>
      </c>
      <c r="Y586">
        <v>674447</v>
      </c>
    </row>
    <row r="587" spans="1:25" x14ac:dyDescent="0.25">
      <c r="A587" s="87" t="s">
        <v>2752</v>
      </c>
      <c r="K587">
        <v>314394</v>
      </c>
      <c r="Y587">
        <v>314394</v>
      </c>
    </row>
    <row r="588" spans="1:25" x14ac:dyDescent="0.25">
      <c r="A588" s="87" t="s">
        <v>105</v>
      </c>
      <c r="T588">
        <v>207245</v>
      </c>
      <c r="Y588">
        <v>207245</v>
      </c>
    </row>
    <row r="589" spans="1:25" x14ac:dyDescent="0.25">
      <c r="A589" s="87" t="s">
        <v>498</v>
      </c>
      <c r="T589">
        <v>335883</v>
      </c>
      <c r="Y589">
        <v>335883</v>
      </c>
    </row>
    <row r="590" spans="1:25" x14ac:dyDescent="0.25">
      <c r="A590" s="87" t="s">
        <v>738</v>
      </c>
      <c r="T590">
        <v>71125</v>
      </c>
      <c r="Y590">
        <v>71125</v>
      </c>
    </row>
    <row r="591" spans="1:25" x14ac:dyDescent="0.25">
      <c r="A591" s="87" t="s">
        <v>258</v>
      </c>
      <c r="T591">
        <v>62337</v>
      </c>
      <c r="Y591">
        <v>62337</v>
      </c>
    </row>
    <row r="592" spans="1:25" x14ac:dyDescent="0.25">
      <c r="A592" s="87" t="s">
        <v>923</v>
      </c>
      <c r="T592">
        <v>76925</v>
      </c>
      <c r="Y592">
        <v>76925</v>
      </c>
    </row>
    <row r="593" spans="1:25" x14ac:dyDescent="0.25">
      <c r="A593" s="87" t="s">
        <v>188</v>
      </c>
      <c r="G593">
        <v>4828455</v>
      </c>
      <c r="Y593">
        <v>4828455</v>
      </c>
    </row>
    <row r="594" spans="1:25" x14ac:dyDescent="0.25">
      <c r="A594" s="87" t="s">
        <v>1297</v>
      </c>
      <c r="G594">
        <v>141208</v>
      </c>
      <c r="Y594">
        <v>141208</v>
      </c>
    </row>
    <row r="595" spans="1:25" x14ac:dyDescent="0.25">
      <c r="A595" s="87" t="s">
        <v>2328</v>
      </c>
      <c r="G595">
        <v>95495</v>
      </c>
      <c r="Y595">
        <v>95495</v>
      </c>
    </row>
    <row r="596" spans="1:25" x14ac:dyDescent="0.25">
      <c r="A596" s="87" t="s">
        <v>679</v>
      </c>
      <c r="K596">
        <v>429847</v>
      </c>
      <c r="Y596">
        <v>429847</v>
      </c>
    </row>
    <row r="597" spans="1:25" x14ac:dyDescent="0.25">
      <c r="A597" s="87" t="s">
        <v>688</v>
      </c>
      <c r="T597">
        <v>350953</v>
      </c>
      <c r="Y597">
        <v>350953</v>
      </c>
    </row>
    <row r="598" spans="1:25" x14ac:dyDescent="0.25">
      <c r="A598" s="87" t="s">
        <v>2352</v>
      </c>
      <c r="G598">
        <v>110357</v>
      </c>
      <c r="Y598">
        <v>110357</v>
      </c>
    </row>
    <row r="599" spans="1:25" x14ac:dyDescent="0.25">
      <c r="A599" s="87" t="s">
        <v>780</v>
      </c>
      <c r="T599">
        <v>42045</v>
      </c>
      <c r="Y599">
        <v>42045</v>
      </c>
    </row>
    <row r="600" spans="1:25" x14ac:dyDescent="0.25">
      <c r="A600" s="87" t="s">
        <v>18</v>
      </c>
      <c r="T600">
        <v>143588</v>
      </c>
      <c r="Y600">
        <v>143588</v>
      </c>
    </row>
    <row r="601" spans="1:25" x14ac:dyDescent="0.25">
      <c r="A601" s="87" t="s">
        <v>2374</v>
      </c>
      <c r="G601">
        <v>54000</v>
      </c>
      <c r="Y601">
        <v>54000</v>
      </c>
    </row>
    <row r="602" spans="1:25" x14ac:dyDescent="0.25">
      <c r="A602" s="87" t="s">
        <v>3071</v>
      </c>
      <c r="K602">
        <v>75937</v>
      </c>
      <c r="Y602">
        <v>75937</v>
      </c>
    </row>
    <row r="603" spans="1:25" x14ac:dyDescent="0.25">
      <c r="A603" s="87" t="s">
        <v>2516</v>
      </c>
      <c r="K603">
        <v>382049</v>
      </c>
      <c r="Y603">
        <v>382049</v>
      </c>
    </row>
    <row r="604" spans="1:25" x14ac:dyDescent="0.25">
      <c r="A604" s="87" t="s">
        <v>2968</v>
      </c>
      <c r="K604">
        <v>107242</v>
      </c>
      <c r="Y604">
        <v>107242</v>
      </c>
    </row>
    <row r="605" spans="1:25" x14ac:dyDescent="0.25">
      <c r="A605" s="87" t="s">
        <v>2730</v>
      </c>
      <c r="K605">
        <v>177690</v>
      </c>
      <c r="Y605">
        <v>177690</v>
      </c>
    </row>
    <row r="606" spans="1:25" x14ac:dyDescent="0.25">
      <c r="A606" s="87" t="s">
        <v>2839</v>
      </c>
      <c r="K606">
        <v>202460</v>
      </c>
      <c r="Y606">
        <v>202460</v>
      </c>
    </row>
    <row r="607" spans="1:25" x14ac:dyDescent="0.25">
      <c r="A607" s="87" t="s">
        <v>1152</v>
      </c>
      <c r="H607">
        <v>107100</v>
      </c>
      <c r="Y607">
        <v>107100</v>
      </c>
    </row>
    <row r="608" spans="1:25" x14ac:dyDescent="0.25">
      <c r="A608" s="87" t="s">
        <v>3011</v>
      </c>
      <c r="K608">
        <v>46963</v>
      </c>
      <c r="Y608">
        <v>46963</v>
      </c>
    </row>
    <row r="609" spans="1:25" x14ac:dyDescent="0.25">
      <c r="A609" s="87" t="s">
        <v>2631</v>
      </c>
      <c r="K609">
        <v>101451</v>
      </c>
      <c r="Y609">
        <v>101451</v>
      </c>
    </row>
    <row r="610" spans="1:25" x14ac:dyDescent="0.25">
      <c r="A610" s="87" t="s">
        <v>2635</v>
      </c>
      <c r="K610">
        <v>118996</v>
      </c>
      <c r="Y610">
        <v>118996</v>
      </c>
    </row>
    <row r="611" spans="1:25" x14ac:dyDescent="0.25">
      <c r="A611" s="87" t="s">
        <v>2529</v>
      </c>
      <c r="K611">
        <v>143643</v>
      </c>
      <c r="Y611">
        <v>143643</v>
      </c>
    </row>
    <row r="612" spans="1:25" x14ac:dyDescent="0.25">
      <c r="A612" s="87" t="s">
        <v>2000</v>
      </c>
      <c r="B612">
        <v>101567</v>
      </c>
      <c r="Y612">
        <v>101567</v>
      </c>
    </row>
    <row r="613" spans="1:25" x14ac:dyDescent="0.25">
      <c r="A613" s="87" t="s">
        <v>156</v>
      </c>
      <c r="T613">
        <v>70969</v>
      </c>
      <c r="Y613">
        <v>70969</v>
      </c>
    </row>
    <row r="614" spans="1:25" x14ac:dyDescent="0.25">
      <c r="A614" s="87" t="s">
        <v>2810</v>
      </c>
      <c r="K614">
        <v>96201</v>
      </c>
      <c r="Y614">
        <v>96201</v>
      </c>
    </row>
    <row r="615" spans="1:25" x14ac:dyDescent="0.25">
      <c r="A615" s="87" t="s">
        <v>2591</v>
      </c>
      <c r="K615">
        <v>223011</v>
      </c>
      <c r="Y615">
        <v>223011</v>
      </c>
    </row>
    <row r="616" spans="1:25" x14ac:dyDescent="0.25">
      <c r="A616" s="87" t="s">
        <v>2664</v>
      </c>
      <c r="K616">
        <v>189565</v>
      </c>
      <c r="Y616">
        <v>189565</v>
      </c>
    </row>
    <row r="617" spans="1:25" x14ac:dyDescent="0.25">
      <c r="A617" s="87" t="s">
        <v>1485</v>
      </c>
    </row>
    <row r="618" spans="1:25" x14ac:dyDescent="0.25">
      <c r="A618" s="87" t="s">
        <v>2302</v>
      </c>
      <c r="V618">
        <v>396857</v>
      </c>
      <c r="Y618">
        <v>396857</v>
      </c>
    </row>
    <row r="619" spans="1:25" x14ac:dyDescent="0.25">
      <c r="A619" s="87" t="s">
        <v>1181</v>
      </c>
      <c r="H619">
        <v>101564</v>
      </c>
      <c r="Y619">
        <v>101564</v>
      </c>
    </row>
    <row r="620" spans="1:25" x14ac:dyDescent="0.25">
      <c r="A620" s="87" t="s">
        <v>1099</v>
      </c>
      <c r="H620">
        <v>50152</v>
      </c>
      <c r="Y620">
        <v>50152</v>
      </c>
    </row>
    <row r="621" spans="1:25" x14ac:dyDescent="0.25">
      <c r="A621" s="87" t="s">
        <v>2633</v>
      </c>
      <c r="K621">
        <v>260004</v>
      </c>
      <c r="Y621">
        <v>260004</v>
      </c>
    </row>
    <row r="622" spans="1:25" x14ac:dyDescent="0.25">
      <c r="A622" s="87" t="s">
        <v>857</v>
      </c>
      <c r="T622">
        <v>75881</v>
      </c>
      <c r="Y622">
        <v>75881</v>
      </c>
    </row>
    <row r="623" spans="1:25" x14ac:dyDescent="0.25">
      <c r="A623" s="87" t="s">
        <v>406</v>
      </c>
      <c r="P623">
        <v>92126</v>
      </c>
      <c r="Y623">
        <v>92126</v>
      </c>
    </row>
    <row r="624" spans="1:25" x14ac:dyDescent="0.25">
      <c r="A624" s="87" t="s">
        <v>2612</v>
      </c>
      <c r="K624">
        <v>190705</v>
      </c>
      <c r="Y624">
        <v>190705</v>
      </c>
    </row>
    <row r="625" spans="1:25" x14ac:dyDescent="0.25">
      <c r="A625" s="87" t="s">
        <v>3001</v>
      </c>
      <c r="K625">
        <v>123092</v>
      </c>
      <c r="Y625">
        <v>123092</v>
      </c>
    </row>
    <row r="626" spans="1:25" x14ac:dyDescent="0.25">
      <c r="A626" s="87" t="s">
        <v>2756</v>
      </c>
      <c r="K626">
        <v>79503</v>
      </c>
      <c r="Y626">
        <v>79503</v>
      </c>
    </row>
    <row r="627" spans="1:25" x14ac:dyDescent="0.25">
      <c r="A627" s="87" t="s">
        <v>2069</v>
      </c>
      <c r="H627">
        <v>118810</v>
      </c>
      <c r="Y627">
        <v>118810</v>
      </c>
    </row>
    <row r="628" spans="1:25" x14ac:dyDescent="0.25">
      <c r="A628" s="87" t="s">
        <v>484</v>
      </c>
      <c r="P628">
        <v>772926</v>
      </c>
      <c r="Y628">
        <v>772926</v>
      </c>
    </row>
    <row r="629" spans="1:25" x14ac:dyDescent="0.25">
      <c r="A629" s="87" t="s">
        <v>2653</v>
      </c>
      <c r="K629">
        <v>239168</v>
      </c>
      <c r="Y629">
        <v>239168</v>
      </c>
    </row>
    <row r="630" spans="1:25" x14ac:dyDescent="0.25">
      <c r="A630" s="87" t="s">
        <v>2885</v>
      </c>
      <c r="K630">
        <v>76168</v>
      </c>
      <c r="Y630">
        <v>76168</v>
      </c>
    </row>
    <row r="631" spans="1:25" x14ac:dyDescent="0.25">
      <c r="A631" s="87" t="s">
        <v>22</v>
      </c>
      <c r="P631">
        <v>96217</v>
      </c>
      <c r="Y631">
        <v>96217</v>
      </c>
    </row>
    <row r="632" spans="1:25" x14ac:dyDescent="0.25">
      <c r="A632" s="87" t="s">
        <v>2121</v>
      </c>
      <c r="H632">
        <v>421445</v>
      </c>
      <c r="Y632">
        <v>421445</v>
      </c>
    </row>
    <row r="633" spans="1:25" x14ac:dyDescent="0.25">
      <c r="A633" s="87" t="s">
        <v>2510</v>
      </c>
      <c r="K633">
        <v>150636</v>
      </c>
      <c r="Y633">
        <v>150636</v>
      </c>
    </row>
    <row r="634" spans="1:25" x14ac:dyDescent="0.25">
      <c r="A634" s="87" t="s">
        <v>331</v>
      </c>
      <c r="T634">
        <v>203793</v>
      </c>
      <c r="Y634">
        <v>203793</v>
      </c>
    </row>
    <row r="635" spans="1:25" x14ac:dyDescent="0.25">
      <c r="A635" s="87" t="s">
        <v>357</v>
      </c>
      <c r="T635">
        <v>100034</v>
      </c>
      <c r="Y635">
        <v>100034</v>
      </c>
    </row>
    <row r="636" spans="1:25" x14ac:dyDescent="0.25">
      <c r="A636" s="87" t="s">
        <v>2259</v>
      </c>
      <c r="D636">
        <v>54776</v>
      </c>
      <c r="Y636">
        <v>54776</v>
      </c>
    </row>
    <row r="637" spans="1:25" x14ac:dyDescent="0.25">
      <c r="A637" s="87" t="s">
        <v>2444</v>
      </c>
      <c r="K637">
        <v>86471</v>
      </c>
      <c r="Y637">
        <v>86471</v>
      </c>
    </row>
    <row r="638" spans="1:25" x14ac:dyDescent="0.25">
      <c r="A638" s="87" t="s">
        <v>508</v>
      </c>
      <c r="T638">
        <v>107211</v>
      </c>
      <c r="Y638">
        <v>107211</v>
      </c>
    </row>
    <row r="639" spans="1:25" x14ac:dyDescent="0.25">
      <c r="A639" s="87" t="s">
        <v>2022</v>
      </c>
      <c r="B639">
        <v>80117</v>
      </c>
      <c r="Y639">
        <v>80117</v>
      </c>
    </row>
    <row r="640" spans="1:25" x14ac:dyDescent="0.25">
      <c r="A640" s="87" t="s">
        <v>2157</v>
      </c>
      <c r="H640">
        <v>122275</v>
      </c>
      <c r="Y640">
        <v>122275</v>
      </c>
    </row>
    <row r="641" spans="1:25" x14ac:dyDescent="0.25">
      <c r="A641" s="87" t="s">
        <v>2284</v>
      </c>
      <c r="G641">
        <v>189357</v>
      </c>
      <c r="Y641">
        <v>189357</v>
      </c>
    </row>
    <row r="642" spans="1:25" x14ac:dyDescent="0.25">
      <c r="A642" s="87" t="s">
        <v>2972</v>
      </c>
    </row>
    <row r="643" spans="1:25" x14ac:dyDescent="0.25">
      <c r="A643" s="87" t="s">
        <v>1465</v>
      </c>
      <c r="G643">
        <v>95966</v>
      </c>
      <c r="Y643">
        <v>95966</v>
      </c>
    </row>
    <row r="644" spans="1:25" x14ac:dyDescent="0.25">
      <c r="A644" s="87" t="s">
        <v>846</v>
      </c>
      <c r="T644">
        <v>142085</v>
      </c>
      <c r="Y644">
        <v>142085</v>
      </c>
    </row>
    <row r="645" spans="1:25" x14ac:dyDescent="0.25">
      <c r="A645" s="87" t="s">
        <v>2939</v>
      </c>
      <c r="K645">
        <v>128388</v>
      </c>
      <c r="Y645">
        <v>128388</v>
      </c>
    </row>
    <row r="646" spans="1:25" x14ac:dyDescent="0.25">
      <c r="A646" s="87" t="s">
        <v>2335</v>
      </c>
      <c r="G646">
        <v>88021</v>
      </c>
      <c r="Y646">
        <v>88021</v>
      </c>
    </row>
    <row r="647" spans="1:25" x14ac:dyDescent="0.25">
      <c r="A647" s="87" t="s">
        <v>2490</v>
      </c>
      <c r="K647">
        <v>120069</v>
      </c>
      <c r="Y647">
        <v>120069</v>
      </c>
    </row>
    <row r="648" spans="1:25" x14ac:dyDescent="0.25">
      <c r="A648" s="87" t="s">
        <v>2492</v>
      </c>
      <c r="X648">
        <v>127432</v>
      </c>
      <c r="Y648">
        <v>127432</v>
      </c>
    </row>
    <row r="649" spans="1:25" x14ac:dyDescent="0.25">
      <c r="A649" s="87" t="s">
        <v>1930</v>
      </c>
      <c r="V649">
        <v>203768</v>
      </c>
      <c r="Y649">
        <v>203768</v>
      </c>
    </row>
    <row r="650" spans="1:25" x14ac:dyDescent="0.25">
      <c r="A650" s="87" t="s">
        <v>1716</v>
      </c>
      <c r="H650">
        <v>155785</v>
      </c>
      <c r="Y650">
        <v>155785</v>
      </c>
    </row>
    <row r="651" spans="1:25" x14ac:dyDescent="0.25">
      <c r="A651" s="87" t="s">
        <v>1091</v>
      </c>
      <c r="H651">
        <v>250878</v>
      </c>
      <c r="Y651">
        <v>250878</v>
      </c>
    </row>
    <row r="652" spans="1:25" x14ac:dyDescent="0.25">
      <c r="A652" s="87" t="s">
        <v>2824</v>
      </c>
      <c r="K652">
        <v>219408</v>
      </c>
      <c r="Y652">
        <v>219408</v>
      </c>
    </row>
    <row r="653" spans="1:25" x14ac:dyDescent="0.25">
      <c r="A653" s="87" t="s">
        <v>2981</v>
      </c>
      <c r="K653">
        <v>101098</v>
      </c>
      <c r="Y653">
        <v>101098</v>
      </c>
    </row>
    <row r="654" spans="1:25" x14ac:dyDescent="0.25">
      <c r="A654" s="87" t="s">
        <v>1815</v>
      </c>
      <c r="H654">
        <v>85140</v>
      </c>
      <c r="Y654">
        <v>85140</v>
      </c>
    </row>
    <row r="655" spans="1:25" x14ac:dyDescent="0.25">
      <c r="A655" s="87" t="s">
        <v>2305</v>
      </c>
      <c r="G655">
        <v>94763</v>
      </c>
      <c r="Y655">
        <v>94763</v>
      </c>
    </row>
    <row r="656" spans="1:25" x14ac:dyDescent="0.25">
      <c r="A656" s="87" t="s">
        <v>1979</v>
      </c>
      <c r="V656">
        <v>100342</v>
      </c>
      <c r="Y656">
        <v>100342</v>
      </c>
    </row>
    <row r="657" spans="1:25" x14ac:dyDescent="0.25">
      <c r="A657" s="87" t="s">
        <v>1109</v>
      </c>
      <c r="H657">
        <v>149175</v>
      </c>
      <c r="Y657">
        <v>149175</v>
      </c>
    </row>
    <row r="658" spans="1:25" x14ac:dyDescent="0.25">
      <c r="A658" s="87" t="s">
        <v>2686</v>
      </c>
      <c r="K658">
        <v>75937</v>
      </c>
      <c r="Y658">
        <v>75937</v>
      </c>
    </row>
    <row r="659" spans="1:25" x14ac:dyDescent="0.25">
      <c r="A659" s="87" t="s">
        <v>549</v>
      </c>
      <c r="T659">
        <v>189835</v>
      </c>
      <c r="Y659">
        <v>189835</v>
      </c>
    </row>
    <row r="660" spans="1:25" x14ac:dyDescent="0.25">
      <c r="A660" s="87" t="s">
        <v>1751</v>
      </c>
      <c r="H660">
        <v>57250</v>
      </c>
      <c r="Y660">
        <v>57250</v>
      </c>
    </row>
    <row r="661" spans="1:25" x14ac:dyDescent="0.25">
      <c r="A661" s="87" t="s">
        <v>1669</v>
      </c>
      <c r="H661">
        <v>143579</v>
      </c>
      <c r="Y661">
        <v>143579</v>
      </c>
    </row>
    <row r="662" spans="1:25" x14ac:dyDescent="0.25">
      <c r="A662" s="87" t="s">
        <v>862</v>
      </c>
      <c r="T662">
        <v>138692</v>
      </c>
      <c r="Y662">
        <v>138692</v>
      </c>
    </row>
    <row r="663" spans="1:25" x14ac:dyDescent="0.25">
      <c r="A663" s="87" t="s">
        <v>2821</v>
      </c>
      <c r="K663">
        <v>154442</v>
      </c>
      <c r="Y663">
        <v>154442</v>
      </c>
    </row>
    <row r="664" spans="1:25" x14ac:dyDescent="0.25">
      <c r="A664" s="87" t="s">
        <v>2453</v>
      </c>
      <c r="K664">
        <v>581090</v>
      </c>
      <c r="Y664">
        <v>581090</v>
      </c>
    </row>
    <row r="665" spans="1:25" x14ac:dyDescent="0.25">
      <c r="A665" s="87" t="s">
        <v>438</v>
      </c>
      <c r="T665">
        <v>63020</v>
      </c>
      <c r="Y665">
        <v>63020</v>
      </c>
    </row>
    <row r="666" spans="1:25" x14ac:dyDescent="0.25">
      <c r="A666" s="87" t="s">
        <v>2814</v>
      </c>
      <c r="K666">
        <v>126633</v>
      </c>
      <c r="Y666">
        <v>126633</v>
      </c>
    </row>
    <row r="667" spans="1:25" x14ac:dyDescent="0.25">
      <c r="A667" s="87" t="s">
        <v>1378</v>
      </c>
    </row>
    <row r="668" spans="1:25" x14ac:dyDescent="0.25">
      <c r="A668" s="87" t="s">
        <v>1305</v>
      </c>
      <c r="G668">
        <v>127546</v>
      </c>
      <c r="Y668">
        <v>127546</v>
      </c>
    </row>
    <row r="669" spans="1:25" x14ac:dyDescent="0.25">
      <c r="A669" s="87" t="s">
        <v>1312</v>
      </c>
      <c r="G669">
        <v>224151</v>
      </c>
      <c r="Y669">
        <v>224151</v>
      </c>
    </row>
    <row r="670" spans="1:25" x14ac:dyDescent="0.25">
      <c r="A670" s="87" t="s">
        <v>353</v>
      </c>
      <c r="K670">
        <v>882977</v>
      </c>
      <c r="Y670">
        <v>882977</v>
      </c>
    </row>
    <row r="671" spans="1:25" x14ac:dyDescent="0.25">
      <c r="A671" s="87" t="s">
        <v>2542</v>
      </c>
      <c r="K671">
        <v>305124</v>
      </c>
      <c r="Y671">
        <v>305124</v>
      </c>
    </row>
    <row r="672" spans="1:25" x14ac:dyDescent="0.25">
      <c r="A672" s="87" t="s">
        <v>2554</v>
      </c>
      <c r="K672">
        <v>107242</v>
      </c>
      <c r="Y672">
        <v>107242</v>
      </c>
    </row>
    <row r="673" spans="1:25" x14ac:dyDescent="0.25">
      <c r="A673" s="87" t="s">
        <v>2006</v>
      </c>
      <c r="H673">
        <v>123208</v>
      </c>
      <c r="Y673">
        <v>123208</v>
      </c>
    </row>
    <row r="674" spans="1:25" x14ac:dyDescent="0.25">
      <c r="A674" s="87" t="s">
        <v>1976</v>
      </c>
      <c r="H674">
        <v>288804</v>
      </c>
      <c r="Y674">
        <v>288804</v>
      </c>
    </row>
    <row r="675" spans="1:25" x14ac:dyDescent="0.25">
      <c r="A675" s="87" t="s">
        <v>1667</v>
      </c>
      <c r="H675">
        <v>76832</v>
      </c>
      <c r="Y675">
        <v>76832</v>
      </c>
    </row>
    <row r="676" spans="1:25" x14ac:dyDescent="0.25">
      <c r="A676" s="87" t="s">
        <v>1964</v>
      </c>
      <c r="H676">
        <v>34002</v>
      </c>
      <c r="Y676">
        <v>34002</v>
      </c>
    </row>
    <row r="677" spans="1:25" x14ac:dyDescent="0.25">
      <c r="A677" s="87" t="s">
        <v>1087</v>
      </c>
      <c r="H677">
        <v>101564</v>
      </c>
      <c r="Y677">
        <v>101564</v>
      </c>
    </row>
    <row r="678" spans="1:25" x14ac:dyDescent="0.25">
      <c r="A678" s="87" t="s">
        <v>1274</v>
      </c>
      <c r="G678">
        <v>342203</v>
      </c>
      <c r="Y678">
        <v>342203</v>
      </c>
    </row>
    <row r="679" spans="1:25" x14ac:dyDescent="0.25">
      <c r="A679" s="87" t="s">
        <v>1483</v>
      </c>
      <c r="G679">
        <v>166380</v>
      </c>
      <c r="Y679">
        <v>166380</v>
      </c>
    </row>
    <row r="680" spans="1:25" x14ac:dyDescent="0.25">
      <c r="A680" s="87" t="s">
        <v>2783</v>
      </c>
      <c r="K680">
        <v>136965</v>
      </c>
      <c r="Y680">
        <v>136965</v>
      </c>
    </row>
    <row r="681" spans="1:25" x14ac:dyDescent="0.25">
      <c r="A681" s="87" t="s">
        <v>2923</v>
      </c>
      <c r="K681">
        <v>148910</v>
      </c>
      <c r="Y681">
        <v>148910</v>
      </c>
    </row>
    <row r="682" spans="1:25" x14ac:dyDescent="0.25">
      <c r="A682" s="87" t="s">
        <v>2987</v>
      </c>
      <c r="K682">
        <v>107934</v>
      </c>
      <c r="Y682">
        <v>107934</v>
      </c>
    </row>
    <row r="683" spans="1:25" x14ac:dyDescent="0.25">
      <c r="A683" s="87" t="s">
        <v>2163</v>
      </c>
      <c r="H683">
        <v>86471</v>
      </c>
      <c r="Y683">
        <v>86471</v>
      </c>
    </row>
    <row r="684" spans="1:25" x14ac:dyDescent="0.25">
      <c r="A684" s="87" t="s">
        <v>2291</v>
      </c>
    </row>
    <row r="685" spans="1:25" x14ac:dyDescent="0.25">
      <c r="A685" s="87" t="s">
        <v>2728</v>
      </c>
      <c r="K685">
        <v>252843</v>
      </c>
      <c r="Y685">
        <v>252843</v>
      </c>
    </row>
    <row r="686" spans="1:25" x14ac:dyDescent="0.25">
      <c r="A686" s="87" t="s">
        <v>2572</v>
      </c>
      <c r="K686">
        <v>178945</v>
      </c>
      <c r="Y686">
        <v>178945</v>
      </c>
    </row>
    <row r="687" spans="1:25" x14ac:dyDescent="0.25">
      <c r="A687" s="87" t="s">
        <v>1885</v>
      </c>
      <c r="H687">
        <v>311328</v>
      </c>
      <c r="Y687">
        <v>311328</v>
      </c>
    </row>
    <row r="688" spans="1:25" x14ac:dyDescent="0.25">
      <c r="A688" s="87" t="s">
        <v>663</v>
      </c>
      <c r="T688">
        <v>101400</v>
      </c>
      <c r="Y688">
        <v>101400</v>
      </c>
    </row>
    <row r="689" spans="1:25" x14ac:dyDescent="0.25">
      <c r="A689" s="87" t="s">
        <v>475</v>
      </c>
      <c r="T689">
        <v>55037</v>
      </c>
      <c r="Y689">
        <v>55037</v>
      </c>
    </row>
    <row r="690" spans="1:25" x14ac:dyDescent="0.25">
      <c r="A690" s="87" t="s">
        <v>2270</v>
      </c>
      <c r="G690">
        <v>96608</v>
      </c>
      <c r="Y690">
        <v>96608</v>
      </c>
    </row>
    <row r="691" spans="1:25" x14ac:dyDescent="0.25">
      <c r="A691" s="87" t="s">
        <v>2312</v>
      </c>
      <c r="G691">
        <v>132351</v>
      </c>
      <c r="Y691">
        <v>132351</v>
      </c>
    </row>
    <row r="692" spans="1:25" x14ac:dyDescent="0.25">
      <c r="A692" s="87" t="s">
        <v>1408</v>
      </c>
      <c r="G692">
        <v>149230</v>
      </c>
      <c r="Y692">
        <v>149230</v>
      </c>
    </row>
    <row r="693" spans="1:25" x14ac:dyDescent="0.25">
      <c r="A693" s="87" t="s">
        <v>1363</v>
      </c>
      <c r="G693">
        <v>121682</v>
      </c>
      <c r="Y693">
        <v>121682</v>
      </c>
    </row>
    <row r="694" spans="1:25" x14ac:dyDescent="0.25">
      <c r="A694" s="87" t="s">
        <v>1342</v>
      </c>
      <c r="G694">
        <v>383042</v>
      </c>
      <c r="Y694">
        <v>383042</v>
      </c>
    </row>
    <row r="695" spans="1:25" x14ac:dyDescent="0.25">
      <c r="A695" s="87" t="s">
        <v>2959</v>
      </c>
      <c r="K695">
        <v>53883</v>
      </c>
      <c r="Y695">
        <v>53883</v>
      </c>
    </row>
    <row r="696" spans="1:25" x14ac:dyDescent="0.25">
      <c r="A696" s="87" t="s">
        <v>700</v>
      </c>
      <c r="T696">
        <v>134196</v>
      </c>
      <c r="Y696">
        <v>134196</v>
      </c>
    </row>
    <row r="697" spans="1:25" x14ac:dyDescent="0.25">
      <c r="A697" s="87" t="s">
        <v>338</v>
      </c>
      <c r="T697">
        <v>137608</v>
      </c>
      <c r="Y697">
        <v>137608</v>
      </c>
    </row>
    <row r="698" spans="1:25" x14ac:dyDescent="0.25">
      <c r="A698" s="87" t="s">
        <v>2584</v>
      </c>
      <c r="K698">
        <v>98751</v>
      </c>
      <c r="Y698">
        <v>98751</v>
      </c>
    </row>
    <row r="699" spans="1:25" x14ac:dyDescent="0.25">
      <c r="A699" s="87" t="s">
        <v>2442</v>
      </c>
      <c r="K699">
        <v>143585</v>
      </c>
      <c r="Y699">
        <v>143585</v>
      </c>
    </row>
    <row r="700" spans="1:25" x14ac:dyDescent="0.25">
      <c r="A700" s="87" t="s">
        <v>2770</v>
      </c>
      <c r="K700">
        <v>101472</v>
      </c>
      <c r="Y700">
        <v>101472</v>
      </c>
    </row>
    <row r="701" spans="1:25" x14ac:dyDescent="0.25">
      <c r="A701" s="87" t="s">
        <v>716</v>
      </c>
      <c r="T701">
        <v>120013</v>
      </c>
      <c r="Y701">
        <v>120013</v>
      </c>
    </row>
    <row r="702" spans="1:25" x14ac:dyDescent="0.25">
      <c r="A702" s="87" t="s">
        <v>2574</v>
      </c>
      <c r="K702">
        <v>132245</v>
      </c>
      <c r="Y702">
        <v>132245</v>
      </c>
    </row>
    <row r="703" spans="1:25" x14ac:dyDescent="0.25">
      <c r="A703" s="87" t="s">
        <v>2835</v>
      </c>
      <c r="K703">
        <v>353255</v>
      </c>
      <c r="Y703">
        <v>353255</v>
      </c>
    </row>
    <row r="704" spans="1:25" x14ac:dyDescent="0.25">
      <c r="A704" s="87" t="s">
        <v>569</v>
      </c>
      <c r="T704">
        <v>120013</v>
      </c>
      <c r="Y704">
        <v>120013</v>
      </c>
    </row>
    <row r="705" spans="1:25" x14ac:dyDescent="0.25">
      <c r="A705" s="87" t="s">
        <v>2419</v>
      </c>
      <c r="K705">
        <v>33481</v>
      </c>
      <c r="Y705">
        <v>33481</v>
      </c>
    </row>
    <row r="706" spans="1:25" x14ac:dyDescent="0.25">
      <c r="A706" s="87" t="s">
        <v>2718</v>
      </c>
      <c r="K706">
        <v>132359</v>
      </c>
      <c r="Y706">
        <v>132359</v>
      </c>
    </row>
    <row r="707" spans="1:25" x14ac:dyDescent="0.25">
      <c r="A707" s="87" t="s">
        <v>2961</v>
      </c>
      <c r="K707">
        <v>314623</v>
      </c>
      <c r="Y707">
        <v>314623</v>
      </c>
    </row>
    <row r="708" spans="1:25" x14ac:dyDescent="0.25">
      <c r="A708" s="87" t="s">
        <v>2673</v>
      </c>
      <c r="K708">
        <v>57260</v>
      </c>
      <c r="Y708">
        <v>57260</v>
      </c>
    </row>
    <row r="709" spans="1:25" x14ac:dyDescent="0.25">
      <c r="A709" s="87" t="s">
        <v>2597</v>
      </c>
      <c r="R709">
        <v>55015</v>
      </c>
      <c r="Y709">
        <v>55015</v>
      </c>
    </row>
    <row r="710" spans="1:25" x14ac:dyDescent="0.25">
      <c r="A710" s="87" t="s">
        <v>3015</v>
      </c>
      <c r="K710">
        <v>101400</v>
      </c>
      <c r="Y710">
        <v>101400</v>
      </c>
    </row>
    <row r="711" spans="1:25" x14ac:dyDescent="0.25">
      <c r="A711" s="87" t="s">
        <v>2409</v>
      </c>
      <c r="K711">
        <v>231802</v>
      </c>
      <c r="Y711">
        <v>231802</v>
      </c>
    </row>
    <row r="712" spans="1:25" x14ac:dyDescent="0.25">
      <c r="A712" s="87" t="s">
        <v>2476</v>
      </c>
      <c r="K712">
        <v>105996</v>
      </c>
      <c r="Y712">
        <v>105996</v>
      </c>
    </row>
    <row r="713" spans="1:25" x14ac:dyDescent="0.25">
      <c r="A713" s="87" t="s">
        <v>3040</v>
      </c>
      <c r="K713">
        <v>152453</v>
      </c>
      <c r="Y713">
        <v>152453</v>
      </c>
    </row>
    <row r="714" spans="1:25" x14ac:dyDescent="0.25">
      <c r="A714" s="87" t="s">
        <v>2503</v>
      </c>
      <c r="K714">
        <v>29757</v>
      </c>
      <c r="Y714">
        <v>29757</v>
      </c>
    </row>
    <row r="715" spans="1:25" x14ac:dyDescent="0.25">
      <c r="A715" s="87" t="s">
        <v>503</v>
      </c>
      <c r="T715">
        <v>106692</v>
      </c>
      <c r="Y715">
        <v>106692</v>
      </c>
    </row>
    <row r="716" spans="1:25" x14ac:dyDescent="0.25">
      <c r="A716" s="87" t="s">
        <v>235</v>
      </c>
      <c r="T716">
        <v>49625</v>
      </c>
      <c r="Y716">
        <v>49625</v>
      </c>
    </row>
    <row r="717" spans="1:25" x14ac:dyDescent="0.25">
      <c r="A717" s="87" t="s">
        <v>176</v>
      </c>
      <c r="T717">
        <v>88677</v>
      </c>
      <c r="Y717">
        <v>88677</v>
      </c>
    </row>
    <row r="718" spans="1:25" x14ac:dyDescent="0.25">
      <c r="A718" s="87" t="s">
        <v>3101</v>
      </c>
      <c r="K718">
        <v>107228</v>
      </c>
      <c r="Y718">
        <v>107228</v>
      </c>
    </row>
    <row r="719" spans="1:25" x14ac:dyDescent="0.25">
      <c r="A719" s="87" t="s">
        <v>2852</v>
      </c>
      <c r="K719">
        <v>352859</v>
      </c>
      <c r="Y719">
        <v>352859</v>
      </c>
    </row>
    <row r="720" spans="1:25" x14ac:dyDescent="0.25">
      <c r="A720" s="87" t="s">
        <v>2135</v>
      </c>
      <c r="H720">
        <v>126360</v>
      </c>
      <c r="Y720">
        <v>126360</v>
      </c>
    </row>
    <row r="721" spans="1:25" x14ac:dyDescent="0.25">
      <c r="A721" s="87" t="s">
        <v>2749</v>
      </c>
      <c r="K721">
        <v>100029</v>
      </c>
      <c r="Y721">
        <v>100029</v>
      </c>
    </row>
    <row r="722" spans="1:25" x14ac:dyDescent="0.25">
      <c r="A722" s="87" t="s">
        <v>326</v>
      </c>
      <c r="T722">
        <v>80085</v>
      </c>
      <c r="Y722">
        <v>80085</v>
      </c>
    </row>
    <row r="723" spans="1:25" x14ac:dyDescent="0.25">
      <c r="A723" s="87" t="s">
        <v>134</v>
      </c>
      <c r="T723">
        <v>458748</v>
      </c>
      <c r="Y723">
        <v>458748</v>
      </c>
    </row>
    <row r="724" spans="1:25" x14ac:dyDescent="0.25">
      <c r="A724" s="87" t="s">
        <v>897</v>
      </c>
      <c r="T724">
        <v>54725</v>
      </c>
      <c r="Y724">
        <v>54725</v>
      </c>
    </row>
    <row r="725" spans="1:25" x14ac:dyDescent="0.25">
      <c r="A725" s="87" t="s">
        <v>254</v>
      </c>
      <c r="T725">
        <v>118761</v>
      </c>
      <c r="Y725">
        <v>118761</v>
      </c>
    </row>
    <row r="726" spans="1:25" x14ac:dyDescent="0.25">
      <c r="A726" s="87" t="s">
        <v>765</v>
      </c>
      <c r="T726">
        <v>55037</v>
      </c>
      <c r="Y726">
        <v>55037</v>
      </c>
    </row>
    <row r="727" spans="1:25" x14ac:dyDescent="0.25">
      <c r="A727" s="87" t="s">
        <v>424</v>
      </c>
      <c r="T727">
        <v>49625</v>
      </c>
      <c r="Y727">
        <v>49625</v>
      </c>
    </row>
    <row r="728" spans="1:25" x14ac:dyDescent="0.25">
      <c r="A728" s="87" t="s">
        <v>3097</v>
      </c>
      <c r="K728">
        <v>75938</v>
      </c>
      <c r="Y728">
        <v>75938</v>
      </c>
    </row>
    <row r="729" spans="1:25" x14ac:dyDescent="0.25">
      <c r="A729" s="87" t="s">
        <v>2876</v>
      </c>
      <c r="K729">
        <v>97501</v>
      </c>
      <c r="Y729">
        <v>97501</v>
      </c>
    </row>
    <row r="730" spans="1:25" x14ac:dyDescent="0.25">
      <c r="A730" s="87" t="s">
        <v>150</v>
      </c>
      <c r="T730">
        <v>168071</v>
      </c>
      <c r="Y730">
        <v>168071</v>
      </c>
    </row>
    <row r="731" spans="1:25" x14ac:dyDescent="0.25">
      <c r="A731" s="87" t="s">
        <v>1134</v>
      </c>
      <c r="V731">
        <v>43898</v>
      </c>
      <c r="Y731">
        <v>43898</v>
      </c>
    </row>
    <row r="732" spans="1:25" x14ac:dyDescent="0.25">
      <c r="A732" s="87" t="s">
        <v>2816</v>
      </c>
      <c r="K732">
        <v>106737</v>
      </c>
      <c r="Y732">
        <v>106737</v>
      </c>
    </row>
    <row r="733" spans="1:25" x14ac:dyDescent="0.25">
      <c r="A733" s="87" t="s">
        <v>395</v>
      </c>
      <c r="T733">
        <v>72988</v>
      </c>
      <c r="Y733">
        <v>72988</v>
      </c>
    </row>
    <row r="734" spans="1:25" x14ac:dyDescent="0.25">
      <c r="A734" s="87" t="s">
        <v>2918</v>
      </c>
      <c r="K734">
        <v>450240</v>
      </c>
      <c r="Y734">
        <v>450240</v>
      </c>
    </row>
    <row r="735" spans="1:25" x14ac:dyDescent="0.25">
      <c r="A735" s="87" t="s">
        <v>2741</v>
      </c>
      <c r="K735">
        <v>355025</v>
      </c>
      <c r="Y735">
        <v>355025</v>
      </c>
    </row>
    <row r="736" spans="1:25" x14ac:dyDescent="0.25">
      <c r="A736" s="87" t="s">
        <v>3038</v>
      </c>
      <c r="K736">
        <v>95734</v>
      </c>
      <c r="Y736">
        <v>95734</v>
      </c>
    </row>
    <row r="737" spans="1:25" x14ac:dyDescent="0.25">
      <c r="A737" s="87" t="s">
        <v>1576</v>
      </c>
      <c r="H737">
        <v>45792</v>
      </c>
      <c r="Y737">
        <v>45792</v>
      </c>
    </row>
    <row r="738" spans="1:25" x14ac:dyDescent="0.25">
      <c r="A738" s="87" t="s">
        <v>2880</v>
      </c>
      <c r="K738">
        <v>165164</v>
      </c>
      <c r="Y738">
        <v>165164</v>
      </c>
    </row>
    <row r="739" spans="1:25" x14ac:dyDescent="0.25">
      <c r="A739" s="87" t="s">
        <v>1629</v>
      </c>
      <c r="H739">
        <v>61833</v>
      </c>
      <c r="Y739">
        <v>61833</v>
      </c>
    </row>
    <row r="740" spans="1:25" x14ac:dyDescent="0.25">
      <c r="A740" s="87" t="s">
        <v>2009</v>
      </c>
      <c r="H740">
        <v>203774</v>
      </c>
      <c r="Y740">
        <v>203774</v>
      </c>
    </row>
    <row r="741" spans="1:25" x14ac:dyDescent="0.25">
      <c r="A741" s="87" t="s">
        <v>1104</v>
      </c>
      <c r="H741">
        <v>72195</v>
      </c>
      <c r="Y741">
        <v>72195</v>
      </c>
    </row>
    <row r="742" spans="1:25" x14ac:dyDescent="0.25">
      <c r="A742" s="87" t="s">
        <v>1682</v>
      </c>
      <c r="H742">
        <v>42234</v>
      </c>
      <c r="Y742">
        <v>42234</v>
      </c>
    </row>
    <row r="743" spans="1:25" x14ac:dyDescent="0.25">
      <c r="A743" s="87" t="s">
        <v>2186</v>
      </c>
      <c r="H743">
        <v>182024</v>
      </c>
      <c r="Y743">
        <v>182024</v>
      </c>
    </row>
    <row r="744" spans="1:25" x14ac:dyDescent="0.25">
      <c r="A744" s="87" t="s">
        <v>1654</v>
      </c>
      <c r="B744">
        <v>63437</v>
      </c>
      <c r="Y744">
        <v>63437</v>
      </c>
    </row>
    <row r="745" spans="1:25" x14ac:dyDescent="0.25">
      <c r="A745" s="87" t="s">
        <v>2843</v>
      </c>
      <c r="K745">
        <v>152450</v>
      </c>
      <c r="Y745">
        <v>152450</v>
      </c>
    </row>
    <row r="746" spans="1:25" x14ac:dyDescent="0.25">
      <c r="A746" s="87" t="s">
        <v>1264</v>
      </c>
      <c r="G746">
        <v>101471</v>
      </c>
      <c r="Y746">
        <v>101471</v>
      </c>
    </row>
    <row r="747" spans="1:25" x14ac:dyDescent="0.25">
      <c r="A747" s="87" t="s">
        <v>2456</v>
      </c>
      <c r="K747">
        <v>96751</v>
      </c>
      <c r="Y747">
        <v>96751</v>
      </c>
    </row>
    <row r="748" spans="1:25" x14ac:dyDescent="0.25">
      <c r="A748" s="87" t="s">
        <v>2099</v>
      </c>
      <c r="H748">
        <v>122628</v>
      </c>
      <c r="Y748">
        <v>122628</v>
      </c>
    </row>
    <row r="749" spans="1:25" x14ac:dyDescent="0.25">
      <c r="A749" s="87" t="s">
        <v>2667</v>
      </c>
      <c r="K749">
        <v>94709</v>
      </c>
      <c r="Y749">
        <v>94709</v>
      </c>
    </row>
    <row r="750" spans="1:25" x14ac:dyDescent="0.25">
      <c r="A750" s="87" t="s">
        <v>3043</v>
      </c>
      <c r="K750">
        <v>154020</v>
      </c>
      <c r="Y750">
        <v>154020</v>
      </c>
    </row>
    <row r="751" spans="1:25" x14ac:dyDescent="0.25">
      <c r="A751" s="87" t="s">
        <v>3028</v>
      </c>
      <c r="K751">
        <v>100523</v>
      </c>
      <c r="Y751">
        <v>100523</v>
      </c>
    </row>
    <row r="752" spans="1:25" x14ac:dyDescent="0.25">
      <c r="A752" s="87" t="s">
        <v>2460</v>
      </c>
      <c r="K752">
        <v>66827</v>
      </c>
      <c r="Y752">
        <v>66827</v>
      </c>
    </row>
    <row r="753" spans="1:25" x14ac:dyDescent="0.25">
      <c r="A753" s="87" t="s">
        <v>481</v>
      </c>
      <c r="T753">
        <v>652505</v>
      </c>
      <c r="Y753">
        <v>652505</v>
      </c>
    </row>
    <row r="754" spans="1:25" x14ac:dyDescent="0.25">
      <c r="A754" s="87" t="s">
        <v>684</v>
      </c>
      <c r="T754">
        <v>189857</v>
      </c>
      <c r="Y754">
        <v>189857</v>
      </c>
    </row>
    <row r="755" spans="1:25" x14ac:dyDescent="0.25">
      <c r="A755" s="87" t="s">
        <v>1639</v>
      </c>
      <c r="H755">
        <v>111102</v>
      </c>
      <c r="Y755">
        <v>111102</v>
      </c>
    </row>
    <row r="756" spans="1:25" x14ac:dyDescent="0.25">
      <c r="A756" s="87" t="s">
        <v>115</v>
      </c>
      <c r="T756">
        <v>355370</v>
      </c>
      <c r="Y756">
        <v>355370</v>
      </c>
    </row>
    <row r="757" spans="1:25" x14ac:dyDescent="0.25">
      <c r="A757" s="87" t="s">
        <v>2248</v>
      </c>
      <c r="C757">
        <v>139449</v>
      </c>
      <c r="Y757">
        <v>139449</v>
      </c>
    </row>
    <row r="758" spans="1:25" x14ac:dyDescent="0.25">
      <c r="A758" s="87" t="s">
        <v>1060</v>
      </c>
      <c r="H758">
        <v>348303</v>
      </c>
      <c r="Y758">
        <v>348303</v>
      </c>
    </row>
    <row r="759" spans="1:25" x14ac:dyDescent="0.25">
      <c r="A759" s="87" t="s">
        <v>1708</v>
      </c>
      <c r="V759">
        <v>262297</v>
      </c>
      <c r="Y759">
        <v>262297</v>
      </c>
    </row>
    <row r="760" spans="1:25" x14ac:dyDescent="0.25">
      <c r="A760" s="87" t="s">
        <v>2044</v>
      </c>
      <c r="H760">
        <v>94837</v>
      </c>
      <c r="Y760">
        <v>94837</v>
      </c>
    </row>
    <row r="761" spans="1:25" x14ac:dyDescent="0.25">
      <c r="A761" s="87" t="s">
        <v>794</v>
      </c>
      <c r="T761">
        <v>107211</v>
      </c>
      <c r="Y761">
        <v>107211</v>
      </c>
    </row>
    <row r="762" spans="1:25" x14ac:dyDescent="0.25">
      <c r="A762" s="87" t="s">
        <v>2332</v>
      </c>
      <c r="G762">
        <v>115094</v>
      </c>
      <c r="Y762">
        <v>115094</v>
      </c>
    </row>
    <row r="763" spans="1:25" x14ac:dyDescent="0.25">
      <c r="A763" s="87" t="s">
        <v>620</v>
      </c>
      <c r="T763">
        <v>55037</v>
      </c>
      <c r="Y763">
        <v>55037</v>
      </c>
    </row>
    <row r="764" spans="1:25" x14ac:dyDescent="0.25">
      <c r="A764" s="87" t="s">
        <v>2897</v>
      </c>
      <c r="K764">
        <v>80565</v>
      </c>
      <c r="Y764">
        <v>80565</v>
      </c>
    </row>
    <row r="765" spans="1:25" x14ac:dyDescent="0.25">
      <c r="A765" s="87" t="s">
        <v>2893</v>
      </c>
      <c r="K765">
        <v>160901</v>
      </c>
      <c r="Y765">
        <v>160901</v>
      </c>
    </row>
    <row r="766" spans="1:25" x14ac:dyDescent="0.25">
      <c r="A766" s="87" t="s">
        <v>2370</v>
      </c>
      <c r="G766">
        <v>96628</v>
      </c>
      <c r="Y766">
        <v>96628</v>
      </c>
    </row>
    <row r="767" spans="1:25" x14ac:dyDescent="0.25">
      <c r="A767" s="87" t="s">
        <v>2346</v>
      </c>
      <c r="G767">
        <v>413847</v>
      </c>
      <c r="Y767">
        <v>413847</v>
      </c>
    </row>
    <row r="768" spans="1:25" x14ac:dyDescent="0.25">
      <c r="A768" s="87" t="s">
        <v>1142</v>
      </c>
      <c r="V768">
        <v>435243</v>
      </c>
      <c r="Y768">
        <v>435243</v>
      </c>
    </row>
    <row r="769" spans="1:25" x14ac:dyDescent="0.25">
      <c r="A769" s="87" t="s">
        <v>1770</v>
      </c>
      <c r="H769">
        <v>30746</v>
      </c>
      <c r="Y769">
        <v>30746</v>
      </c>
    </row>
    <row r="770" spans="1:25" x14ac:dyDescent="0.25">
      <c r="A770" s="87" t="s">
        <v>1570</v>
      </c>
    </row>
    <row r="771" spans="1:25" x14ac:dyDescent="0.25">
      <c r="A771" s="87" t="s">
        <v>2404</v>
      </c>
      <c r="H771">
        <v>77527</v>
      </c>
      <c r="Y771">
        <v>77527</v>
      </c>
    </row>
    <row r="772" spans="1:25" x14ac:dyDescent="0.25">
      <c r="A772" s="87" t="s">
        <v>2063</v>
      </c>
      <c r="H772">
        <v>113613</v>
      </c>
      <c r="Y772">
        <v>113613</v>
      </c>
    </row>
    <row r="773" spans="1:25" x14ac:dyDescent="0.25">
      <c r="A773" s="87" t="s">
        <v>1208</v>
      </c>
      <c r="H773">
        <v>903884</v>
      </c>
      <c r="Y773">
        <v>903884</v>
      </c>
    </row>
    <row r="774" spans="1:25" x14ac:dyDescent="0.25">
      <c r="A774" s="87" t="s">
        <v>2165</v>
      </c>
      <c r="H774">
        <v>189466</v>
      </c>
      <c r="Y774">
        <v>189466</v>
      </c>
    </row>
    <row r="775" spans="1:25" x14ac:dyDescent="0.25">
      <c r="A775" s="87" t="s">
        <v>1887</v>
      </c>
      <c r="H775">
        <v>109947</v>
      </c>
      <c r="Y775">
        <v>109947</v>
      </c>
    </row>
    <row r="776" spans="1:25" x14ac:dyDescent="0.25">
      <c r="A776" s="87" t="s">
        <v>3085</v>
      </c>
      <c r="K776">
        <v>94110</v>
      </c>
      <c r="Y776">
        <v>94110</v>
      </c>
    </row>
    <row r="777" spans="1:25" x14ac:dyDescent="0.25">
      <c r="A777" s="87" t="s">
        <v>3061</v>
      </c>
      <c r="K777">
        <v>143452</v>
      </c>
      <c r="Y777">
        <v>143452</v>
      </c>
    </row>
    <row r="778" spans="1:25" x14ac:dyDescent="0.25">
      <c r="A778" s="87" t="s">
        <v>1755</v>
      </c>
      <c r="H778">
        <v>89785</v>
      </c>
      <c r="Y778">
        <v>89785</v>
      </c>
    </row>
    <row r="779" spans="1:25" x14ac:dyDescent="0.25">
      <c r="A779" s="87" t="s">
        <v>1270</v>
      </c>
      <c r="X779">
        <v>107240</v>
      </c>
      <c r="Y779">
        <v>107240</v>
      </c>
    </row>
    <row r="780" spans="1:25" x14ac:dyDescent="0.25">
      <c r="A780" s="87" t="s">
        <v>1621</v>
      </c>
      <c r="H780">
        <v>143565</v>
      </c>
      <c r="Y780">
        <v>143565</v>
      </c>
    </row>
    <row r="781" spans="1:25" x14ac:dyDescent="0.25">
      <c r="A781" s="87" t="s">
        <v>29</v>
      </c>
      <c r="T781">
        <v>70969</v>
      </c>
      <c r="Y781">
        <v>70969</v>
      </c>
    </row>
    <row r="782" spans="1:25" x14ac:dyDescent="0.25">
      <c r="A782" s="87" t="s">
        <v>1699</v>
      </c>
      <c r="H782">
        <v>180897</v>
      </c>
      <c r="Y782">
        <v>180897</v>
      </c>
    </row>
    <row r="783" spans="1:25" x14ac:dyDescent="0.25">
      <c r="A783" s="87" t="s">
        <v>46</v>
      </c>
      <c r="B783">
        <v>720840</v>
      </c>
      <c r="G783">
        <v>15159874</v>
      </c>
      <c r="H783">
        <v>2917368</v>
      </c>
      <c r="I783">
        <v>74045</v>
      </c>
      <c r="K783">
        <v>1252845</v>
      </c>
      <c r="N783">
        <v>143711</v>
      </c>
      <c r="P783">
        <v>1512756</v>
      </c>
      <c r="T783">
        <v>52822294</v>
      </c>
      <c r="V783">
        <v>5081001</v>
      </c>
      <c r="W783">
        <v>69913</v>
      </c>
      <c r="X783">
        <v>93814</v>
      </c>
      <c r="Y783">
        <v>79848461</v>
      </c>
    </row>
    <row r="784" spans="1:25" x14ac:dyDescent="0.25">
      <c r="A784" s="87" t="s">
        <v>107</v>
      </c>
      <c r="T784">
        <v>115087</v>
      </c>
      <c r="Y784">
        <v>115087</v>
      </c>
    </row>
    <row r="785" spans="1:25" x14ac:dyDescent="0.25">
      <c r="A785" s="87" t="s">
        <v>2188</v>
      </c>
      <c r="H785">
        <v>246074</v>
      </c>
      <c r="Y785">
        <v>246074</v>
      </c>
    </row>
    <row r="786" spans="1:25" x14ac:dyDescent="0.25">
      <c r="A786" s="87" t="s">
        <v>2160</v>
      </c>
      <c r="H786">
        <v>143620</v>
      </c>
      <c r="Y786">
        <v>143620</v>
      </c>
    </row>
    <row r="787" spans="1:25" x14ac:dyDescent="0.25">
      <c r="A787" s="87" t="s">
        <v>677</v>
      </c>
      <c r="P787">
        <v>74208</v>
      </c>
      <c r="Y787">
        <v>74208</v>
      </c>
    </row>
    <row r="788" spans="1:25" x14ac:dyDescent="0.25">
      <c r="A788" s="87" t="s">
        <v>2421</v>
      </c>
      <c r="K788">
        <v>659200</v>
      </c>
      <c r="Y788">
        <v>659200</v>
      </c>
    </row>
    <row r="789" spans="1:25" x14ac:dyDescent="0.25">
      <c r="A789" s="87" t="s">
        <v>888</v>
      </c>
      <c r="T789">
        <v>106526</v>
      </c>
      <c r="Y789">
        <v>106526</v>
      </c>
    </row>
    <row r="790" spans="1:25" x14ac:dyDescent="0.25">
      <c r="A790" s="87" t="s">
        <v>245</v>
      </c>
      <c r="T790">
        <v>96217</v>
      </c>
      <c r="Y790">
        <v>96217</v>
      </c>
    </row>
    <row r="791" spans="1:25" x14ac:dyDescent="0.25">
      <c r="A791" s="87" t="s">
        <v>1310</v>
      </c>
      <c r="G791">
        <v>352914</v>
      </c>
      <c r="Y791">
        <v>352914</v>
      </c>
    </row>
    <row r="792" spans="1:25" x14ac:dyDescent="0.25">
      <c r="A792" s="87" t="s">
        <v>1436</v>
      </c>
    </row>
    <row r="793" spans="1:25" x14ac:dyDescent="0.25">
      <c r="A793" s="87" t="s">
        <v>2114</v>
      </c>
      <c r="B793">
        <v>103312</v>
      </c>
      <c r="Y793">
        <v>103312</v>
      </c>
    </row>
    <row r="794" spans="1:25" x14ac:dyDescent="0.25">
      <c r="A794" s="87" t="s">
        <v>2558</v>
      </c>
      <c r="K794">
        <v>69907</v>
      </c>
      <c r="Y794">
        <v>69907</v>
      </c>
    </row>
    <row r="795" spans="1:25" x14ac:dyDescent="0.25">
      <c r="A795" s="87" t="s">
        <v>576</v>
      </c>
      <c r="T795">
        <v>145177</v>
      </c>
      <c r="Y795">
        <v>145177</v>
      </c>
    </row>
    <row r="796" spans="1:25" x14ac:dyDescent="0.25">
      <c r="A796" s="87" t="s">
        <v>2488</v>
      </c>
      <c r="K796">
        <v>137170</v>
      </c>
      <c r="Y796">
        <v>137170</v>
      </c>
    </row>
    <row r="797" spans="1:25" x14ac:dyDescent="0.25">
      <c r="A797" s="87" t="s">
        <v>2800</v>
      </c>
      <c r="K797">
        <v>107458</v>
      </c>
      <c r="Y797">
        <v>107458</v>
      </c>
    </row>
    <row r="798" spans="1:25" x14ac:dyDescent="0.25">
      <c r="A798" s="87" t="s">
        <v>2997</v>
      </c>
      <c r="K798">
        <v>100580</v>
      </c>
      <c r="Y798">
        <v>100580</v>
      </c>
    </row>
    <row r="799" spans="1:25" x14ac:dyDescent="0.25">
      <c r="A799" s="87" t="s">
        <v>1972</v>
      </c>
      <c r="H799">
        <v>174070</v>
      </c>
      <c r="Y799">
        <v>174070</v>
      </c>
    </row>
    <row r="800" spans="1:25" x14ac:dyDescent="0.25">
      <c r="A800" s="87" t="s">
        <v>2209</v>
      </c>
      <c r="H800">
        <v>115057</v>
      </c>
      <c r="Y800">
        <v>115057</v>
      </c>
    </row>
    <row r="801" spans="1:25" x14ac:dyDescent="0.25">
      <c r="A801" s="87" t="s">
        <v>2556</v>
      </c>
      <c r="K801">
        <v>101487</v>
      </c>
      <c r="Y801">
        <v>101487</v>
      </c>
    </row>
    <row r="802" spans="1:25" x14ac:dyDescent="0.25">
      <c r="A802" s="87" t="s">
        <v>2091</v>
      </c>
      <c r="H802">
        <v>124559</v>
      </c>
      <c r="Y802">
        <v>124559</v>
      </c>
    </row>
    <row r="803" spans="1:25" x14ac:dyDescent="0.25">
      <c r="A803" s="87" t="s">
        <v>1921</v>
      </c>
      <c r="H803">
        <v>132213</v>
      </c>
      <c r="Y803">
        <v>132213</v>
      </c>
    </row>
    <row r="804" spans="1:25" x14ac:dyDescent="0.25">
      <c r="A804" s="87" t="s">
        <v>3032</v>
      </c>
      <c r="K804">
        <v>72195</v>
      </c>
      <c r="Y804">
        <v>72195</v>
      </c>
    </row>
    <row r="805" spans="1:25" x14ac:dyDescent="0.25">
      <c r="A805" s="87" t="s">
        <v>2698</v>
      </c>
    </row>
    <row r="806" spans="1:25" x14ac:dyDescent="0.25">
      <c r="A806" s="87" t="s">
        <v>465</v>
      </c>
      <c r="T806">
        <v>112714</v>
      </c>
      <c r="Y806">
        <v>112714</v>
      </c>
    </row>
    <row r="807" spans="1:25" x14ac:dyDescent="0.25">
      <c r="A807" s="87" t="s">
        <v>239</v>
      </c>
      <c r="T807">
        <v>391441</v>
      </c>
      <c r="X807">
        <v>130556</v>
      </c>
      <c r="Y807">
        <v>521997</v>
      </c>
    </row>
    <row r="808" spans="1:25" x14ac:dyDescent="0.25">
      <c r="A808" s="87" t="s">
        <v>178</v>
      </c>
      <c r="T808">
        <v>453738</v>
      </c>
      <c r="Y808">
        <v>453738</v>
      </c>
    </row>
    <row r="809" spans="1:25" x14ac:dyDescent="0.25">
      <c r="A809" s="87" t="s">
        <v>148</v>
      </c>
      <c r="T809">
        <v>143588</v>
      </c>
      <c r="Y809">
        <v>143588</v>
      </c>
    </row>
    <row r="810" spans="1:25" x14ac:dyDescent="0.25">
      <c r="A810" s="87" t="s">
        <v>2701</v>
      </c>
      <c r="K810">
        <v>81201</v>
      </c>
      <c r="Y810">
        <v>81201</v>
      </c>
    </row>
    <row r="811" spans="1:25" x14ac:dyDescent="0.25">
      <c r="A811" s="87" t="s">
        <v>641</v>
      </c>
      <c r="K811">
        <v>280134</v>
      </c>
      <c r="Y811">
        <v>280134</v>
      </c>
    </row>
    <row r="812" spans="1:25" x14ac:dyDescent="0.25">
      <c r="A812" s="87" t="s">
        <v>1256</v>
      </c>
      <c r="G812">
        <v>151866</v>
      </c>
      <c r="Y812">
        <v>151866</v>
      </c>
    </row>
    <row r="813" spans="1:25" x14ac:dyDescent="0.25">
      <c r="A813" s="87" t="s">
        <v>2601</v>
      </c>
      <c r="K813">
        <v>228093</v>
      </c>
      <c r="Y813">
        <v>228093</v>
      </c>
    </row>
    <row r="814" spans="1:25" x14ac:dyDescent="0.25">
      <c r="A814" s="87" t="s">
        <v>1649</v>
      </c>
      <c r="H814">
        <v>58021</v>
      </c>
      <c r="Y814">
        <v>58021</v>
      </c>
    </row>
    <row r="815" spans="1:25" x14ac:dyDescent="0.25">
      <c r="A815" s="87" t="s">
        <v>2681</v>
      </c>
      <c r="K815">
        <v>112708</v>
      </c>
      <c r="Y815">
        <v>112708</v>
      </c>
    </row>
    <row r="816" spans="1:25" x14ac:dyDescent="0.25">
      <c r="A816" s="87" t="s">
        <v>3095</v>
      </c>
      <c r="K816">
        <v>100176</v>
      </c>
      <c r="Y816">
        <v>100176</v>
      </c>
    </row>
    <row r="817" spans="1:25" x14ac:dyDescent="0.25">
      <c r="A817" s="87" t="s">
        <v>2593</v>
      </c>
      <c r="K817">
        <v>484139</v>
      </c>
      <c r="Y817">
        <v>484139</v>
      </c>
    </row>
    <row r="818" spans="1:25" x14ac:dyDescent="0.25">
      <c r="A818" s="87" t="s">
        <v>2376</v>
      </c>
      <c r="G818">
        <v>91200</v>
      </c>
      <c r="Y818">
        <v>91200</v>
      </c>
    </row>
    <row r="819" spans="1:25" x14ac:dyDescent="0.25">
      <c r="A819" s="87" t="s">
        <v>2948</v>
      </c>
      <c r="K819">
        <v>172751</v>
      </c>
      <c r="Y819">
        <v>172751</v>
      </c>
    </row>
    <row r="820" spans="1:25" x14ac:dyDescent="0.25">
      <c r="A820" s="87" t="s">
        <v>2582</v>
      </c>
      <c r="K820">
        <v>52300</v>
      </c>
      <c r="Y820">
        <v>52300</v>
      </c>
    </row>
    <row r="821" spans="1:25" x14ac:dyDescent="0.25">
      <c r="A821" s="87" t="s">
        <v>1510</v>
      </c>
      <c r="G821">
        <v>71809</v>
      </c>
      <c r="Y821">
        <v>71809</v>
      </c>
    </row>
    <row r="822" spans="1:25" x14ac:dyDescent="0.25">
      <c r="A822" s="87" t="s">
        <v>2767</v>
      </c>
      <c r="K822">
        <v>91695</v>
      </c>
      <c r="Y822">
        <v>91695</v>
      </c>
    </row>
    <row r="823" spans="1:25" x14ac:dyDescent="0.25">
      <c r="A823" s="87" t="s">
        <v>1073</v>
      </c>
      <c r="B823">
        <v>62221</v>
      </c>
      <c r="Y823">
        <v>62221</v>
      </c>
    </row>
    <row r="824" spans="1:25" x14ac:dyDescent="0.25">
      <c r="A824" s="87" t="s">
        <v>23</v>
      </c>
      <c r="P824">
        <v>61002</v>
      </c>
      <c r="Y824">
        <v>61002</v>
      </c>
    </row>
    <row r="825" spans="1:25" x14ac:dyDescent="0.25">
      <c r="A825" s="87" t="s">
        <v>452</v>
      </c>
      <c r="T825">
        <v>100034</v>
      </c>
      <c r="Y825">
        <v>100034</v>
      </c>
    </row>
    <row r="826" spans="1:25" x14ac:dyDescent="0.25">
      <c r="A826" s="87" t="s">
        <v>100</v>
      </c>
      <c r="T826">
        <v>106692</v>
      </c>
      <c r="Y826">
        <v>106692</v>
      </c>
    </row>
    <row r="827" spans="1:25" x14ac:dyDescent="0.25">
      <c r="A827" s="87" t="s">
        <v>2978</v>
      </c>
    </row>
    <row r="828" spans="1:25" x14ac:dyDescent="0.25">
      <c r="A828" s="87" t="s">
        <v>2536</v>
      </c>
      <c r="K828">
        <v>197474</v>
      </c>
      <c r="Y828">
        <v>197474</v>
      </c>
    </row>
    <row r="829" spans="1:25" x14ac:dyDescent="0.25">
      <c r="A829" s="87" t="s">
        <v>2545</v>
      </c>
      <c r="K829">
        <v>423004</v>
      </c>
      <c r="Y829">
        <v>423004</v>
      </c>
    </row>
    <row r="830" spans="1:25" x14ac:dyDescent="0.25">
      <c r="A830" s="87" t="s">
        <v>704</v>
      </c>
      <c r="T830">
        <v>142085</v>
      </c>
      <c r="Y830">
        <v>142085</v>
      </c>
    </row>
    <row r="831" spans="1:25" x14ac:dyDescent="0.25">
      <c r="A831" s="87" t="s">
        <v>199</v>
      </c>
      <c r="T831">
        <v>76925</v>
      </c>
      <c r="Y831">
        <v>76925</v>
      </c>
    </row>
    <row r="832" spans="1:25" x14ac:dyDescent="0.25">
      <c r="A832" s="87" t="s">
        <v>2357</v>
      </c>
      <c r="G832">
        <v>74071</v>
      </c>
      <c r="Y832">
        <v>74071</v>
      </c>
    </row>
    <row r="833" spans="1:25" x14ac:dyDescent="0.25">
      <c r="A833" s="87" t="s">
        <v>2368</v>
      </c>
      <c r="G833">
        <v>179049</v>
      </c>
      <c r="Y833">
        <v>179049</v>
      </c>
    </row>
    <row r="834" spans="1:25" x14ac:dyDescent="0.25">
      <c r="A834" s="87" t="s">
        <v>2364</v>
      </c>
      <c r="G834">
        <v>209272</v>
      </c>
      <c r="Y834">
        <v>209272</v>
      </c>
    </row>
    <row r="835" spans="1:25" x14ac:dyDescent="0.25">
      <c r="A835" s="87" t="s">
        <v>2281</v>
      </c>
      <c r="G835">
        <v>508956</v>
      </c>
      <c r="Y835">
        <v>508956</v>
      </c>
    </row>
    <row r="836" spans="1:25" x14ac:dyDescent="0.25">
      <c r="A836" s="87" t="s">
        <v>1283</v>
      </c>
      <c r="G836">
        <v>339608</v>
      </c>
      <c r="Y836">
        <v>339608</v>
      </c>
    </row>
    <row r="837" spans="1:25" x14ac:dyDescent="0.25">
      <c r="A837" s="87" t="s">
        <v>2390</v>
      </c>
      <c r="M837">
        <v>100029</v>
      </c>
      <c r="Y837">
        <v>100029</v>
      </c>
    </row>
    <row r="838" spans="1:25" x14ac:dyDescent="0.25">
      <c r="A838" s="87" t="s">
        <v>1253</v>
      </c>
      <c r="G838">
        <v>261167</v>
      </c>
      <c r="Y838">
        <v>261167</v>
      </c>
    </row>
    <row r="839" spans="1:25" x14ac:dyDescent="0.25">
      <c r="A839" s="87" t="s">
        <v>1089</v>
      </c>
      <c r="H839">
        <v>54000</v>
      </c>
      <c r="Y839">
        <v>54000</v>
      </c>
    </row>
    <row r="840" spans="1:25" x14ac:dyDescent="0.25">
      <c r="A840" s="87" t="s">
        <v>2850</v>
      </c>
      <c r="K840">
        <v>202429</v>
      </c>
      <c r="Y840">
        <v>202429</v>
      </c>
    </row>
    <row r="841" spans="1:25" x14ac:dyDescent="0.25">
      <c r="A841" s="87" t="s">
        <v>2565</v>
      </c>
      <c r="K841">
        <v>74420</v>
      </c>
      <c r="Y841">
        <v>74420</v>
      </c>
    </row>
    <row r="842" spans="1:25" x14ac:dyDescent="0.25">
      <c r="A842" s="87" t="s">
        <v>2286</v>
      </c>
      <c r="G842">
        <v>103313</v>
      </c>
      <c r="Y842">
        <v>103313</v>
      </c>
    </row>
    <row r="843" spans="1:25" x14ac:dyDescent="0.25">
      <c r="A843" s="87" t="s">
        <v>471</v>
      </c>
      <c r="P843">
        <v>157857</v>
      </c>
      <c r="Y843">
        <v>157857</v>
      </c>
    </row>
    <row r="844" spans="1:25" x14ac:dyDescent="0.25">
      <c r="A844" s="87" t="s">
        <v>752</v>
      </c>
      <c r="T844">
        <v>58504</v>
      </c>
      <c r="Y844">
        <v>58504</v>
      </c>
    </row>
    <row r="845" spans="1:25" x14ac:dyDescent="0.25">
      <c r="A845" s="87" t="s">
        <v>2866</v>
      </c>
      <c r="K845">
        <v>151291</v>
      </c>
      <c r="Y845">
        <v>151291</v>
      </c>
    </row>
    <row r="846" spans="1:25" x14ac:dyDescent="0.25">
      <c r="A846" s="87" t="s">
        <v>2837</v>
      </c>
      <c r="K846">
        <v>157349</v>
      </c>
      <c r="Y846">
        <v>157349</v>
      </c>
    </row>
    <row r="847" spans="1:25" x14ac:dyDescent="0.25">
      <c r="A847" s="87" t="s">
        <v>2004</v>
      </c>
      <c r="V847">
        <v>336223</v>
      </c>
      <c r="Y847">
        <v>336223</v>
      </c>
    </row>
    <row r="848" spans="1:25" x14ac:dyDescent="0.25">
      <c r="A848" s="87" t="s">
        <v>1671</v>
      </c>
      <c r="H848">
        <v>30393</v>
      </c>
      <c r="Y848">
        <v>30393</v>
      </c>
    </row>
    <row r="849" spans="1:25" x14ac:dyDescent="0.25">
      <c r="A849" s="87" t="s">
        <v>1222</v>
      </c>
    </row>
    <row r="850" spans="1:25" x14ac:dyDescent="0.25">
      <c r="A850" s="87" t="s">
        <v>1820</v>
      </c>
      <c r="H850">
        <v>121681</v>
      </c>
      <c r="Y850">
        <v>121681</v>
      </c>
    </row>
    <row r="851" spans="1:25" x14ac:dyDescent="0.25">
      <c r="A851" s="87" t="s">
        <v>1917</v>
      </c>
      <c r="B851">
        <v>94769</v>
      </c>
      <c r="Y851">
        <v>94769</v>
      </c>
    </row>
    <row r="852" spans="1:25" x14ac:dyDescent="0.25">
      <c r="A852" s="87" t="s">
        <v>1832</v>
      </c>
    </row>
    <row r="853" spans="1:25" x14ac:dyDescent="0.25">
      <c r="A853" s="87" t="s">
        <v>2245</v>
      </c>
      <c r="O853">
        <v>144738</v>
      </c>
      <c r="Y853">
        <v>144738</v>
      </c>
    </row>
    <row r="854" spans="1:25" x14ac:dyDescent="0.25">
      <c r="A854" s="87" t="s">
        <v>1572</v>
      </c>
      <c r="H854">
        <v>174750</v>
      </c>
      <c r="Y854">
        <v>174750</v>
      </c>
    </row>
    <row r="855" spans="1:25" x14ac:dyDescent="0.25">
      <c r="A855" s="87" t="s">
        <v>2027</v>
      </c>
      <c r="B855">
        <v>499883</v>
      </c>
      <c r="Y855">
        <v>499883</v>
      </c>
    </row>
    <row r="856" spans="1:25" x14ac:dyDescent="0.25">
      <c r="A856" s="87" t="s">
        <v>1872</v>
      </c>
      <c r="H856">
        <v>126095</v>
      </c>
      <c r="Y856">
        <v>126095</v>
      </c>
    </row>
    <row r="857" spans="1:25" x14ac:dyDescent="0.25">
      <c r="A857" s="87" t="s">
        <v>1597</v>
      </c>
      <c r="B857">
        <v>602643</v>
      </c>
      <c r="Y857">
        <v>602643</v>
      </c>
    </row>
    <row r="858" spans="1:25" x14ac:dyDescent="0.25">
      <c r="A858" s="87" t="s">
        <v>1082</v>
      </c>
      <c r="H858">
        <v>378600</v>
      </c>
      <c r="Y858">
        <v>378600</v>
      </c>
    </row>
    <row r="859" spans="1:25" x14ac:dyDescent="0.25">
      <c r="A859" s="87" t="s">
        <v>1564</v>
      </c>
    </row>
    <row r="860" spans="1:25" x14ac:dyDescent="0.25">
      <c r="A860" s="87" t="s">
        <v>1129</v>
      </c>
      <c r="V860">
        <v>153880</v>
      </c>
      <c r="Y860">
        <v>153880</v>
      </c>
    </row>
    <row r="861" spans="1:25" x14ac:dyDescent="0.25">
      <c r="A861" s="87" t="s">
        <v>2195</v>
      </c>
      <c r="H861">
        <v>39036</v>
      </c>
      <c r="Y861">
        <v>39036</v>
      </c>
    </row>
    <row r="862" spans="1:25" x14ac:dyDescent="0.25">
      <c r="A862" s="87" t="s">
        <v>1300</v>
      </c>
      <c r="G862">
        <v>89964</v>
      </c>
      <c r="Y862">
        <v>89964</v>
      </c>
    </row>
    <row r="863" spans="1:25" x14ac:dyDescent="0.25">
      <c r="A863" s="87" t="s">
        <v>1174</v>
      </c>
      <c r="V863">
        <v>143456</v>
      </c>
      <c r="Y863">
        <v>143456</v>
      </c>
    </row>
    <row r="864" spans="1:25" x14ac:dyDescent="0.25">
      <c r="A864" s="87" t="s">
        <v>1200</v>
      </c>
      <c r="H864">
        <v>292590</v>
      </c>
      <c r="Y864">
        <v>292590</v>
      </c>
    </row>
    <row r="865" spans="1:25" x14ac:dyDescent="0.25">
      <c r="A865" s="87" t="s">
        <v>2155</v>
      </c>
      <c r="H865">
        <v>103753</v>
      </c>
      <c r="Y865">
        <v>103753</v>
      </c>
    </row>
    <row r="866" spans="1:25" x14ac:dyDescent="0.25">
      <c r="A866" s="87" t="s">
        <v>1742</v>
      </c>
      <c r="H866">
        <v>136958</v>
      </c>
      <c r="Y866">
        <v>136958</v>
      </c>
    </row>
    <row r="867" spans="1:25" x14ac:dyDescent="0.25">
      <c r="A867" s="87" t="s">
        <v>797</v>
      </c>
      <c r="T867">
        <v>104166</v>
      </c>
      <c r="Y867">
        <v>104166</v>
      </c>
    </row>
    <row r="868" spans="1:25" x14ac:dyDescent="0.25">
      <c r="A868" s="87" t="s">
        <v>271</v>
      </c>
      <c r="T868">
        <v>703262</v>
      </c>
      <c r="Y868">
        <v>703262</v>
      </c>
    </row>
    <row r="869" spans="1:25" x14ac:dyDescent="0.25">
      <c r="A869" s="87" t="s">
        <v>587</v>
      </c>
      <c r="T869">
        <v>270429</v>
      </c>
      <c r="Y869">
        <v>270429</v>
      </c>
    </row>
    <row r="870" spans="1:25" x14ac:dyDescent="0.25">
      <c r="A870" s="87" t="s">
        <v>2082</v>
      </c>
      <c r="V870">
        <v>79855</v>
      </c>
      <c r="Y870">
        <v>79855</v>
      </c>
    </row>
    <row r="871" spans="1:25" x14ac:dyDescent="0.25">
      <c r="A871" s="87" t="s">
        <v>2465</v>
      </c>
      <c r="K871">
        <v>621443</v>
      </c>
      <c r="Y871">
        <v>621443</v>
      </c>
    </row>
    <row r="872" spans="1:25" x14ac:dyDescent="0.25">
      <c r="A872" s="87" t="s">
        <v>1967</v>
      </c>
      <c r="V872">
        <v>115253</v>
      </c>
      <c r="Y872">
        <v>115253</v>
      </c>
    </row>
    <row r="873" spans="1:25" x14ac:dyDescent="0.25">
      <c r="A873" s="87" t="s">
        <v>1811</v>
      </c>
      <c r="V873">
        <v>762238</v>
      </c>
      <c r="Y873">
        <v>762238</v>
      </c>
    </row>
    <row r="874" spans="1:25" x14ac:dyDescent="0.25">
      <c r="A874" s="87" t="s">
        <v>1184</v>
      </c>
      <c r="V874">
        <v>246106</v>
      </c>
      <c r="Y874">
        <v>246106</v>
      </c>
    </row>
    <row r="875" spans="1:25" x14ac:dyDescent="0.25">
      <c r="A875" s="87" t="s">
        <v>3146</v>
      </c>
      <c r="B875">
        <v>4414374</v>
      </c>
      <c r="C875">
        <v>139449</v>
      </c>
      <c r="D875">
        <v>54776</v>
      </c>
      <c r="E875">
        <v>89785</v>
      </c>
      <c r="F875">
        <v>169608</v>
      </c>
      <c r="G875">
        <v>35687655</v>
      </c>
      <c r="H875">
        <v>51041428</v>
      </c>
      <c r="I875">
        <v>74045</v>
      </c>
      <c r="J875">
        <v>95993</v>
      </c>
      <c r="K875">
        <v>46194067</v>
      </c>
      <c r="L875">
        <v>237786</v>
      </c>
      <c r="M875">
        <v>100029</v>
      </c>
      <c r="N875">
        <v>143711</v>
      </c>
      <c r="O875">
        <v>290102</v>
      </c>
      <c r="P875">
        <v>6521145</v>
      </c>
      <c r="Q875">
        <v>101707</v>
      </c>
      <c r="R875">
        <v>55015</v>
      </c>
      <c r="S875">
        <v>50316</v>
      </c>
      <c r="T875">
        <v>104632824</v>
      </c>
      <c r="U875">
        <v>32000</v>
      </c>
      <c r="V875">
        <v>11698697</v>
      </c>
      <c r="W875">
        <v>170416</v>
      </c>
      <c r="X875">
        <v>1148818</v>
      </c>
      <c r="Y875">
        <v>263143746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987"/>
  <sheetViews>
    <sheetView tabSelected="1" workbookViewId="0">
      <pane ySplit="1" topLeftCell="A2" activePane="bottomLeft" state="frozen"/>
      <selection pane="bottomLeft" activeCell="N1" sqref="N1"/>
    </sheetView>
  </sheetViews>
  <sheetFormatPr defaultColWidth="12.6640625" defaultRowHeight="15" customHeight="1" x14ac:dyDescent="0.25"/>
  <cols>
    <col min="1" max="1" width="20.33203125" customWidth="1"/>
    <col min="2" max="2" width="12.6640625" customWidth="1"/>
    <col min="3" max="3" width="29" customWidth="1"/>
    <col min="4" max="6" width="12.6640625" customWidth="1"/>
    <col min="7" max="7" width="14.109375" customWidth="1"/>
    <col min="13" max="13" width="25" bestFit="1" customWidth="1"/>
    <col min="17" max="17" width="25" bestFit="1" customWidth="1"/>
  </cols>
  <sheetData>
    <row r="1" spans="1:18" ht="15.75" customHeight="1" x14ac:dyDescent="0.3">
      <c r="A1" s="79" t="s">
        <v>0</v>
      </c>
      <c r="B1" s="79" t="s">
        <v>1</v>
      </c>
      <c r="C1" s="79" t="s">
        <v>2</v>
      </c>
      <c r="D1" s="85" t="s">
        <v>3</v>
      </c>
      <c r="E1" s="1" t="s">
        <v>4</v>
      </c>
      <c r="F1" s="85" t="s">
        <v>5</v>
      </c>
      <c r="G1" s="85" t="s">
        <v>6</v>
      </c>
      <c r="H1" s="85" t="s">
        <v>7</v>
      </c>
      <c r="I1" s="85" t="s">
        <v>8</v>
      </c>
      <c r="J1" s="85" t="s">
        <v>9</v>
      </c>
      <c r="K1" s="78" t="s">
        <v>3169</v>
      </c>
      <c r="L1" s="78" t="s">
        <v>3170</v>
      </c>
      <c r="M1" s="78" t="s">
        <v>3171</v>
      </c>
      <c r="N1" t="s">
        <v>3172</v>
      </c>
    </row>
    <row r="2" spans="1:18" ht="15.75" customHeight="1" x14ac:dyDescent="0.3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4">
        <v>116997</v>
      </c>
      <c r="H2" s="5" t="s">
        <v>16</v>
      </c>
      <c r="I2" s="4">
        <v>0</v>
      </c>
      <c r="J2" s="6">
        <v>44596</v>
      </c>
      <c r="K2" t="str">
        <f t="shared" ref="K2:K65" si="0">"Q" &amp; ROUNDUP(MONTH(J:J)/3,0) &amp; " " &amp; YEAR(J:J)</f>
        <v>Q1 2022</v>
      </c>
      <c r="L2" t="str">
        <f t="shared" ref="L2:L65" si="1">"Q" &amp; ROUNDUP(MONTH(J:J)/3,0) &amp; " " &amp; YEAR(J:J)</f>
        <v>Q1 2022</v>
      </c>
    </row>
    <row r="3" spans="1:18" ht="15.75" customHeight="1" x14ac:dyDescent="0.3">
      <c r="A3" s="2" t="s">
        <v>17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18</v>
      </c>
      <c r="G3" s="4">
        <v>143588</v>
      </c>
      <c r="H3" s="6">
        <v>44630</v>
      </c>
      <c r="I3" s="4">
        <v>0</v>
      </c>
      <c r="J3" s="6">
        <v>44604</v>
      </c>
      <c r="K3" t="str">
        <f t="shared" si="0"/>
        <v>Q1 2022</v>
      </c>
      <c r="L3" s="78" t="str">
        <f t="shared" si="1"/>
        <v>Q1 2022</v>
      </c>
    </row>
    <row r="4" spans="1:18" ht="15.75" customHeight="1" x14ac:dyDescent="0.3">
      <c r="A4" s="2" t="s">
        <v>19</v>
      </c>
      <c r="B4" s="2" t="s">
        <v>20</v>
      </c>
      <c r="C4" s="2" t="s">
        <v>21</v>
      </c>
      <c r="D4" s="2" t="s">
        <v>13</v>
      </c>
      <c r="E4" s="2" t="s">
        <v>22</v>
      </c>
      <c r="F4" s="2" t="s">
        <v>23</v>
      </c>
      <c r="G4" s="4">
        <v>61002</v>
      </c>
      <c r="H4" s="6">
        <v>44572</v>
      </c>
      <c r="I4" s="4">
        <v>12200</v>
      </c>
      <c r="J4" s="7">
        <v>44876</v>
      </c>
      <c r="K4" t="str">
        <f t="shared" si="0"/>
        <v>Q4 2022</v>
      </c>
      <c r="L4" t="str">
        <f t="shared" si="1"/>
        <v>Q4 2022</v>
      </c>
    </row>
    <row r="5" spans="1:18" ht="15.75" customHeight="1" x14ac:dyDescent="0.3">
      <c r="A5" s="2" t="s">
        <v>24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4">
        <v>109980</v>
      </c>
      <c r="H5" s="5" t="s">
        <v>25</v>
      </c>
      <c r="I5" s="4">
        <v>0</v>
      </c>
      <c r="J5" s="6">
        <v>44603</v>
      </c>
      <c r="K5" t="str">
        <f t="shared" si="0"/>
        <v>Q1 2022</v>
      </c>
      <c r="L5" t="str">
        <f t="shared" si="1"/>
        <v>Q1 2022</v>
      </c>
      <c r="P5" s="92"/>
      <c r="Q5" s="92" t="s">
        <v>3165</v>
      </c>
      <c r="R5" s="93">
        <f>SUM(G:G)</f>
        <v>263143746</v>
      </c>
    </row>
    <row r="6" spans="1:18" ht="15.75" customHeight="1" x14ac:dyDescent="0.3">
      <c r="A6" s="2" t="s">
        <v>26</v>
      </c>
      <c r="B6" s="2" t="s">
        <v>20</v>
      </c>
      <c r="C6" s="2" t="s">
        <v>21</v>
      </c>
      <c r="D6" s="2" t="s">
        <v>13</v>
      </c>
      <c r="E6" s="2" t="s">
        <v>14</v>
      </c>
      <c r="F6" s="2" t="s">
        <v>27</v>
      </c>
      <c r="G6" s="4">
        <v>106526</v>
      </c>
      <c r="H6" s="6">
        <v>44601</v>
      </c>
      <c r="I6" s="4">
        <v>53263</v>
      </c>
      <c r="J6" s="6">
        <v>44602</v>
      </c>
      <c r="K6" t="str">
        <f t="shared" si="0"/>
        <v>Q1 2022</v>
      </c>
      <c r="L6" t="str">
        <f t="shared" si="1"/>
        <v>Q1 2022</v>
      </c>
      <c r="P6" s="90"/>
      <c r="Q6" s="90" t="s">
        <v>3164</v>
      </c>
      <c r="R6" s="91">
        <f>SUM(I:I)</f>
        <v>8676899</v>
      </c>
    </row>
    <row r="7" spans="1:18" ht="15.75" customHeight="1" x14ac:dyDescent="0.3">
      <c r="A7" s="2" t="s">
        <v>28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29</v>
      </c>
      <c r="G7" s="4">
        <v>70969</v>
      </c>
      <c r="H7" s="5" t="s">
        <v>30</v>
      </c>
      <c r="I7" s="4">
        <v>0</v>
      </c>
      <c r="J7" s="6">
        <v>44603</v>
      </c>
      <c r="K7" t="str">
        <f t="shared" si="0"/>
        <v>Q1 2022</v>
      </c>
      <c r="L7" t="str">
        <f t="shared" si="1"/>
        <v>Q1 2022</v>
      </c>
      <c r="P7" s="88" t="s">
        <v>3168</v>
      </c>
      <c r="Q7" s="83" t="s">
        <v>3166</v>
      </c>
      <c r="R7" s="84">
        <f>COUNTIF(B:B, "Active Customer") / COUNTA(B:B) * 100</f>
        <v>11.32360342224459</v>
      </c>
    </row>
    <row r="8" spans="1:18" ht="15.75" customHeight="1" x14ac:dyDescent="0.3">
      <c r="A8" s="2" t="s">
        <v>31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32</v>
      </c>
      <c r="G8" s="4">
        <v>100034</v>
      </c>
      <c r="H8" s="6">
        <v>44632</v>
      </c>
      <c r="I8" s="4">
        <v>0</v>
      </c>
      <c r="J8" s="6">
        <v>44958</v>
      </c>
      <c r="K8" t="str">
        <f t="shared" si="0"/>
        <v>Q1 2023</v>
      </c>
      <c r="L8" t="str">
        <f t="shared" si="1"/>
        <v>Q1 2023</v>
      </c>
      <c r="P8" s="90"/>
      <c r="Q8" s="90" t="s">
        <v>3167</v>
      </c>
      <c r="R8" s="91">
        <f>COUNTIF(B:B, "Active Customer")</f>
        <v>225</v>
      </c>
    </row>
    <row r="9" spans="1:18" ht="15.75" customHeight="1" x14ac:dyDescent="0.3">
      <c r="A9" s="2" t="s">
        <v>33</v>
      </c>
      <c r="B9" s="2" t="s">
        <v>11</v>
      </c>
      <c r="C9" s="2" t="s">
        <v>12</v>
      </c>
      <c r="D9" s="2" t="s">
        <v>13</v>
      </c>
      <c r="E9" s="2" t="s">
        <v>22</v>
      </c>
      <c r="F9" s="2" t="s">
        <v>34</v>
      </c>
      <c r="G9" s="4">
        <v>107069</v>
      </c>
      <c r="H9" s="5" t="s">
        <v>35</v>
      </c>
      <c r="I9" s="4">
        <v>0</v>
      </c>
      <c r="J9" s="5" t="s">
        <v>36</v>
      </c>
      <c r="K9" t="str">
        <f t="shared" si="0"/>
        <v>Q4 2022</v>
      </c>
      <c r="L9" t="str">
        <f t="shared" si="1"/>
        <v>Q4 2022</v>
      </c>
      <c r="P9" s="83"/>
      <c r="Q9" s="83" t="s">
        <v>11</v>
      </c>
      <c r="R9" s="84">
        <f>COUNTIF(B:B, "Not a Customer")</f>
        <v>1761</v>
      </c>
    </row>
    <row r="10" spans="1:18" ht="15.75" customHeight="1" x14ac:dyDescent="0.3">
      <c r="A10" s="2" t="s">
        <v>37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38</v>
      </c>
      <c r="G10" s="4">
        <v>143517</v>
      </c>
      <c r="H10" s="5" t="s">
        <v>39</v>
      </c>
      <c r="I10" s="4">
        <v>0</v>
      </c>
      <c r="J10" s="6">
        <v>44603</v>
      </c>
      <c r="K10" t="str">
        <f t="shared" si="0"/>
        <v>Q1 2022</v>
      </c>
      <c r="L10" t="str">
        <f t="shared" si="1"/>
        <v>Q1 2022</v>
      </c>
      <c r="P10" s="81"/>
      <c r="Q10" s="81" t="s">
        <v>3186</v>
      </c>
      <c r="R10" s="82">
        <f>COUNTIFS(D:D, "Kaityu Bonolam", B:B, "Active Customer") / COUNTIF(D:D, "Kaityu Bonolam") * 100</f>
        <v>82.666666666666671</v>
      </c>
    </row>
    <row r="11" spans="1:18" ht="15.75" customHeight="1" x14ac:dyDescent="0.3">
      <c r="A11" s="2" t="s">
        <v>40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41</v>
      </c>
      <c r="G11" s="4">
        <v>58504</v>
      </c>
      <c r="H11" s="5" t="s">
        <v>42</v>
      </c>
      <c r="I11" s="4">
        <v>0</v>
      </c>
      <c r="J11" s="6">
        <v>44603</v>
      </c>
      <c r="K11" t="str">
        <f t="shared" si="0"/>
        <v>Q1 2022</v>
      </c>
      <c r="L11" t="str">
        <f t="shared" si="1"/>
        <v>Q1 2022</v>
      </c>
      <c r="P11" s="83"/>
      <c r="Q11" s="89" t="s">
        <v>13</v>
      </c>
      <c r="R11" s="84">
        <f>COUNTIFS(D:D, "Roman Nacha", B:B, "Active Customer") / COUNTIF(D:D, "Roman Nacha") * 100</f>
        <v>5.9556786703601112</v>
      </c>
    </row>
    <row r="12" spans="1:18" ht="15.75" customHeight="1" x14ac:dyDescent="0.3">
      <c r="A12" s="2" t="s">
        <v>43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44</v>
      </c>
      <c r="G12" s="4">
        <v>95966</v>
      </c>
      <c r="H12" s="5" t="s">
        <v>25</v>
      </c>
      <c r="I12" s="4">
        <v>0</v>
      </c>
      <c r="J12" s="6">
        <v>44603</v>
      </c>
      <c r="K12" t="str">
        <f t="shared" si="0"/>
        <v>Q1 2022</v>
      </c>
      <c r="L12" t="str">
        <f t="shared" si="1"/>
        <v>Q1 2022</v>
      </c>
      <c r="P12" s="81"/>
      <c r="Q12" s="81" t="s">
        <v>1618</v>
      </c>
      <c r="R12" s="82">
        <f>COUNTIFS(D:D, "Ban Roamer", B:B, "Active Customer") / COUNTIF(D:D, "Ban Roamer") * 100</f>
        <v>6.1274509803921564</v>
      </c>
    </row>
    <row r="13" spans="1:18" ht="15.75" customHeight="1" x14ac:dyDescent="0.3">
      <c r="A13" s="2" t="s">
        <v>45</v>
      </c>
      <c r="B13" s="2" t="s">
        <v>11</v>
      </c>
      <c r="C13" s="2" t="s">
        <v>12</v>
      </c>
      <c r="D13" s="2" t="s">
        <v>13</v>
      </c>
      <c r="E13" s="2" t="s">
        <v>22</v>
      </c>
      <c r="F13" s="2" t="s">
        <v>46</v>
      </c>
      <c r="G13" s="4">
        <v>54725</v>
      </c>
      <c r="H13" s="5" t="s">
        <v>25</v>
      </c>
      <c r="I13" s="4">
        <v>0</v>
      </c>
      <c r="J13" s="6">
        <v>44603</v>
      </c>
      <c r="K13" t="str">
        <f t="shared" si="0"/>
        <v>Q1 2022</v>
      </c>
      <c r="L13" t="str">
        <f t="shared" si="1"/>
        <v>Q1 2022</v>
      </c>
      <c r="P13" s="83"/>
      <c r="Q13" s="83" t="s">
        <v>3185</v>
      </c>
      <c r="R13" s="84">
        <f>COUNTIFS(D:D, "Naz ismail", B:B, "Active Customer") / COUNTIF(D:D, "Naz ismail") * 100</f>
        <v>7.434052757793765</v>
      </c>
    </row>
    <row r="14" spans="1:18" ht="15.75" customHeight="1" x14ac:dyDescent="0.3">
      <c r="A14" s="2" t="s">
        <v>47</v>
      </c>
      <c r="B14" s="2" t="s">
        <v>11</v>
      </c>
      <c r="C14" s="2" t="s">
        <v>21</v>
      </c>
      <c r="D14" s="2" t="s">
        <v>13</v>
      </c>
      <c r="E14" s="2" t="s">
        <v>14</v>
      </c>
      <c r="F14" s="2" t="s">
        <v>27</v>
      </c>
      <c r="G14" s="4">
        <v>147868</v>
      </c>
      <c r="H14" s="5" t="s">
        <v>48</v>
      </c>
      <c r="I14" s="4">
        <v>0</v>
      </c>
      <c r="J14" s="6">
        <v>44784</v>
      </c>
      <c r="K14" t="str">
        <f t="shared" si="0"/>
        <v>Q3 2022</v>
      </c>
      <c r="L14" t="str">
        <f t="shared" si="1"/>
        <v>Q3 2022</v>
      </c>
      <c r="P14" s="81"/>
      <c r="Q14" s="81" t="s">
        <v>1551</v>
      </c>
      <c r="R14" s="82">
        <f>COUNTIFS(D:D, "Ben Usioka", B:B, "Active Customer") / COUNTIF(D:D, "Ben Usioka") * 100</f>
        <v>71.875</v>
      </c>
    </row>
    <row r="15" spans="1:18" ht="15.75" customHeight="1" x14ac:dyDescent="0.3">
      <c r="A15" s="2" t="s">
        <v>49</v>
      </c>
      <c r="B15" s="2" t="s">
        <v>11</v>
      </c>
      <c r="C15" s="2" t="s">
        <v>12</v>
      </c>
      <c r="D15" s="2" t="s">
        <v>13</v>
      </c>
      <c r="E15" s="2" t="s">
        <v>14</v>
      </c>
      <c r="F15" s="2" t="s">
        <v>27</v>
      </c>
      <c r="G15" s="4">
        <v>112714</v>
      </c>
      <c r="H15" s="5" t="s">
        <v>50</v>
      </c>
      <c r="I15" s="4">
        <v>0</v>
      </c>
      <c r="J15" s="6">
        <v>44960</v>
      </c>
      <c r="K15" t="str">
        <f t="shared" si="0"/>
        <v>Q1 2023</v>
      </c>
      <c r="L15" t="str">
        <f t="shared" si="1"/>
        <v>Q1 2023</v>
      </c>
      <c r="P15" s="83"/>
      <c r="Q15" s="83" t="s">
        <v>3187</v>
      </c>
      <c r="R15" s="84">
        <f>SUMIFS(I:I, E:E, "Germany")</f>
        <v>4039839</v>
      </c>
    </row>
    <row r="16" spans="1:18" ht="15.75" customHeight="1" x14ac:dyDescent="0.3">
      <c r="A16" s="2" t="s">
        <v>51</v>
      </c>
      <c r="B16" s="2" t="s">
        <v>11</v>
      </c>
      <c r="C16" s="2" t="s">
        <v>12</v>
      </c>
      <c r="D16" s="2" t="s">
        <v>13</v>
      </c>
      <c r="E16" s="2" t="s">
        <v>14</v>
      </c>
      <c r="F16" s="2" t="s">
        <v>52</v>
      </c>
      <c r="G16" s="4">
        <v>74208</v>
      </c>
      <c r="H16" s="5" t="s">
        <v>53</v>
      </c>
      <c r="I16" s="4">
        <v>0</v>
      </c>
      <c r="J16" s="5" t="s">
        <v>54</v>
      </c>
      <c r="K16" t="str">
        <f t="shared" si="0"/>
        <v>Q2 2022</v>
      </c>
      <c r="L16" t="str">
        <f t="shared" si="1"/>
        <v>Q2 2022</v>
      </c>
      <c r="Q16" s="78" t="s">
        <v>3188</v>
      </c>
      <c r="R16">
        <f>SUMIF(E:E, "Spain", I:I)</f>
        <v>1398148</v>
      </c>
    </row>
    <row r="17" spans="1:18" ht="15.75" customHeight="1" x14ac:dyDescent="0.3">
      <c r="A17" s="2" t="s">
        <v>55</v>
      </c>
      <c r="B17" s="2" t="s">
        <v>11</v>
      </c>
      <c r="C17" s="2" t="s">
        <v>12</v>
      </c>
      <c r="D17" s="2" t="s">
        <v>13</v>
      </c>
      <c r="E17" s="2" t="s">
        <v>14</v>
      </c>
      <c r="F17" s="2" t="s">
        <v>46</v>
      </c>
      <c r="G17" s="4">
        <v>90068</v>
      </c>
      <c r="H17" s="6">
        <v>44629</v>
      </c>
      <c r="I17" s="4">
        <v>0</v>
      </c>
      <c r="J17" s="6">
        <v>44603</v>
      </c>
      <c r="K17" t="str">
        <f t="shared" si="0"/>
        <v>Q1 2022</v>
      </c>
      <c r="L17" t="str">
        <f t="shared" si="1"/>
        <v>Q1 2022</v>
      </c>
      <c r="Q17" s="78" t="s">
        <v>3189</v>
      </c>
      <c r="R17">
        <f>COUNTIF(E:E, "Spain")</f>
        <v>658</v>
      </c>
    </row>
    <row r="18" spans="1:18" ht="15.75" customHeight="1" x14ac:dyDescent="0.3">
      <c r="A18" s="2" t="s">
        <v>56</v>
      </c>
      <c r="B18" s="2" t="s">
        <v>20</v>
      </c>
      <c r="C18" s="2" t="s">
        <v>57</v>
      </c>
      <c r="D18" s="2" t="s">
        <v>13</v>
      </c>
      <c r="E18" s="2" t="s">
        <v>14</v>
      </c>
      <c r="F18" s="2" t="s">
        <v>27</v>
      </c>
      <c r="G18" s="4">
        <v>80085</v>
      </c>
      <c r="H18" s="6">
        <v>44571</v>
      </c>
      <c r="I18" s="4">
        <v>40042</v>
      </c>
      <c r="J18" s="5" t="s">
        <v>36</v>
      </c>
      <c r="K18" t="str">
        <f t="shared" si="0"/>
        <v>Q4 2022</v>
      </c>
      <c r="L18" t="str">
        <f t="shared" si="1"/>
        <v>Q4 2022</v>
      </c>
      <c r="Q18" s="78" t="s">
        <v>3190</v>
      </c>
      <c r="R18">
        <f>COUNTIFS(E:E, "Spain", B:B, "Active Customer")</f>
        <v>40</v>
      </c>
    </row>
    <row r="19" spans="1:18" ht="15.75" customHeight="1" x14ac:dyDescent="0.3">
      <c r="A19" s="2" t="s">
        <v>58</v>
      </c>
      <c r="B19" s="2" t="s">
        <v>11</v>
      </c>
      <c r="C19" s="2" t="s">
        <v>12</v>
      </c>
      <c r="D19" s="2" t="s">
        <v>13</v>
      </c>
      <c r="E19" s="2" t="s">
        <v>14</v>
      </c>
      <c r="F19" s="2" t="s">
        <v>59</v>
      </c>
      <c r="G19" s="4">
        <v>157857</v>
      </c>
      <c r="H19" s="5" t="s">
        <v>42</v>
      </c>
      <c r="I19" s="4">
        <v>0</v>
      </c>
      <c r="J19" s="6">
        <v>44603</v>
      </c>
      <c r="K19" t="str">
        <f t="shared" si="0"/>
        <v>Q1 2022</v>
      </c>
      <c r="L19" t="str">
        <f t="shared" si="1"/>
        <v>Q1 2022</v>
      </c>
      <c r="Q19" s="78" t="s">
        <v>3193</v>
      </c>
      <c r="R19">
        <f>COUNTIF(C:C, "High Growth Potential")</f>
        <v>151</v>
      </c>
    </row>
    <row r="20" spans="1:18" ht="15.75" customHeight="1" x14ac:dyDescent="0.3">
      <c r="A20" s="2" t="s">
        <v>60</v>
      </c>
      <c r="B20" s="2" t="s">
        <v>11</v>
      </c>
      <c r="C20" s="2" t="s">
        <v>12</v>
      </c>
      <c r="D20" s="2" t="s">
        <v>13</v>
      </c>
      <c r="E20" s="2" t="s">
        <v>14</v>
      </c>
      <c r="F20" s="2" t="s">
        <v>59</v>
      </c>
      <c r="G20" s="4">
        <v>88677</v>
      </c>
      <c r="H20" s="5" t="s">
        <v>25</v>
      </c>
      <c r="I20" s="4">
        <v>0</v>
      </c>
      <c r="J20" s="6">
        <v>44603</v>
      </c>
      <c r="K20" t="str">
        <f t="shared" si="0"/>
        <v>Q1 2022</v>
      </c>
      <c r="L20" t="str">
        <f t="shared" si="1"/>
        <v>Q1 2022</v>
      </c>
    </row>
    <row r="21" spans="1:18" ht="15.75" customHeight="1" x14ac:dyDescent="0.3">
      <c r="A21" s="2" t="s">
        <v>61</v>
      </c>
      <c r="B21" s="2" t="s">
        <v>11</v>
      </c>
      <c r="C21" s="2" t="s">
        <v>12</v>
      </c>
      <c r="D21" s="2" t="s">
        <v>13</v>
      </c>
      <c r="E21" s="2" t="s">
        <v>22</v>
      </c>
      <c r="F21" s="2" t="s">
        <v>62</v>
      </c>
      <c r="G21" s="4">
        <v>203793</v>
      </c>
      <c r="H21" s="6">
        <v>44629</v>
      </c>
      <c r="I21" s="4">
        <v>0</v>
      </c>
      <c r="J21" s="6">
        <v>44603</v>
      </c>
      <c r="K21" t="str">
        <f t="shared" si="0"/>
        <v>Q1 2022</v>
      </c>
      <c r="L21" t="str">
        <f t="shared" si="1"/>
        <v>Q1 2022</v>
      </c>
    </row>
    <row r="22" spans="1:18" ht="15.75" customHeight="1" x14ac:dyDescent="0.3">
      <c r="A22" s="2" t="s">
        <v>63</v>
      </c>
      <c r="B22" s="2" t="s">
        <v>11</v>
      </c>
      <c r="C22" s="2" t="s">
        <v>12</v>
      </c>
      <c r="D22" s="2" t="s">
        <v>13</v>
      </c>
      <c r="E22" s="2" t="s">
        <v>14</v>
      </c>
      <c r="F22" s="2" t="s">
        <v>27</v>
      </c>
      <c r="G22" s="4">
        <v>55037</v>
      </c>
      <c r="H22" s="5" t="s">
        <v>25</v>
      </c>
      <c r="I22" s="4">
        <v>0</v>
      </c>
      <c r="J22" s="6">
        <v>44603</v>
      </c>
      <c r="K22" t="str">
        <f t="shared" si="0"/>
        <v>Q1 2022</v>
      </c>
      <c r="L22" t="str">
        <f t="shared" si="1"/>
        <v>Q1 2022</v>
      </c>
    </row>
    <row r="23" spans="1:18" ht="15.75" customHeight="1" x14ac:dyDescent="0.3">
      <c r="A23" s="2" t="s">
        <v>64</v>
      </c>
      <c r="B23" s="2" t="s">
        <v>20</v>
      </c>
      <c r="C23" s="2" t="s">
        <v>21</v>
      </c>
      <c r="D23" s="2" t="s">
        <v>13</v>
      </c>
      <c r="E23" s="2" t="s">
        <v>14</v>
      </c>
      <c r="F23" s="2" t="s">
        <v>15</v>
      </c>
      <c r="G23" s="4">
        <v>106786</v>
      </c>
      <c r="H23" s="5" t="s">
        <v>65</v>
      </c>
      <c r="I23" s="4">
        <v>53393</v>
      </c>
      <c r="J23" s="6">
        <v>44784</v>
      </c>
      <c r="K23" t="str">
        <f t="shared" si="0"/>
        <v>Q3 2022</v>
      </c>
      <c r="L23" t="str">
        <f t="shared" si="1"/>
        <v>Q3 2022</v>
      </c>
    </row>
    <row r="24" spans="1:18" ht="15.75" customHeight="1" x14ac:dyDescent="0.3">
      <c r="A24" s="2" t="s">
        <v>66</v>
      </c>
      <c r="B24" s="2" t="s">
        <v>11</v>
      </c>
      <c r="C24" s="2" t="s">
        <v>12</v>
      </c>
      <c r="D24" s="2" t="s">
        <v>13</v>
      </c>
      <c r="E24" s="2" t="s">
        <v>14</v>
      </c>
      <c r="F24" s="2" t="s">
        <v>27</v>
      </c>
      <c r="G24" s="4">
        <v>83160</v>
      </c>
      <c r="H24" s="6">
        <v>45231</v>
      </c>
      <c r="I24" s="4">
        <v>0</v>
      </c>
      <c r="J24" s="6">
        <v>44960</v>
      </c>
      <c r="K24" t="str">
        <f t="shared" si="0"/>
        <v>Q1 2023</v>
      </c>
      <c r="L24" t="str">
        <f t="shared" si="1"/>
        <v>Q1 2023</v>
      </c>
    </row>
    <row r="25" spans="1:18" ht="15.75" customHeight="1" x14ac:dyDescent="0.3">
      <c r="A25" s="2" t="s">
        <v>67</v>
      </c>
      <c r="B25" s="2" t="s">
        <v>20</v>
      </c>
      <c r="C25" s="2" t="s">
        <v>57</v>
      </c>
      <c r="D25" s="2" t="s">
        <v>13</v>
      </c>
      <c r="E25" s="2" t="s">
        <v>14</v>
      </c>
      <c r="F25" s="2" t="s">
        <v>15</v>
      </c>
      <c r="G25" s="4">
        <v>137608</v>
      </c>
      <c r="H25" s="5" t="s">
        <v>68</v>
      </c>
      <c r="I25" s="4">
        <v>9829</v>
      </c>
      <c r="J25" s="5" t="s">
        <v>54</v>
      </c>
      <c r="K25" t="str">
        <f t="shared" si="0"/>
        <v>Q2 2022</v>
      </c>
      <c r="L25" t="str">
        <f t="shared" si="1"/>
        <v>Q2 2022</v>
      </c>
    </row>
    <row r="26" spans="1:18" ht="15.75" customHeight="1" x14ac:dyDescent="0.3">
      <c r="A26" s="2" t="s">
        <v>69</v>
      </c>
      <c r="B26" s="2" t="s">
        <v>11</v>
      </c>
      <c r="C26" s="2" t="s">
        <v>12</v>
      </c>
      <c r="D26" s="2" t="s">
        <v>13</v>
      </c>
      <c r="E26" s="2" t="s">
        <v>14</v>
      </c>
      <c r="F26" s="2" t="s">
        <v>70</v>
      </c>
      <c r="G26" s="4">
        <v>157835</v>
      </c>
      <c r="H26" s="5" t="s">
        <v>71</v>
      </c>
      <c r="I26" s="4">
        <v>0</v>
      </c>
      <c r="J26" s="6">
        <v>44603</v>
      </c>
      <c r="K26" t="str">
        <f t="shared" si="0"/>
        <v>Q1 2022</v>
      </c>
      <c r="L26" t="str">
        <f t="shared" si="1"/>
        <v>Q1 2022</v>
      </c>
    </row>
    <row r="27" spans="1:18" ht="15.75" customHeight="1" x14ac:dyDescent="0.3">
      <c r="A27" s="2" t="s">
        <v>72</v>
      </c>
      <c r="B27" s="2" t="s">
        <v>11</v>
      </c>
      <c r="C27" s="2" t="s">
        <v>21</v>
      </c>
      <c r="D27" s="2" t="s">
        <v>13</v>
      </c>
      <c r="E27" s="2" t="s">
        <v>14</v>
      </c>
      <c r="F27" s="2" t="s">
        <v>73</v>
      </c>
      <c r="G27" s="4">
        <v>187470</v>
      </c>
      <c r="H27" s="5" t="s">
        <v>25</v>
      </c>
      <c r="I27" s="4">
        <v>0</v>
      </c>
      <c r="J27" s="6">
        <v>44603</v>
      </c>
      <c r="K27" t="str">
        <f t="shared" si="0"/>
        <v>Q1 2022</v>
      </c>
      <c r="L27" t="str">
        <f t="shared" si="1"/>
        <v>Q1 2022</v>
      </c>
    </row>
    <row r="28" spans="1:18" ht="15.75" customHeight="1" x14ac:dyDescent="0.3">
      <c r="A28" s="2" t="s">
        <v>74</v>
      </c>
      <c r="B28" s="2" t="s">
        <v>11</v>
      </c>
      <c r="C28" s="2" t="s">
        <v>21</v>
      </c>
      <c r="D28" s="2" t="s">
        <v>13</v>
      </c>
      <c r="E28" s="2" t="s">
        <v>14</v>
      </c>
      <c r="F28" s="2" t="s">
        <v>46</v>
      </c>
      <c r="G28" s="4">
        <v>102196</v>
      </c>
      <c r="H28" s="5" t="s">
        <v>75</v>
      </c>
      <c r="I28" s="4">
        <v>0</v>
      </c>
      <c r="J28" s="6">
        <v>44595</v>
      </c>
      <c r="K28" t="str">
        <f t="shared" si="0"/>
        <v>Q1 2022</v>
      </c>
      <c r="L28" t="str">
        <f t="shared" si="1"/>
        <v>Q1 2022</v>
      </c>
    </row>
    <row r="29" spans="1:18" ht="15.75" customHeight="1" x14ac:dyDescent="0.3">
      <c r="A29" s="2" t="s">
        <v>76</v>
      </c>
      <c r="B29" s="2" t="s">
        <v>11</v>
      </c>
      <c r="C29" s="2" t="s">
        <v>21</v>
      </c>
      <c r="D29" s="2" t="s">
        <v>13</v>
      </c>
      <c r="E29" s="2" t="s">
        <v>14</v>
      </c>
      <c r="F29" s="2" t="s">
        <v>46</v>
      </c>
      <c r="G29" s="4">
        <v>100539</v>
      </c>
      <c r="H29" s="5" t="s">
        <v>39</v>
      </c>
      <c r="I29" s="4">
        <v>0</v>
      </c>
      <c r="J29" s="6">
        <v>44603</v>
      </c>
      <c r="K29" t="str">
        <f t="shared" si="0"/>
        <v>Q1 2022</v>
      </c>
      <c r="L29" t="str">
        <f t="shared" si="1"/>
        <v>Q1 2022</v>
      </c>
    </row>
    <row r="30" spans="1:18" ht="15.75" customHeight="1" x14ac:dyDescent="0.3">
      <c r="A30" s="2" t="s">
        <v>77</v>
      </c>
      <c r="B30" s="2" t="s">
        <v>11</v>
      </c>
      <c r="C30" s="2" t="s">
        <v>12</v>
      </c>
      <c r="D30" s="2" t="s">
        <v>13</v>
      </c>
      <c r="E30" s="2" t="s">
        <v>14</v>
      </c>
      <c r="F30" s="2" t="s">
        <v>78</v>
      </c>
      <c r="G30" s="4">
        <v>76925</v>
      </c>
      <c r="H30" s="5" t="s">
        <v>42</v>
      </c>
      <c r="I30" s="4">
        <v>0</v>
      </c>
      <c r="J30" s="6">
        <v>44603</v>
      </c>
      <c r="K30" t="str">
        <f t="shared" si="0"/>
        <v>Q1 2022</v>
      </c>
      <c r="L30" t="str">
        <f t="shared" si="1"/>
        <v>Q1 2022</v>
      </c>
    </row>
    <row r="31" spans="1:18" ht="15.75" customHeight="1" x14ac:dyDescent="0.3">
      <c r="A31" s="2" t="s">
        <v>79</v>
      </c>
      <c r="B31" s="2" t="s">
        <v>11</v>
      </c>
      <c r="C31" s="2" t="s">
        <v>12</v>
      </c>
      <c r="D31" s="2" t="s">
        <v>13</v>
      </c>
      <c r="E31" s="2" t="s">
        <v>80</v>
      </c>
      <c r="F31" s="2" t="s">
        <v>81</v>
      </c>
      <c r="G31" s="4">
        <v>110085</v>
      </c>
      <c r="H31" s="5" t="s">
        <v>82</v>
      </c>
      <c r="I31" s="4">
        <v>0</v>
      </c>
      <c r="J31" s="6">
        <v>44596</v>
      </c>
      <c r="K31" t="str">
        <f t="shared" si="0"/>
        <v>Q1 2022</v>
      </c>
      <c r="L31" t="str">
        <f t="shared" si="1"/>
        <v>Q1 2022</v>
      </c>
    </row>
    <row r="32" spans="1:18" ht="15.75" customHeight="1" x14ac:dyDescent="0.3">
      <c r="A32" s="2" t="s">
        <v>83</v>
      </c>
      <c r="B32" s="2" t="s">
        <v>11</v>
      </c>
      <c r="C32" s="2" t="s">
        <v>12</v>
      </c>
      <c r="D32" s="2" t="s">
        <v>13</v>
      </c>
      <c r="E32" s="2" t="s">
        <v>14</v>
      </c>
      <c r="F32" s="2" t="s">
        <v>46</v>
      </c>
      <c r="G32" s="4">
        <v>83580</v>
      </c>
      <c r="H32" s="6">
        <v>44836</v>
      </c>
      <c r="I32" s="4">
        <v>0</v>
      </c>
      <c r="J32" s="6">
        <v>44595</v>
      </c>
      <c r="K32" t="str">
        <f t="shared" si="0"/>
        <v>Q1 2022</v>
      </c>
      <c r="L32" t="str">
        <f t="shared" si="1"/>
        <v>Q1 2022</v>
      </c>
    </row>
    <row r="33" spans="1:12" ht="15.75" customHeight="1" x14ac:dyDescent="0.3">
      <c r="A33" s="2" t="s">
        <v>84</v>
      </c>
      <c r="B33" s="2" t="s">
        <v>11</v>
      </c>
      <c r="C33" s="2" t="s">
        <v>12</v>
      </c>
      <c r="D33" s="2" t="s">
        <v>13</v>
      </c>
      <c r="E33" s="2" t="s">
        <v>14</v>
      </c>
      <c r="F33" s="2" t="s">
        <v>85</v>
      </c>
      <c r="G33" s="2"/>
      <c r="H33" s="5" t="s">
        <v>25</v>
      </c>
      <c r="I33" s="4">
        <v>0</v>
      </c>
      <c r="J33" s="6">
        <v>44603</v>
      </c>
      <c r="K33" t="str">
        <f t="shared" si="0"/>
        <v>Q1 2022</v>
      </c>
      <c r="L33" t="str">
        <f t="shared" si="1"/>
        <v>Q1 2022</v>
      </c>
    </row>
    <row r="34" spans="1:12" ht="15.75" customHeight="1" x14ac:dyDescent="0.3">
      <c r="A34" s="2" t="s">
        <v>86</v>
      </c>
      <c r="B34" s="2" t="s">
        <v>11</v>
      </c>
      <c r="C34" s="2" t="s">
        <v>21</v>
      </c>
      <c r="D34" s="2" t="s">
        <v>13</v>
      </c>
      <c r="E34" s="2" t="s">
        <v>14</v>
      </c>
      <c r="F34" s="2" t="s">
        <v>27</v>
      </c>
      <c r="G34" s="4">
        <v>42045</v>
      </c>
      <c r="H34" s="5" t="s">
        <v>16</v>
      </c>
      <c r="I34" s="4">
        <v>0</v>
      </c>
      <c r="J34" s="6">
        <v>44597</v>
      </c>
      <c r="K34" t="str">
        <f t="shared" si="0"/>
        <v>Q1 2022</v>
      </c>
      <c r="L34" t="str">
        <f t="shared" si="1"/>
        <v>Q1 2022</v>
      </c>
    </row>
    <row r="35" spans="1:12" ht="15.75" customHeight="1" x14ac:dyDescent="0.3">
      <c r="A35" s="2" t="s">
        <v>87</v>
      </c>
      <c r="B35" s="2" t="s">
        <v>11</v>
      </c>
      <c r="C35" s="2" t="s">
        <v>12</v>
      </c>
      <c r="D35" s="2" t="s">
        <v>13</v>
      </c>
      <c r="E35" s="2" t="s">
        <v>14</v>
      </c>
      <c r="F35" s="2" t="s">
        <v>27</v>
      </c>
      <c r="G35" s="4">
        <v>72988</v>
      </c>
      <c r="H35" s="5" t="s">
        <v>71</v>
      </c>
      <c r="I35" s="4">
        <v>0</v>
      </c>
      <c r="J35" s="6">
        <v>44603</v>
      </c>
      <c r="K35" t="str">
        <f t="shared" si="0"/>
        <v>Q1 2022</v>
      </c>
      <c r="L35" t="str">
        <f t="shared" si="1"/>
        <v>Q1 2022</v>
      </c>
    </row>
    <row r="36" spans="1:12" ht="15.75" customHeight="1" x14ac:dyDescent="0.3">
      <c r="A36" s="2" t="s">
        <v>88</v>
      </c>
      <c r="B36" s="2" t="s">
        <v>11</v>
      </c>
      <c r="C36" s="2" t="s">
        <v>12</v>
      </c>
      <c r="D36" s="2" t="s">
        <v>13</v>
      </c>
      <c r="E36" s="2" t="s">
        <v>14</v>
      </c>
      <c r="F36" s="2" t="s">
        <v>85</v>
      </c>
      <c r="G36" s="4">
        <v>203733</v>
      </c>
      <c r="H36" s="6">
        <v>44630</v>
      </c>
      <c r="I36" s="4">
        <v>0</v>
      </c>
      <c r="J36" s="6">
        <v>44603</v>
      </c>
      <c r="K36" t="str">
        <f t="shared" si="0"/>
        <v>Q1 2022</v>
      </c>
      <c r="L36" t="str">
        <f t="shared" si="1"/>
        <v>Q1 2022</v>
      </c>
    </row>
    <row r="37" spans="1:12" ht="15.75" customHeight="1" x14ac:dyDescent="0.3">
      <c r="A37" s="2" t="s">
        <v>89</v>
      </c>
      <c r="B37" s="2" t="s">
        <v>20</v>
      </c>
      <c r="C37" s="2" t="s">
        <v>57</v>
      </c>
      <c r="D37" s="2" t="s">
        <v>13</v>
      </c>
      <c r="E37" s="2" t="s">
        <v>14</v>
      </c>
      <c r="F37" s="2" t="s">
        <v>27</v>
      </c>
      <c r="G37" s="4">
        <v>172921</v>
      </c>
      <c r="H37" s="6">
        <v>44813</v>
      </c>
      <c r="I37" s="4">
        <v>9607</v>
      </c>
      <c r="J37" s="6">
        <v>44784</v>
      </c>
      <c r="K37" t="str">
        <f t="shared" si="0"/>
        <v>Q3 2022</v>
      </c>
      <c r="L37" t="str">
        <f t="shared" si="1"/>
        <v>Q3 2022</v>
      </c>
    </row>
    <row r="38" spans="1:12" ht="15.75" customHeight="1" x14ac:dyDescent="0.3">
      <c r="A38" s="2" t="s">
        <v>90</v>
      </c>
      <c r="B38" s="2" t="s">
        <v>11</v>
      </c>
      <c r="C38" s="2" t="s">
        <v>12</v>
      </c>
      <c r="D38" s="2" t="s">
        <v>13</v>
      </c>
      <c r="E38" s="2" t="s">
        <v>14</v>
      </c>
      <c r="F38" s="2" t="s">
        <v>46</v>
      </c>
      <c r="G38" s="4">
        <v>56858</v>
      </c>
      <c r="H38" s="5" t="s">
        <v>25</v>
      </c>
      <c r="I38" s="4">
        <v>0</v>
      </c>
      <c r="J38" s="6">
        <v>44603</v>
      </c>
      <c r="K38" t="str">
        <f t="shared" si="0"/>
        <v>Q1 2022</v>
      </c>
      <c r="L38" t="str">
        <f t="shared" si="1"/>
        <v>Q1 2022</v>
      </c>
    </row>
    <row r="39" spans="1:12" ht="15.75" customHeight="1" x14ac:dyDescent="0.3">
      <c r="A39" s="2" t="s">
        <v>91</v>
      </c>
      <c r="B39" s="2" t="s">
        <v>11</v>
      </c>
      <c r="C39" s="2" t="s">
        <v>12</v>
      </c>
      <c r="D39" s="2" t="s">
        <v>13</v>
      </c>
      <c r="E39" s="2" t="s">
        <v>14</v>
      </c>
      <c r="F39" s="2" t="s">
        <v>92</v>
      </c>
      <c r="G39" s="4">
        <v>76983</v>
      </c>
      <c r="H39" s="5" t="s">
        <v>93</v>
      </c>
      <c r="I39" s="4">
        <v>0</v>
      </c>
      <c r="J39" s="6">
        <v>44602</v>
      </c>
      <c r="K39" t="str">
        <f t="shared" si="0"/>
        <v>Q1 2022</v>
      </c>
      <c r="L39" t="str">
        <f t="shared" si="1"/>
        <v>Q1 2022</v>
      </c>
    </row>
    <row r="40" spans="1:12" ht="15.75" customHeight="1" x14ac:dyDescent="0.3">
      <c r="A40" s="2" t="s">
        <v>94</v>
      </c>
      <c r="B40" s="2" t="s">
        <v>11</v>
      </c>
      <c r="C40" s="2" t="s">
        <v>12</v>
      </c>
      <c r="D40" s="2" t="s">
        <v>13</v>
      </c>
      <c r="E40" s="2" t="s">
        <v>14</v>
      </c>
      <c r="F40" s="2" t="s">
        <v>46</v>
      </c>
      <c r="G40" s="4">
        <v>43881</v>
      </c>
      <c r="H40" s="6">
        <v>44630</v>
      </c>
      <c r="I40" s="4">
        <v>0</v>
      </c>
      <c r="J40" s="6">
        <v>44603</v>
      </c>
      <c r="K40" t="str">
        <f t="shared" si="0"/>
        <v>Q1 2022</v>
      </c>
      <c r="L40" t="str">
        <f t="shared" si="1"/>
        <v>Q1 2022</v>
      </c>
    </row>
    <row r="41" spans="1:12" ht="15.75" customHeight="1" x14ac:dyDescent="0.3">
      <c r="A41" s="2" t="s">
        <v>95</v>
      </c>
      <c r="B41" s="2" t="s">
        <v>11</v>
      </c>
      <c r="C41" s="2" t="s">
        <v>57</v>
      </c>
      <c r="D41" s="2" t="s">
        <v>13</v>
      </c>
      <c r="E41" s="2" t="s">
        <v>14</v>
      </c>
      <c r="F41" s="2" t="s">
        <v>96</v>
      </c>
      <c r="G41" s="4">
        <v>88013</v>
      </c>
      <c r="H41" s="5" t="s">
        <v>97</v>
      </c>
      <c r="I41" s="4">
        <v>0</v>
      </c>
      <c r="J41" s="6">
        <v>44958</v>
      </c>
      <c r="K41" t="str">
        <f t="shared" si="0"/>
        <v>Q1 2023</v>
      </c>
      <c r="L41" t="str">
        <f t="shared" si="1"/>
        <v>Q1 2023</v>
      </c>
    </row>
    <row r="42" spans="1:12" ht="15.75" customHeight="1" x14ac:dyDescent="0.3">
      <c r="A42" s="2" t="s">
        <v>98</v>
      </c>
      <c r="B42" s="2" t="s">
        <v>11</v>
      </c>
      <c r="C42" s="2" t="s">
        <v>57</v>
      </c>
      <c r="D42" s="2" t="s">
        <v>13</v>
      </c>
      <c r="E42" s="2" t="s">
        <v>14</v>
      </c>
      <c r="F42" s="2" t="s">
        <v>46</v>
      </c>
      <c r="G42" s="4">
        <v>92126</v>
      </c>
      <c r="H42" s="7">
        <v>44875</v>
      </c>
      <c r="I42" s="4">
        <v>0</v>
      </c>
      <c r="J42" s="5" t="s">
        <v>36</v>
      </c>
      <c r="K42" t="str">
        <f t="shared" si="0"/>
        <v>Q4 2022</v>
      </c>
      <c r="L42" t="str">
        <f t="shared" si="1"/>
        <v>Q4 2022</v>
      </c>
    </row>
    <row r="43" spans="1:12" ht="15.75" customHeight="1" x14ac:dyDescent="0.3">
      <c r="A43" s="2" t="s">
        <v>99</v>
      </c>
      <c r="B43" s="2" t="s">
        <v>11</v>
      </c>
      <c r="C43" s="2" t="s">
        <v>12</v>
      </c>
      <c r="D43" s="2" t="s">
        <v>13</v>
      </c>
      <c r="E43" s="2" t="s">
        <v>14</v>
      </c>
      <c r="F43" s="2" t="s">
        <v>100</v>
      </c>
      <c r="G43" s="4">
        <v>106692</v>
      </c>
      <c r="H43" s="5" t="s">
        <v>42</v>
      </c>
      <c r="I43" s="4">
        <v>0</v>
      </c>
      <c r="J43" s="6">
        <v>44603</v>
      </c>
      <c r="K43" t="str">
        <f t="shared" si="0"/>
        <v>Q1 2022</v>
      </c>
      <c r="L43" t="str">
        <f t="shared" si="1"/>
        <v>Q1 2022</v>
      </c>
    </row>
    <row r="44" spans="1:12" ht="15.75" customHeight="1" x14ac:dyDescent="0.3">
      <c r="A44" s="2" t="s">
        <v>101</v>
      </c>
      <c r="B44" s="2" t="s">
        <v>11</v>
      </c>
      <c r="C44" s="2" t="s">
        <v>12</v>
      </c>
      <c r="D44" s="2" t="s">
        <v>13</v>
      </c>
      <c r="E44" s="2" t="s">
        <v>14</v>
      </c>
      <c r="F44" s="2" t="s">
        <v>102</v>
      </c>
      <c r="G44" s="4">
        <v>133858</v>
      </c>
      <c r="H44" s="5" t="s">
        <v>71</v>
      </c>
      <c r="I44" s="4">
        <v>0</v>
      </c>
      <c r="J44" s="6">
        <v>44603</v>
      </c>
      <c r="K44" t="str">
        <f t="shared" si="0"/>
        <v>Q1 2022</v>
      </c>
      <c r="L44" t="str">
        <f t="shared" si="1"/>
        <v>Q1 2022</v>
      </c>
    </row>
    <row r="45" spans="1:12" ht="15.75" customHeight="1" x14ac:dyDescent="0.3">
      <c r="A45" s="2" t="s">
        <v>103</v>
      </c>
      <c r="B45" s="2" t="s">
        <v>20</v>
      </c>
      <c r="C45" s="2" t="s">
        <v>57</v>
      </c>
      <c r="D45" s="2" t="s">
        <v>13</v>
      </c>
      <c r="E45" s="2" t="s">
        <v>14</v>
      </c>
      <c r="F45" s="2" t="s">
        <v>85</v>
      </c>
      <c r="G45" s="4">
        <v>368455</v>
      </c>
      <c r="H45" s="5" t="s">
        <v>30</v>
      </c>
      <c r="I45" s="4">
        <v>46057</v>
      </c>
      <c r="J45" s="6">
        <v>44603</v>
      </c>
      <c r="K45" t="str">
        <f t="shared" si="0"/>
        <v>Q1 2022</v>
      </c>
      <c r="L45" t="str">
        <f t="shared" si="1"/>
        <v>Q1 2022</v>
      </c>
    </row>
    <row r="46" spans="1:12" ht="15.75" customHeight="1" x14ac:dyDescent="0.3">
      <c r="A46" s="2" t="s">
        <v>104</v>
      </c>
      <c r="B46" s="2" t="s">
        <v>11</v>
      </c>
      <c r="C46" s="2" t="s">
        <v>12</v>
      </c>
      <c r="D46" s="2" t="s">
        <v>13</v>
      </c>
      <c r="E46" s="2" t="s">
        <v>14</v>
      </c>
      <c r="F46" s="2" t="s">
        <v>105</v>
      </c>
      <c r="G46" s="4">
        <v>107211</v>
      </c>
      <c r="H46" s="5" t="s">
        <v>30</v>
      </c>
      <c r="I46" s="4">
        <v>0</v>
      </c>
      <c r="J46" s="6">
        <v>44603</v>
      </c>
      <c r="K46" t="str">
        <f t="shared" si="0"/>
        <v>Q1 2022</v>
      </c>
      <c r="L46" t="str">
        <f t="shared" si="1"/>
        <v>Q1 2022</v>
      </c>
    </row>
    <row r="47" spans="1:12" ht="15.75" customHeight="1" x14ac:dyDescent="0.3">
      <c r="A47" s="2" t="s">
        <v>106</v>
      </c>
      <c r="B47" s="2" t="s">
        <v>11</v>
      </c>
      <c r="C47" s="2" t="s">
        <v>12</v>
      </c>
      <c r="D47" s="2" t="s">
        <v>13</v>
      </c>
      <c r="E47" s="2" t="s">
        <v>14</v>
      </c>
      <c r="F47" s="2" t="s">
        <v>107</v>
      </c>
      <c r="G47" s="4">
        <v>115087</v>
      </c>
      <c r="H47" s="6">
        <v>44813</v>
      </c>
      <c r="I47" s="4">
        <v>0</v>
      </c>
      <c r="J47" s="6">
        <v>44784</v>
      </c>
      <c r="K47" t="str">
        <f t="shared" si="0"/>
        <v>Q3 2022</v>
      </c>
      <c r="L47" t="str">
        <f t="shared" si="1"/>
        <v>Q3 2022</v>
      </c>
    </row>
    <row r="48" spans="1:12" ht="15.75" customHeight="1" x14ac:dyDescent="0.3">
      <c r="A48" s="2" t="s">
        <v>108</v>
      </c>
      <c r="B48" s="2" t="s">
        <v>11</v>
      </c>
      <c r="C48" s="2" t="s">
        <v>12</v>
      </c>
      <c r="D48" s="2" t="s">
        <v>13</v>
      </c>
      <c r="E48" s="2" t="s">
        <v>14</v>
      </c>
      <c r="F48" s="2" t="s">
        <v>109</v>
      </c>
      <c r="G48" s="4">
        <v>104166</v>
      </c>
      <c r="H48" s="6">
        <v>44927</v>
      </c>
      <c r="I48" s="4">
        <v>0</v>
      </c>
      <c r="J48" s="6">
        <v>44960</v>
      </c>
      <c r="K48" t="str">
        <f t="shared" si="0"/>
        <v>Q1 2023</v>
      </c>
      <c r="L48" t="str">
        <f t="shared" si="1"/>
        <v>Q1 2023</v>
      </c>
    </row>
    <row r="49" spans="1:12" ht="15.75" customHeight="1" x14ac:dyDescent="0.3">
      <c r="A49" s="2" t="s">
        <v>110</v>
      </c>
      <c r="B49" s="2" t="s">
        <v>11</v>
      </c>
      <c r="C49" s="2" t="s">
        <v>12</v>
      </c>
      <c r="D49" s="2" t="s">
        <v>13</v>
      </c>
      <c r="E49" s="2" t="s">
        <v>14</v>
      </c>
      <c r="F49" s="2" t="s">
        <v>46</v>
      </c>
      <c r="G49" s="4">
        <v>143497</v>
      </c>
      <c r="H49" s="5" t="s">
        <v>111</v>
      </c>
      <c r="I49" s="4">
        <v>0</v>
      </c>
      <c r="J49" s="5" t="s">
        <v>54</v>
      </c>
      <c r="K49" t="str">
        <f t="shared" si="0"/>
        <v>Q2 2022</v>
      </c>
      <c r="L49" t="str">
        <f t="shared" si="1"/>
        <v>Q2 2022</v>
      </c>
    </row>
    <row r="50" spans="1:12" ht="15.75" customHeight="1" x14ac:dyDescent="0.3">
      <c r="A50" s="2" t="s">
        <v>112</v>
      </c>
      <c r="B50" s="2" t="s">
        <v>11</v>
      </c>
      <c r="C50" s="2" t="s">
        <v>12</v>
      </c>
      <c r="D50" s="2" t="s">
        <v>13</v>
      </c>
      <c r="E50" s="2" t="s">
        <v>22</v>
      </c>
      <c r="F50" s="2" t="s">
        <v>113</v>
      </c>
      <c r="G50" s="4">
        <v>127427</v>
      </c>
      <c r="H50" s="6">
        <v>44630</v>
      </c>
      <c r="I50" s="4">
        <v>0</v>
      </c>
      <c r="J50" s="6">
        <v>44603</v>
      </c>
      <c r="K50" t="str">
        <f t="shared" si="0"/>
        <v>Q1 2022</v>
      </c>
      <c r="L50" t="str">
        <f t="shared" si="1"/>
        <v>Q1 2022</v>
      </c>
    </row>
    <row r="51" spans="1:12" ht="15.75" customHeight="1" x14ac:dyDescent="0.3">
      <c r="A51" s="2" t="s">
        <v>114</v>
      </c>
      <c r="B51" s="2" t="s">
        <v>11</v>
      </c>
      <c r="C51" s="2" t="s">
        <v>12</v>
      </c>
      <c r="D51" s="2" t="s">
        <v>13</v>
      </c>
      <c r="E51" s="2" t="s">
        <v>14</v>
      </c>
      <c r="F51" s="2" t="s">
        <v>115</v>
      </c>
      <c r="G51" s="4">
        <v>355370</v>
      </c>
      <c r="H51" s="5" t="s">
        <v>116</v>
      </c>
      <c r="I51" s="4">
        <v>0</v>
      </c>
      <c r="J51" s="6">
        <v>44959</v>
      </c>
      <c r="K51" t="str">
        <f t="shared" si="0"/>
        <v>Q1 2023</v>
      </c>
      <c r="L51" t="str">
        <f t="shared" si="1"/>
        <v>Q1 2023</v>
      </c>
    </row>
    <row r="52" spans="1:12" ht="15.75" customHeight="1" x14ac:dyDescent="0.3">
      <c r="A52" s="2" t="s">
        <v>117</v>
      </c>
      <c r="B52" s="2" t="s">
        <v>11</v>
      </c>
      <c r="C52" s="2" t="s">
        <v>12</v>
      </c>
      <c r="D52" s="2" t="s">
        <v>13</v>
      </c>
      <c r="E52" s="2" t="s">
        <v>14</v>
      </c>
      <c r="F52" s="2" t="s">
        <v>44</v>
      </c>
      <c r="G52" s="4">
        <v>191190</v>
      </c>
      <c r="H52" s="5" t="s">
        <v>42</v>
      </c>
      <c r="I52" s="4">
        <v>0</v>
      </c>
      <c r="J52" s="6">
        <v>44603</v>
      </c>
      <c r="K52" t="str">
        <f t="shared" si="0"/>
        <v>Q1 2022</v>
      </c>
      <c r="L52" t="str">
        <f t="shared" si="1"/>
        <v>Q1 2022</v>
      </c>
    </row>
    <row r="53" spans="1:12" ht="15.75" customHeight="1" x14ac:dyDescent="0.3">
      <c r="A53" s="2" t="s">
        <v>118</v>
      </c>
      <c r="B53" s="2" t="s">
        <v>11</v>
      </c>
      <c r="C53" s="2" t="s">
        <v>12</v>
      </c>
      <c r="D53" s="2" t="s">
        <v>13</v>
      </c>
      <c r="E53" s="2" t="s">
        <v>14</v>
      </c>
      <c r="F53" s="2" t="s">
        <v>15</v>
      </c>
      <c r="G53" s="4">
        <v>209817</v>
      </c>
      <c r="H53" s="5" t="s">
        <v>82</v>
      </c>
      <c r="I53" s="4">
        <v>0</v>
      </c>
      <c r="J53" s="6">
        <v>44597</v>
      </c>
      <c r="K53" t="str">
        <f t="shared" si="0"/>
        <v>Q1 2022</v>
      </c>
      <c r="L53" t="str">
        <f t="shared" si="1"/>
        <v>Q1 2022</v>
      </c>
    </row>
    <row r="54" spans="1:12" ht="15.75" customHeight="1" x14ac:dyDescent="0.3">
      <c r="A54" s="2" t="s">
        <v>119</v>
      </c>
      <c r="B54" s="2" t="s">
        <v>11</v>
      </c>
      <c r="C54" s="2" t="s">
        <v>12</v>
      </c>
      <c r="D54" s="2" t="s">
        <v>13</v>
      </c>
      <c r="E54" s="2" t="s">
        <v>14</v>
      </c>
      <c r="F54" s="2" t="s">
        <v>120</v>
      </c>
      <c r="G54" s="4">
        <v>49625</v>
      </c>
      <c r="H54" s="5" t="s">
        <v>121</v>
      </c>
      <c r="I54" s="4">
        <v>0</v>
      </c>
      <c r="J54" s="6">
        <v>44960</v>
      </c>
      <c r="K54" t="str">
        <f t="shared" si="0"/>
        <v>Q1 2023</v>
      </c>
      <c r="L54" t="str">
        <f t="shared" si="1"/>
        <v>Q1 2023</v>
      </c>
    </row>
    <row r="55" spans="1:12" ht="15.75" customHeight="1" x14ac:dyDescent="0.3">
      <c r="A55" s="2" t="s">
        <v>122</v>
      </c>
      <c r="B55" s="2" t="s">
        <v>11</v>
      </c>
      <c r="C55" s="2" t="s">
        <v>12</v>
      </c>
      <c r="D55" s="2" t="s">
        <v>13</v>
      </c>
      <c r="E55" s="2" t="s">
        <v>14</v>
      </c>
      <c r="F55" s="2" t="s">
        <v>27</v>
      </c>
      <c r="G55" s="4">
        <v>101488</v>
      </c>
      <c r="H55" s="5" t="s">
        <v>123</v>
      </c>
      <c r="I55" s="4">
        <v>0</v>
      </c>
      <c r="J55" s="6">
        <v>44594</v>
      </c>
      <c r="K55" t="str">
        <f t="shared" si="0"/>
        <v>Q1 2022</v>
      </c>
      <c r="L55" t="str">
        <f t="shared" si="1"/>
        <v>Q1 2022</v>
      </c>
    </row>
    <row r="56" spans="1:12" ht="15.75" customHeight="1" x14ac:dyDescent="0.3">
      <c r="A56" s="2" t="s">
        <v>124</v>
      </c>
      <c r="B56" s="2" t="s">
        <v>11</v>
      </c>
      <c r="C56" s="2" t="s">
        <v>12</v>
      </c>
      <c r="D56" s="2" t="s">
        <v>13</v>
      </c>
      <c r="E56" s="2" t="s">
        <v>14</v>
      </c>
      <c r="F56" s="2" t="s">
        <v>59</v>
      </c>
      <c r="G56" s="4">
        <v>101400</v>
      </c>
      <c r="H56" s="5" t="s">
        <v>71</v>
      </c>
      <c r="I56" s="4">
        <v>0</v>
      </c>
      <c r="J56" s="6">
        <v>44603</v>
      </c>
      <c r="K56" t="str">
        <f t="shared" si="0"/>
        <v>Q1 2022</v>
      </c>
      <c r="L56" t="str">
        <f t="shared" si="1"/>
        <v>Q1 2022</v>
      </c>
    </row>
    <row r="57" spans="1:12" ht="15.75" customHeight="1" x14ac:dyDescent="0.3">
      <c r="A57" s="2" t="s">
        <v>125</v>
      </c>
      <c r="B57" s="2" t="s">
        <v>11</v>
      </c>
      <c r="C57" s="2" t="s">
        <v>12</v>
      </c>
      <c r="D57" s="2" t="s">
        <v>13</v>
      </c>
      <c r="E57" s="2" t="s">
        <v>22</v>
      </c>
      <c r="F57" s="2" t="s">
        <v>46</v>
      </c>
      <c r="G57" s="4">
        <v>67715</v>
      </c>
      <c r="H57" s="5" t="s">
        <v>25</v>
      </c>
      <c r="I57" s="4">
        <v>0</v>
      </c>
      <c r="J57" s="6">
        <v>44603</v>
      </c>
      <c r="K57" t="str">
        <f t="shared" si="0"/>
        <v>Q1 2022</v>
      </c>
      <c r="L57" t="str">
        <f t="shared" si="1"/>
        <v>Q1 2022</v>
      </c>
    </row>
    <row r="58" spans="1:12" ht="15.75" customHeight="1" x14ac:dyDescent="0.3">
      <c r="A58" s="2" t="s">
        <v>126</v>
      </c>
      <c r="B58" s="2" t="s">
        <v>20</v>
      </c>
      <c r="C58" s="2" t="s">
        <v>21</v>
      </c>
      <c r="D58" s="2" t="s">
        <v>13</v>
      </c>
      <c r="E58" s="2" t="s">
        <v>14</v>
      </c>
      <c r="F58" s="2" t="s">
        <v>127</v>
      </c>
      <c r="G58" s="4">
        <v>80523</v>
      </c>
      <c r="H58" s="5" t="s">
        <v>128</v>
      </c>
      <c r="I58" s="4">
        <v>26841</v>
      </c>
      <c r="J58" s="5" t="s">
        <v>97</v>
      </c>
      <c r="K58" t="str">
        <f t="shared" si="0"/>
        <v>Q4 2022</v>
      </c>
      <c r="L58" t="str">
        <f t="shared" si="1"/>
        <v>Q4 2022</v>
      </c>
    </row>
    <row r="59" spans="1:12" ht="15.75" customHeight="1" x14ac:dyDescent="0.3">
      <c r="A59" s="2" t="s">
        <v>129</v>
      </c>
      <c r="B59" s="2" t="s">
        <v>11</v>
      </c>
      <c r="C59" s="2" t="s">
        <v>12</v>
      </c>
      <c r="D59" s="2" t="s">
        <v>13</v>
      </c>
      <c r="E59" s="2" t="s">
        <v>14</v>
      </c>
      <c r="F59" s="2" t="s">
        <v>46</v>
      </c>
      <c r="G59" s="4">
        <v>67742</v>
      </c>
      <c r="H59" s="5" t="s">
        <v>130</v>
      </c>
      <c r="I59" s="4">
        <v>0</v>
      </c>
      <c r="J59" s="6">
        <v>44601</v>
      </c>
      <c r="K59" t="str">
        <f t="shared" si="0"/>
        <v>Q1 2022</v>
      </c>
      <c r="L59" t="str">
        <f t="shared" si="1"/>
        <v>Q1 2022</v>
      </c>
    </row>
    <row r="60" spans="1:12" ht="15.75" customHeight="1" x14ac:dyDescent="0.3">
      <c r="A60" s="2" t="s">
        <v>131</v>
      </c>
      <c r="B60" s="2" t="s">
        <v>11</v>
      </c>
      <c r="C60" s="2" t="s">
        <v>12</v>
      </c>
      <c r="D60" s="2" t="s">
        <v>13</v>
      </c>
      <c r="E60" s="2" t="s">
        <v>14</v>
      </c>
      <c r="F60" s="2" t="s">
        <v>132</v>
      </c>
      <c r="G60" s="4">
        <v>96217</v>
      </c>
      <c r="H60" s="5" t="s">
        <v>39</v>
      </c>
      <c r="I60" s="4">
        <v>0</v>
      </c>
      <c r="J60" s="6">
        <v>44603</v>
      </c>
      <c r="K60" t="str">
        <f t="shared" si="0"/>
        <v>Q1 2022</v>
      </c>
      <c r="L60" t="str">
        <f t="shared" si="1"/>
        <v>Q1 2022</v>
      </c>
    </row>
    <row r="61" spans="1:12" ht="15.75" customHeight="1" x14ac:dyDescent="0.3">
      <c r="A61" s="2" t="s">
        <v>133</v>
      </c>
      <c r="B61" s="2" t="s">
        <v>11</v>
      </c>
      <c r="C61" s="2" t="s">
        <v>12</v>
      </c>
      <c r="D61" s="2" t="s">
        <v>13</v>
      </c>
      <c r="E61" s="2" t="s">
        <v>14</v>
      </c>
      <c r="F61" s="2" t="s">
        <v>134</v>
      </c>
      <c r="G61" s="4">
        <v>90293</v>
      </c>
      <c r="H61" s="6">
        <v>44866</v>
      </c>
      <c r="I61" s="4">
        <v>0</v>
      </c>
      <c r="J61" s="6">
        <v>44595</v>
      </c>
      <c r="K61" t="str">
        <f t="shared" si="0"/>
        <v>Q1 2022</v>
      </c>
      <c r="L61" t="str">
        <f t="shared" si="1"/>
        <v>Q1 2022</v>
      </c>
    </row>
    <row r="62" spans="1:12" ht="15.75" customHeight="1" x14ac:dyDescent="0.3">
      <c r="A62" s="2" t="s">
        <v>135</v>
      </c>
      <c r="B62" s="2" t="s">
        <v>20</v>
      </c>
      <c r="C62" s="2" t="s">
        <v>57</v>
      </c>
      <c r="D62" s="2" t="s">
        <v>13</v>
      </c>
      <c r="E62" s="2" t="s">
        <v>14</v>
      </c>
      <c r="F62" s="2" t="s">
        <v>27</v>
      </c>
      <c r="G62" s="4">
        <v>270429</v>
      </c>
      <c r="H62" s="5" t="s">
        <v>136</v>
      </c>
      <c r="I62" s="4">
        <v>135215</v>
      </c>
      <c r="J62" s="5" t="s">
        <v>137</v>
      </c>
      <c r="K62" t="str">
        <f t="shared" si="0"/>
        <v>Q2 2022</v>
      </c>
      <c r="L62" t="str">
        <f t="shared" si="1"/>
        <v>Q2 2022</v>
      </c>
    </row>
    <row r="63" spans="1:12" ht="15.75" customHeight="1" x14ac:dyDescent="0.3">
      <c r="A63" s="2" t="s">
        <v>138</v>
      </c>
      <c r="B63" s="2" t="s">
        <v>11</v>
      </c>
      <c r="C63" s="2" t="s">
        <v>12</v>
      </c>
      <c r="D63" s="2" t="s">
        <v>13</v>
      </c>
      <c r="E63" s="2" t="s">
        <v>14</v>
      </c>
      <c r="F63" s="2" t="s">
        <v>15</v>
      </c>
      <c r="G63" s="4">
        <v>63020</v>
      </c>
      <c r="H63" s="5" t="s">
        <v>130</v>
      </c>
      <c r="I63" s="4">
        <v>0</v>
      </c>
      <c r="J63" s="6">
        <v>44601</v>
      </c>
      <c r="K63" t="str">
        <f t="shared" si="0"/>
        <v>Q1 2022</v>
      </c>
      <c r="L63" t="str">
        <f t="shared" si="1"/>
        <v>Q1 2022</v>
      </c>
    </row>
    <row r="64" spans="1:12" ht="15.75" customHeight="1" x14ac:dyDescent="0.3">
      <c r="A64" s="2" t="s">
        <v>139</v>
      </c>
      <c r="B64" s="2" t="s">
        <v>11</v>
      </c>
      <c r="C64" s="2" t="s">
        <v>12</v>
      </c>
      <c r="D64" s="2" t="s">
        <v>13</v>
      </c>
      <c r="E64" s="2" t="s">
        <v>14</v>
      </c>
      <c r="F64" s="2" t="s">
        <v>140</v>
      </c>
      <c r="G64" s="4">
        <v>71125</v>
      </c>
      <c r="H64" s="5" t="s">
        <v>39</v>
      </c>
      <c r="I64" s="4">
        <v>0</v>
      </c>
      <c r="J64" s="6">
        <v>44603</v>
      </c>
      <c r="K64" t="str">
        <f t="shared" si="0"/>
        <v>Q1 2022</v>
      </c>
      <c r="L64" t="str">
        <f t="shared" si="1"/>
        <v>Q1 2022</v>
      </c>
    </row>
    <row r="65" spans="1:12" ht="15.75" customHeight="1" x14ac:dyDescent="0.3">
      <c r="A65" s="2" t="s">
        <v>141</v>
      </c>
      <c r="B65" s="2" t="s">
        <v>11</v>
      </c>
      <c r="C65" s="2" t="s">
        <v>12</v>
      </c>
      <c r="D65" s="2" t="s">
        <v>13</v>
      </c>
      <c r="E65" s="2" t="s">
        <v>14</v>
      </c>
      <c r="F65" s="2" t="s">
        <v>27</v>
      </c>
      <c r="G65" s="4">
        <v>48820</v>
      </c>
      <c r="H65" s="5" t="s">
        <v>142</v>
      </c>
      <c r="I65" s="4">
        <v>0</v>
      </c>
      <c r="J65" s="6">
        <v>44597</v>
      </c>
      <c r="K65" t="str">
        <f t="shared" si="0"/>
        <v>Q1 2022</v>
      </c>
      <c r="L65" t="str">
        <f t="shared" si="1"/>
        <v>Q1 2022</v>
      </c>
    </row>
    <row r="66" spans="1:12" ht="15.75" customHeight="1" x14ac:dyDescent="0.3">
      <c r="A66" s="2" t="s">
        <v>143</v>
      </c>
      <c r="B66" s="2" t="s">
        <v>11</v>
      </c>
      <c r="C66" s="2" t="s">
        <v>12</v>
      </c>
      <c r="D66" s="2" t="s">
        <v>13</v>
      </c>
      <c r="E66" s="2" t="s">
        <v>14</v>
      </c>
      <c r="F66" s="2" t="s">
        <v>27</v>
      </c>
      <c r="G66" s="4">
        <v>118761</v>
      </c>
      <c r="H66" s="5" t="s">
        <v>144</v>
      </c>
      <c r="I66" s="4">
        <v>0</v>
      </c>
      <c r="J66" s="6">
        <v>44963</v>
      </c>
      <c r="K66" t="str">
        <f t="shared" ref="K66:K129" si="2">"Q" &amp; ROUNDUP(MONTH(J:J)/3,0) &amp; " " &amp; YEAR(J:J)</f>
        <v>Q1 2023</v>
      </c>
      <c r="L66" t="str">
        <f t="shared" ref="L66:L129" si="3">"Q" &amp; ROUNDUP(MONTH(J:J)/3,0) &amp; " " &amp; YEAR(J:J)</f>
        <v>Q1 2023</v>
      </c>
    </row>
    <row r="67" spans="1:12" ht="15.75" customHeight="1" x14ac:dyDescent="0.3">
      <c r="A67" s="2" t="s">
        <v>145</v>
      </c>
      <c r="B67" s="2" t="s">
        <v>11</v>
      </c>
      <c r="C67" s="2" t="s">
        <v>12</v>
      </c>
      <c r="D67" s="2" t="s">
        <v>13</v>
      </c>
      <c r="E67" s="2" t="s">
        <v>14</v>
      </c>
      <c r="F67" s="2" t="s">
        <v>46</v>
      </c>
      <c r="G67" s="4">
        <v>74208</v>
      </c>
      <c r="H67" s="6">
        <v>44562</v>
      </c>
      <c r="I67" s="4">
        <v>0</v>
      </c>
      <c r="J67" s="6">
        <v>44595</v>
      </c>
      <c r="K67" t="str">
        <f t="shared" si="2"/>
        <v>Q1 2022</v>
      </c>
      <c r="L67" t="str">
        <f t="shared" si="3"/>
        <v>Q1 2022</v>
      </c>
    </row>
    <row r="68" spans="1:12" ht="15.75" customHeight="1" x14ac:dyDescent="0.3">
      <c r="A68" s="2" t="s">
        <v>146</v>
      </c>
      <c r="B68" s="2" t="s">
        <v>11</v>
      </c>
      <c r="C68" s="2" t="s">
        <v>12</v>
      </c>
      <c r="D68" s="2" t="s">
        <v>13</v>
      </c>
      <c r="E68" s="2" t="s">
        <v>14</v>
      </c>
      <c r="F68" s="2" t="s">
        <v>27</v>
      </c>
      <c r="G68" s="4">
        <v>62337</v>
      </c>
      <c r="H68" s="5" t="s">
        <v>39</v>
      </c>
      <c r="I68" s="4">
        <v>0</v>
      </c>
      <c r="J68" s="6">
        <v>44603</v>
      </c>
      <c r="K68" t="str">
        <f t="shared" si="2"/>
        <v>Q1 2022</v>
      </c>
      <c r="L68" t="str">
        <f t="shared" si="3"/>
        <v>Q1 2022</v>
      </c>
    </row>
    <row r="69" spans="1:12" ht="15.75" customHeight="1" x14ac:dyDescent="0.3">
      <c r="A69" s="2" t="s">
        <v>147</v>
      </c>
      <c r="B69" s="2" t="s">
        <v>11</v>
      </c>
      <c r="C69" s="2" t="s">
        <v>12</v>
      </c>
      <c r="D69" s="2" t="s">
        <v>13</v>
      </c>
      <c r="E69" s="2" t="s">
        <v>14</v>
      </c>
      <c r="F69" s="2" t="s">
        <v>148</v>
      </c>
      <c r="G69" s="4">
        <v>143588</v>
      </c>
      <c r="H69" s="5" t="s">
        <v>137</v>
      </c>
      <c r="I69" s="4">
        <v>0</v>
      </c>
      <c r="J69" s="6">
        <v>44598</v>
      </c>
      <c r="K69" t="str">
        <f t="shared" si="2"/>
        <v>Q1 2022</v>
      </c>
      <c r="L69" t="str">
        <f t="shared" si="3"/>
        <v>Q1 2022</v>
      </c>
    </row>
    <row r="70" spans="1:12" ht="15.75" customHeight="1" x14ac:dyDescent="0.3">
      <c r="A70" s="2" t="s">
        <v>149</v>
      </c>
      <c r="B70" s="2" t="s">
        <v>11</v>
      </c>
      <c r="C70" s="2" t="s">
        <v>12</v>
      </c>
      <c r="D70" s="2" t="s">
        <v>13</v>
      </c>
      <c r="E70" s="2" t="s">
        <v>14</v>
      </c>
      <c r="F70" s="2" t="s">
        <v>150</v>
      </c>
      <c r="G70" s="4">
        <v>61002</v>
      </c>
      <c r="H70" s="6">
        <v>44623</v>
      </c>
      <c r="I70" s="4">
        <v>0</v>
      </c>
      <c r="J70" s="6">
        <v>44597</v>
      </c>
      <c r="K70" t="str">
        <f t="shared" si="2"/>
        <v>Q1 2022</v>
      </c>
      <c r="L70" t="str">
        <f t="shared" si="3"/>
        <v>Q1 2022</v>
      </c>
    </row>
    <row r="71" spans="1:12" ht="15.75" customHeight="1" x14ac:dyDescent="0.3">
      <c r="A71" s="2" t="s">
        <v>151</v>
      </c>
      <c r="B71" s="2" t="s">
        <v>11</v>
      </c>
      <c r="C71" s="2" t="s">
        <v>12</v>
      </c>
      <c r="D71" s="2" t="s">
        <v>13</v>
      </c>
      <c r="E71" s="2" t="s">
        <v>14</v>
      </c>
      <c r="F71" s="2" t="s">
        <v>152</v>
      </c>
      <c r="G71" s="4">
        <v>109980</v>
      </c>
      <c r="H71" s="6">
        <v>44631</v>
      </c>
      <c r="I71" s="4">
        <v>0</v>
      </c>
      <c r="J71" s="6">
        <v>44958</v>
      </c>
      <c r="K71" t="str">
        <f t="shared" si="2"/>
        <v>Q1 2023</v>
      </c>
      <c r="L71" t="str">
        <f t="shared" si="3"/>
        <v>Q1 2023</v>
      </c>
    </row>
    <row r="72" spans="1:12" ht="15.75" customHeight="1" x14ac:dyDescent="0.3">
      <c r="A72" s="2" t="s">
        <v>153</v>
      </c>
      <c r="B72" s="2" t="s">
        <v>11</v>
      </c>
      <c r="C72" s="2" t="s">
        <v>12</v>
      </c>
      <c r="D72" s="2" t="s">
        <v>13</v>
      </c>
      <c r="E72" s="2" t="s">
        <v>14</v>
      </c>
      <c r="F72" s="2" t="s">
        <v>15</v>
      </c>
      <c r="G72" s="4">
        <v>106526</v>
      </c>
      <c r="H72" s="5" t="s">
        <v>154</v>
      </c>
      <c r="I72" s="4">
        <v>0</v>
      </c>
      <c r="J72" s="6">
        <v>44600</v>
      </c>
      <c r="K72" t="str">
        <f t="shared" si="2"/>
        <v>Q1 2022</v>
      </c>
      <c r="L72" t="str">
        <f t="shared" si="3"/>
        <v>Q1 2022</v>
      </c>
    </row>
    <row r="73" spans="1:12" ht="15.75" customHeight="1" x14ac:dyDescent="0.3">
      <c r="A73" s="2" t="s">
        <v>155</v>
      </c>
      <c r="B73" s="2" t="s">
        <v>11</v>
      </c>
      <c r="C73" s="2" t="s">
        <v>12</v>
      </c>
      <c r="D73" s="2" t="s">
        <v>13</v>
      </c>
      <c r="E73" s="2" t="s">
        <v>14</v>
      </c>
      <c r="F73" s="2" t="s">
        <v>156</v>
      </c>
      <c r="G73" s="4">
        <v>70969</v>
      </c>
      <c r="H73" s="6">
        <v>44629</v>
      </c>
      <c r="I73" s="4">
        <v>0</v>
      </c>
      <c r="J73" s="6">
        <v>44603</v>
      </c>
      <c r="K73" t="str">
        <f t="shared" si="2"/>
        <v>Q1 2022</v>
      </c>
      <c r="L73" t="str">
        <f t="shared" si="3"/>
        <v>Q1 2022</v>
      </c>
    </row>
    <row r="74" spans="1:12" ht="15.75" customHeight="1" x14ac:dyDescent="0.3">
      <c r="A74" s="2" t="s">
        <v>157</v>
      </c>
      <c r="B74" s="2" t="s">
        <v>11</v>
      </c>
      <c r="C74" s="2" t="s">
        <v>12</v>
      </c>
      <c r="D74" s="2" t="s">
        <v>13</v>
      </c>
      <c r="E74" s="2" t="s">
        <v>14</v>
      </c>
      <c r="F74" s="2" t="s">
        <v>96</v>
      </c>
      <c r="G74" s="4">
        <v>100034</v>
      </c>
      <c r="H74" s="5" t="s">
        <v>71</v>
      </c>
      <c r="I74" s="4">
        <v>0</v>
      </c>
      <c r="J74" s="6">
        <v>44603</v>
      </c>
      <c r="K74" t="str">
        <f t="shared" si="2"/>
        <v>Q1 2022</v>
      </c>
      <c r="L74" t="str">
        <f t="shared" si="3"/>
        <v>Q1 2022</v>
      </c>
    </row>
    <row r="75" spans="1:12" ht="15.75" customHeight="1" x14ac:dyDescent="0.3">
      <c r="A75" s="2" t="s">
        <v>158</v>
      </c>
      <c r="B75" s="2" t="s">
        <v>11</v>
      </c>
      <c r="C75" s="2" t="s">
        <v>12</v>
      </c>
      <c r="D75" s="2" t="s">
        <v>13</v>
      </c>
      <c r="E75" s="2" t="s">
        <v>14</v>
      </c>
      <c r="F75" s="2" t="s">
        <v>159</v>
      </c>
      <c r="G75" s="4">
        <v>107069</v>
      </c>
      <c r="H75" s="6">
        <v>44629</v>
      </c>
      <c r="I75" s="4">
        <v>0</v>
      </c>
      <c r="J75" s="6">
        <v>44603</v>
      </c>
      <c r="K75" t="str">
        <f t="shared" si="2"/>
        <v>Q1 2022</v>
      </c>
      <c r="L75" t="str">
        <f t="shared" si="3"/>
        <v>Q1 2022</v>
      </c>
    </row>
    <row r="76" spans="1:12" ht="15.75" customHeight="1" x14ac:dyDescent="0.3">
      <c r="A76" s="2" t="s">
        <v>160</v>
      </c>
      <c r="B76" s="2" t="s">
        <v>11</v>
      </c>
      <c r="C76" s="2" t="s">
        <v>12</v>
      </c>
      <c r="D76" s="2" t="s">
        <v>13</v>
      </c>
      <c r="E76" s="2" t="s">
        <v>14</v>
      </c>
      <c r="F76" s="2" t="s">
        <v>161</v>
      </c>
      <c r="G76" s="4">
        <v>143517</v>
      </c>
      <c r="H76" s="5" t="s">
        <v>42</v>
      </c>
      <c r="I76" s="4">
        <v>0</v>
      </c>
      <c r="J76" s="6">
        <v>44603</v>
      </c>
      <c r="K76" t="str">
        <f t="shared" si="2"/>
        <v>Q1 2022</v>
      </c>
      <c r="L76" t="str">
        <f t="shared" si="3"/>
        <v>Q1 2022</v>
      </c>
    </row>
    <row r="77" spans="1:12" ht="15.75" customHeight="1" x14ac:dyDescent="0.3">
      <c r="A77" s="2" t="s">
        <v>162</v>
      </c>
      <c r="B77" s="2" t="s">
        <v>11</v>
      </c>
      <c r="C77" s="2" t="s">
        <v>12</v>
      </c>
      <c r="D77" s="2" t="s">
        <v>13</v>
      </c>
      <c r="E77" s="2" t="s">
        <v>14</v>
      </c>
      <c r="F77" s="2" t="s">
        <v>15</v>
      </c>
      <c r="G77" s="4">
        <v>58504</v>
      </c>
      <c r="H77" s="5" t="s">
        <v>42</v>
      </c>
      <c r="I77" s="4">
        <v>0</v>
      </c>
      <c r="J77" s="6">
        <v>44603</v>
      </c>
      <c r="K77" t="str">
        <f t="shared" si="2"/>
        <v>Q1 2022</v>
      </c>
      <c r="L77" t="str">
        <f t="shared" si="3"/>
        <v>Q1 2022</v>
      </c>
    </row>
    <row r="78" spans="1:12" ht="15.75" customHeight="1" x14ac:dyDescent="0.3">
      <c r="A78" s="2" t="s">
        <v>163</v>
      </c>
      <c r="B78" s="2" t="s">
        <v>11</v>
      </c>
      <c r="C78" s="2" t="s">
        <v>57</v>
      </c>
      <c r="D78" s="2" t="s">
        <v>13</v>
      </c>
      <c r="E78" s="2" t="s">
        <v>14</v>
      </c>
      <c r="F78" s="2" t="s">
        <v>46</v>
      </c>
      <c r="G78" s="4">
        <v>95966</v>
      </c>
      <c r="H78" s="6">
        <v>44629</v>
      </c>
      <c r="I78" s="4">
        <v>0</v>
      </c>
      <c r="J78" s="6">
        <v>44603</v>
      </c>
      <c r="K78" t="str">
        <f t="shared" si="2"/>
        <v>Q1 2022</v>
      </c>
      <c r="L78" t="str">
        <f t="shared" si="3"/>
        <v>Q1 2022</v>
      </c>
    </row>
    <row r="79" spans="1:12" ht="15.75" customHeight="1" x14ac:dyDescent="0.3">
      <c r="A79" s="2" t="s">
        <v>164</v>
      </c>
      <c r="B79" s="2" t="s">
        <v>11</v>
      </c>
      <c r="C79" s="2" t="s">
        <v>57</v>
      </c>
      <c r="D79" s="2" t="s">
        <v>13</v>
      </c>
      <c r="E79" s="2" t="s">
        <v>22</v>
      </c>
      <c r="F79" s="2" t="s">
        <v>165</v>
      </c>
      <c r="G79" s="4">
        <v>54725</v>
      </c>
      <c r="H79" s="5" t="s">
        <v>65</v>
      </c>
      <c r="I79" s="4">
        <v>0</v>
      </c>
      <c r="J79" s="6">
        <v>44784</v>
      </c>
      <c r="K79" t="str">
        <f t="shared" si="2"/>
        <v>Q3 2022</v>
      </c>
      <c r="L79" t="str">
        <f t="shared" si="3"/>
        <v>Q3 2022</v>
      </c>
    </row>
    <row r="80" spans="1:12" ht="15.75" customHeight="1" x14ac:dyDescent="0.3">
      <c r="A80" s="2" t="s">
        <v>166</v>
      </c>
      <c r="B80" s="2" t="s">
        <v>11</v>
      </c>
      <c r="C80" s="2" t="s">
        <v>57</v>
      </c>
      <c r="D80" s="2" t="s">
        <v>13</v>
      </c>
      <c r="E80" s="2" t="s">
        <v>14</v>
      </c>
      <c r="F80" s="2" t="s">
        <v>15</v>
      </c>
      <c r="G80" s="4">
        <v>147868</v>
      </c>
      <c r="H80" s="5" t="s">
        <v>167</v>
      </c>
      <c r="I80" s="4">
        <v>0</v>
      </c>
      <c r="J80" s="6">
        <v>44960</v>
      </c>
      <c r="K80" t="str">
        <f t="shared" si="2"/>
        <v>Q1 2023</v>
      </c>
      <c r="L80" t="str">
        <f t="shared" si="3"/>
        <v>Q1 2023</v>
      </c>
    </row>
    <row r="81" spans="1:12" ht="15.75" customHeight="1" x14ac:dyDescent="0.3">
      <c r="A81" s="2" t="s">
        <v>168</v>
      </c>
      <c r="B81" s="2" t="s">
        <v>11</v>
      </c>
      <c r="C81" s="2" t="s">
        <v>12</v>
      </c>
      <c r="D81" s="2" t="s">
        <v>13</v>
      </c>
      <c r="E81" s="2" t="s">
        <v>14</v>
      </c>
      <c r="F81" s="2" t="s">
        <v>15</v>
      </c>
      <c r="G81" s="4">
        <v>112714</v>
      </c>
      <c r="H81" s="6">
        <v>44868</v>
      </c>
      <c r="I81" s="4">
        <v>0</v>
      </c>
      <c r="J81" s="5" t="s">
        <v>54</v>
      </c>
      <c r="K81" t="str">
        <f t="shared" si="2"/>
        <v>Q2 2022</v>
      </c>
      <c r="L81" t="str">
        <f t="shared" si="3"/>
        <v>Q2 2022</v>
      </c>
    </row>
    <row r="82" spans="1:12" ht="15.75" customHeight="1" x14ac:dyDescent="0.3">
      <c r="A82" s="2" t="s">
        <v>169</v>
      </c>
      <c r="B82" s="2" t="s">
        <v>11</v>
      </c>
      <c r="C82" s="2" t="s">
        <v>12</v>
      </c>
      <c r="D82" s="2" t="s">
        <v>13</v>
      </c>
      <c r="E82" s="2" t="s">
        <v>14</v>
      </c>
      <c r="F82" s="2" t="s">
        <v>46</v>
      </c>
      <c r="G82" s="4">
        <v>74208</v>
      </c>
      <c r="H82" s="5" t="s">
        <v>25</v>
      </c>
      <c r="I82" s="4">
        <v>0</v>
      </c>
      <c r="J82" s="6">
        <v>44603</v>
      </c>
      <c r="K82" t="str">
        <f t="shared" si="2"/>
        <v>Q1 2022</v>
      </c>
      <c r="L82" t="str">
        <f t="shared" si="3"/>
        <v>Q1 2022</v>
      </c>
    </row>
    <row r="83" spans="1:12" ht="15.75" customHeight="1" x14ac:dyDescent="0.3">
      <c r="A83" s="2" t="s">
        <v>170</v>
      </c>
      <c r="B83" s="2" t="s">
        <v>11</v>
      </c>
      <c r="C83" s="2" t="s">
        <v>12</v>
      </c>
      <c r="D83" s="2" t="s">
        <v>13</v>
      </c>
      <c r="E83" s="2" t="s">
        <v>14</v>
      </c>
      <c r="F83" s="2" t="s">
        <v>46</v>
      </c>
      <c r="G83" s="4">
        <v>90068</v>
      </c>
      <c r="H83" s="5" t="s">
        <v>171</v>
      </c>
      <c r="I83" s="4">
        <v>0</v>
      </c>
      <c r="J83" s="6">
        <v>44959</v>
      </c>
      <c r="K83" t="str">
        <f t="shared" si="2"/>
        <v>Q1 2023</v>
      </c>
      <c r="L83" t="str">
        <f t="shared" si="3"/>
        <v>Q1 2023</v>
      </c>
    </row>
    <row r="84" spans="1:12" ht="15.75" customHeight="1" x14ac:dyDescent="0.3">
      <c r="A84" s="2" t="s">
        <v>172</v>
      </c>
      <c r="B84" s="2" t="s">
        <v>11</v>
      </c>
      <c r="C84" s="2" t="s">
        <v>12</v>
      </c>
      <c r="D84" s="2" t="s">
        <v>13</v>
      </c>
      <c r="E84" s="2" t="s">
        <v>14</v>
      </c>
      <c r="F84" s="2" t="s">
        <v>46</v>
      </c>
      <c r="G84" s="4">
        <v>80085</v>
      </c>
      <c r="H84" s="5" t="s">
        <v>25</v>
      </c>
      <c r="I84" s="4">
        <v>0</v>
      </c>
      <c r="J84" s="6">
        <v>44603</v>
      </c>
      <c r="K84" t="str">
        <f t="shared" si="2"/>
        <v>Q1 2022</v>
      </c>
      <c r="L84" t="str">
        <f t="shared" si="3"/>
        <v>Q1 2022</v>
      </c>
    </row>
    <row r="85" spans="1:12" ht="15.75" customHeight="1" x14ac:dyDescent="0.3">
      <c r="A85" s="2" t="s">
        <v>173</v>
      </c>
      <c r="B85" s="2" t="s">
        <v>11</v>
      </c>
      <c r="C85" s="2" t="s">
        <v>12</v>
      </c>
      <c r="D85" s="2" t="s">
        <v>13</v>
      </c>
      <c r="E85" s="2" t="s">
        <v>14</v>
      </c>
      <c r="F85" s="2" t="s">
        <v>174</v>
      </c>
      <c r="G85" s="4">
        <v>157857</v>
      </c>
      <c r="H85" s="5" t="s">
        <v>82</v>
      </c>
      <c r="I85" s="4">
        <v>0</v>
      </c>
      <c r="J85" s="6">
        <v>44597</v>
      </c>
      <c r="K85" t="str">
        <f t="shared" si="2"/>
        <v>Q1 2022</v>
      </c>
      <c r="L85" t="str">
        <f t="shared" si="3"/>
        <v>Q1 2022</v>
      </c>
    </row>
    <row r="86" spans="1:12" ht="15.75" customHeight="1" x14ac:dyDescent="0.3">
      <c r="A86" s="2" t="s">
        <v>175</v>
      </c>
      <c r="B86" s="2" t="s">
        <v>11</v>
      </c>
      <c r="C86" s="2" t="s">
        <v>12</v>
      </c>
      <c r="D86" s="2" t="s">
        <v>13</v>
      </c>
      <c r="E86" s="2" t="s">
        <v>14</v>
      </c>
      <c r="F86" s="2" t="s">
        <v>176</v>
      </c>
      <c r="G86" s="4">
        <v>88677</v>
      </c>
      <c r="H86" s="6">
        <v>44927</v>
      </c>
      <c r="I86" s="4">
        <v>0</v>
      </c>
      <c r="J86" s="6">
        <v>44960</v>
      </c>
      <c r="K86" t="str">
        <f t="shared" si="2"/>
        <v>Q1 2023</v>
      </c>
      <c r="L86" t="str">
        <f t="shared" si="3"/>
        <v>Q1 2023</v>
      </c>
    </row>
    <row r="87" spans="1:12" ht="15.75" customHeight="1" x14ac:dyDescent="0.3">
      <c r="A87" s="2" t="s">
        <v>177</v>
      </c>
      <c r="B87" s="2" t="s">
        <v>11</v>
      </c>
      <c r="C87" s="2" t="s">
        <v>12</v>
      </c>
      <c r="D87" s="2" t="s">
        <v>13</v>
      </c>
      <c r="E87" s="2" t="s">
        <v>14</v>
      </c>
      <c r="F87" s="2" t="s">
        <v>178</v>
      </c>
      <c r="G87" s="4">
        <v>203793</v>
      </c>
      <c r="H87" s="5" t="s">
        <v>179</v>
      </c>
      <c r="I87" s="4">
        <v>0</v>
      </c>
      <c r="J87" s="6">
        <v>44594</v>
      </c>
      <c r="K87" t="str">
        <f t="shared" si="2"/>
        <v>Q1 2022</v>
      </c>
      <c r="L87" t="str">
        <f t="shared" si="3"/>
        <v>Q1 2022</v>
      </c>
    </row>
    <row r="88" spans="1:12" ht="15.75" customHeight="1" x14ac:dyDescent="0.3">
      <c r="A88" s="2" t="s">
        <v>180</v>
      </c>
      <c r="B88" s="2" t="s">
        <v>11</v>
      </c>
      <c r="C88" s="2" t="s">
        <v>12</v>
      </c>
      <c r="D88" s="2" t="s">
        <v>13</v>
      </c>
      <c r="E88" s="2" t="s">
        <v>14</v>
      </c>
      <c r="F88" s="2" t="s">
        <v>181</v>
      </c>
      <c r="G88" s="4">
        <v>55037</v>
      </c>
      <c r="H88" s="5" t="s">
        <v>39</v>
      </c>
      <c r="I88" s="4">
        <v>0</v>
      </c>
      <c r="J88" s="6">
        <v>44603</v>
      </c>
      <c r="K88" t="str">
        <f t="shared" si="2"/>
        <v>Q1 2022</v>
      </c>
      <c r="L88" t="str">
        <f t="shared" si="3"/>
        <v>Q1 2022</v>
      </c>
    </row>
    <row r="89" spans="1:12" ht="15.75" customHeight="1" x14ac:dyDescent="0.3">
      <c r="A89" s="2" t="s">
        <v>182</v>
      </c>
      <c r="B89" s="2" t="s">
        <v>11</v>
      </c>
      <c r="C89" s="2" t="s">
        <v>12</v>
      </c>
      <c r="D89" s="2" t="s">
        <v>13</v>
      </c>
      <c r="E89" s="2" t="s">
        <v>14</v>
      </c>
      <c r="F89" s="2" t="s">
        <v>59</v>
      </c>
      <c r="G89" s="4">
        <v>106786</v>
      </c>
      <c r="H89" s="6">
        <v>44629</v>
      </c>
      <c r="I89" s="4">
        <v>0</v>
      </c>
      <c r="J89" s="6">
        <v>44603</v>
      </c>
      <c r="K89" t="str">
        <f t="shared" si="2"/>
        <v>Q1 2022</v>
      </c>
      <c r="L89" t="str">
        <f t="shared" si="3"/>
        <v>Q1 2022</v>
      </c>
    </row>
    <row r="90" spans="1:12" ht="15.75" customHeight="1" x14ac:dyDescent="0.3">
      <c r="A90" s="2" t="s">
        <v>183</v>
      </c>
      <c r="B90" s="2" t="s">
        <v>11</v>
      </c>
      <c r="C90" s="2" t="s">
        <v>12</v>
      </c>
      <c r="D90" s="2" t="s">
        <v>13</v>
      </c>
      <c r="E90" s="2" t="s">
        <v>14</v>
      </c>
      <c r="F90" s="2" t="s">
        <v>184</v>
      </c>
      <c r="G90" s="4">
        <v>83160</v>
      </c>
      <c r="H90" s="5" t="s">
        <v>185</v>
      </c>
      <c r="I90" s="4">
        <v>0</v>
      </c>
      <c r="J90" s="5" t="s">
        <v>97</v>
      </c>
      <c r="K90" t="str">
        <f t="shared" si="2"/>
        <v>Q4 2022</v>
      </c>
      <c r="L90" t="str">
        <f t="shared" si="3"/>
        <v>Q4 2022</v>
      </c>
    </row>
    <row r="91" spans="1:12" ht="15.75" customHeight="1" x14ac:dyDescent="0.3">
      <c r="A91" s="2" t="s">
        <v>186</v>
      </c>
      <c r="B91" s="2" t="s">
        <v>11</v>
      </c>
      <c r="C91" s="2" t="s">
        <v>57</v>
      </c>
      <c r="D91" s="2" t="s">
        <v>13</v>
      </c>
      <c r="E91" s="2" t="s">
        <v>187</v>
      </c>
      <c r="F91" s="2" t="s">
        <v>188</v>
      </c>
      <c r="G91" s="4">
        <v>137608</v>
      </c>
      <c r="H91" s="5" t="s">
        <v>189</v>
      </c>
      <c r="I91" s="4">
        <v>0</v>
      </c>
      <c r="J91" s="6">
        <v>44601</v>
      </c>
      <c r="K91" t="str">
        <f t="shared" si="2"/>
        <v>Q1 2022</v>
      </c>
      <c r="L91" t="str">
        <f t="shared" si="3"/>
        <v>Q1 2022</v>
      </c>
    </row>
    <row r="92" spans="1:12" ht="15.75" customHeight="1" x14ac:dyDescent="0.3">
      <c r="A92" s="2" t="s">
        <v>190</v>
      </c>
      <c r="B92" s="2" t="s">
        <v>11</v>
      </c>
      <c r="C92" s="2" t="s">
        <v>57</v>
      </c>
      <c r="D92" s="2" t="s">
        <v>13</v>
      </c>
      <c r="E92" s="2" t="s">
        <v>14</v>
      </c>
      <c r="F92" s="2" t="s">
        <v>46</v>
      </c>
      <c r="G92" s="4">
        <v>157835</v>
      </c>
      <c r="H92" s="5" t="s">
        <v>25</v>
      </c>
      <c r="I92" s="4">
        <v>0</v>
      </c>
      <c r="J92" s="6">
        <v>44603</v>
      </c>
      <c r="K92" t="str">
        <f t="shared" si="2"/>
        <v>Q1 2022</v>
      </c>
      <c r="L92" t="str">
        <f t="shared" si="3"/>
        <v>Q1 2022</v>
      </c>
    </row>
    <row r="93" spans="1:12" ht="15.75" customHeight="1" x14ac:dyDescent="0.3">
      <c r="A93" s="2" t="s">
        <v>191</v>
      </c>
      <c r="B93" s="2" t="s">
        <v>11</v>
      </c>
      <c r="C93" s="2" t="s">
        <v>57</v>
      </c>
      <c r="D93" s="2" t="s">
        <v>13</v>
      </c>
      <c r="E93" s="2" t="s">
        <v>14</v>
      </c>
      <c r="F93" s="2" t="s">
        <v>15</v>
      </c>
      <c r="G93" s="4">
        <v>187470</v>
      </c>
      <c r="H93" s="5" t="s">
        <v>192</v>
      </c>
      <c r="I93" s="4">
        <v>0</v>
      </c>
      <c r="J93" s="6">
        <v>44595</v>
      </c>
      <c r="K93" t="str">
        <f t="shared" si="2"/>
        <v>Q1 2022</v>
      </c>
      <c r="L93" t="str">
        <f t="shared" si="3"/>
        <v>Q1 2022</v>
      </c>
    </row>
    <row r="94" spans="1:12" ht="15.75" customHeight="1" x14ac:dyDescent="0.3">
      <c r="A94" s="2" t="s">
        <v>193</v>
      </c>
      <c r="B94" s="2" t="s">
        <v>11</v>
      </c>
      <c r="C94" s="2" t="s">
        <v>12</v>
      </c>
      <c r="D94" s="2" t="s">
        <v>13</v>
      </c>
      <c r="E94" s="2" t="s">
        <v>187</v>
      </c>
      <c r="F94" s="2" t="s">
        <v>194</v>
      </c>
      <c r="G94" s="4">
        <v>102196</v>
      </c>
      <c r="H94" s="5" t="s">
        <v>195</v>
      </c>
      <c r="I94" s="4">
        <v>0</v>
      </c>
      <c r="J94" s="5" t="s">
        <v>137</v>
      </c>
      <c r="K94" t="str">
        <f t="shared" si="2"/>
        <v>Q2 2022</v>
      </c>
      <c r="L94" t="str">
        <f t="shared" si="3"/>
        <v>Q2 2022</v>
      </c>
    </row>
    <row r="95" spans="1:12" ht="15.75" customHeight="1" x14ac:dyDescent="0.3">
      <c r="A95" s="2" t="s">
        <v>196</v>
      </c>
      <c r="B95" s="2" t="s">
        <v>11</v>
      </c>
      <c r="C95" s="2" t="s">
        <v>12</v>
      </c>
      <c r="D95" s="2" t="s">
        <v>13</v>
      </c>
      <c r="E95" s="2" t="s">
        <v>14</v>
      </c>
      <c r="F95" s="2" t="s">
        <v>15</v>
      </c>
      <c r="G95" s="4">
        <v>100539</v>
      </c>
      <c r="H95" s="5" t="s">
        <v>197</v>
      </c>
      <c r="I95" s="4">
        <v>0</v>
      </c>
      <c r="J95" s="6">
        <v>44601</v>
      </c>
      <c r="K95" t="str">
        <f t="shared" si="2"/>
        <v>Q1 2022</v>
      </c>
      <c r="L95" t="str">
        <f t="shared" si="3"/>
        <v>Q1 2022</v>
      </c>
    </row>
    <row r="96" spans="1:12" ht="15.75" customHeight="1" x14ac:dyDescent="0.3">
      <c r="A96" s="2" t="s">
        <v>198</v>
      </c>
      <c r="B96" s="2" t="s">
        <v>11</v>
      </c>
      <c r="C96" s="2" t="s">
        <v>57</v>
      </c>
      <c r="D96" s="2" t="s">
        <v>13</v>
      </c>
      <c r="E96" s="2" t="s">
        <v>14</v>
      </c>
      <c r="F96" s="2" t="s">
        <v>199</v>
      </c>
      <c r="G96" s="4">
        <v>76925</v>
      </c>
      <c r="H96" s="5" t="s">
        <v>39</v>
      </c>
      <c r="I96" s="4">
        <v>0</v>
      </c>
      <c r="J96" s="6">
        <v>44603</v>
      </c>
      <c r="K96" t="str">
        <f t="shared" si="2"/>
        <v>Q1 2022</v>
      </c>
      <c r="L96" t="str">
        <f t="shared" si="3"/>
        <v>Q1 2022</v>
      </c>
    </row>
    <row r="97" spans="1:12" ht="15.75" customHeight="1" x14ac:dyDescent="0.3">
      <c r="A97" s="2" t="s">
        <v>200</v>
      </c>
      <c r="B97" s="2" t="s">
        <v>11</v>
      </c>
      <c r="C97" s="2" t="s">
        <v>12</v>
      </c>
      <c r="D97" s="2" t="s">
        <v>13</v>
      </c>
      <c r="E97" s="2" t="s">
        <v>14</v>
      </c>
      <c r="F97" s="2" t="s">
        <v>15</v>
      </c>
      <c r="G97" s="4">
        <v>110085</v>
      </c>
      <c r="H97" s="6">
        <v>44623</v>
      </c>
      <c r="I97" s="4">
        <v>0</v>
      </c>
      <c r="J97" s="6">
        <v>44597</v>
      </c>
      <c r="K97" t="str">
        <f t="shared" si="2"/>
        <v>Q1 2022</v>
      </c>
      <c r="L97" t="str">
        <f t="shared" si="3"/>
        <v>Q1 2022</v>
      </c>
    </row>
    <row r="98" spans="1:12" ht="15.75" customHeight="1" x14ac:dyDescent="0.3">
      <c r="A98" s="2" t="s">
        <v>201</v>
      </c>
      <c r="B98" s="2" t="s">
        <v>11</v>
      </c>
      <c r="C98" s="2" t="s">
        <v>12</v>
      </c>
      <c r="D98" s="2" t="s">
        <v>13</v>
      </c>
      <c r="E98" s="2" t="s">
        <v>14</v>
      </c>
      <c r="F98" s="2" t="s">
        <v>96</v>
      </c>
      <c r="G98" s="4">
        <v>83580</v>
      </c>
      <c r="H98" s="6">
        <v>44899</v>
      </c>
      <c r="I98" s="4">
        <v>0</v>
      </c>
      <c r="J98" s="6">
        <v>44597</v>
      </c>
      <c r="K98" t="str">
        <f t="shared" si="2"/>
        <v>Q1 2022</v>
      </c>
      <c r="L98" t="str">
        <f t="shared" si="3"/>
        <v>Q1 2022</v>
      </c>
    </row>
    <row r="99" spans="1:12" ht="15.75" customHeight="1" x14ac:dyDescent="0.3">
      <c r="A99" s="2" t="s">
        <v>202</v>
      </c>
      <c r="B99" s="2" t="s">
        <v>11</v>
      </c>
      <c r="C99" s="2" t="s">
        <v>12</v>
      </c>
      <c r="D99" s="2" t="s">
        <v>13</v>
      </c>
      <c r="E99" s="2" t="s">
        <v>14</v>
      </c>
      <c r="F99" s="2" t="s">
        <v>27</v>
      </c>
      <c r="G99" s="2"/>
      <c r="H99" s="5" t="s">
        <v>71</v>
      </c>
      <c r="I99" s="4">
        <v>0</v>
      </c>
      <c r="J99" s="6">
        <v>44603</v>
      </c>
      <c r="K99" t="str">
        <f t="shared" si="2"/>
        <v>Q1 2022</v>
      </c>
      <c r="L99" t="str">
        <f t="shared" si="3"/>
        <v>Q1 2022</v>
      </c>
    </row>
    <row r="100" spans="1:12" ht="15.75" customHeight="1" x14ac:dyDescent="0.3">
      <c r="A100" s="2" t="s">
        <v>203</v>
      </c>
      <c r="B100" s="2" t="s">
        <v>11</v>
      </c>
      <c r="C100" s="2" t="s">
        <v>12</v>
      </c>
      <c r="D100" s="2" t="s">
        <v>13</v>
      </c>
      <c r="E100" s="2" t="s">
        <v>14</v>
      </c>
      <c r="F100" s="2" t="s">
        <v>46</v>
      </c>
      <c r="G100" s="4">
        <v>42045</v>
      </c>
      <c r="H100" s="6">
        <v>44630</v>
      </c>
      <c r="I100" s="4">
        <v>0</v>
      </c>
      <c r="J100" s="6">
        <v>44603</v>
      </c>
      <c r="K100" t="str">
        <f t="shared" si="2"/>
        <v>Q1 2022</v>
      </c>
      <c r="L100" t="str">
        <f t="shared" si="3"/>
        <v>Q1 2022</v>
      </c>
    </row>
    <row r="101" spans="1:12" ht="15.75" customHeight="1" x14ac:dyDescent="0.3">
      <c r="A101" s="2" t="s">
        <v>204</v>
      </c>
      <c r="B101" s="2" t="s">
        <v>11</v>
      </c>
      <c r="C101" s="2" t="s">
        <v>12</v>
      </c>
      <c r="D101" s="2" t="s">
        <v>13</v>
      </c>
      <c r="E101" s="2" t="s">
        <v>14</v>
      </c>
      <c r="F101" s="2" t="s">
        <v>27</v>
      </c>
      <c r="G101" s="4">
        <v>72988</v>
      </c>
      <c r="H101" s="5" t="s">
        <v>30</v>
      </c>
      <c r="I101" s="4">
        <v>0</v>
      </c>
      <c r="J101" s="6">
        <v>44603</v>
      </c>
      <c r="K101" t="str">
        <f t="shared" si="2"/>
        <v>Q1 2022</v>
      </c>
      <c r="L101" t="str">
        <f t="shared" si="3"/>
        <v>Q1 2022</v>
      </c>
    </row>
    <row r="102" spans="1:12" ht="15.75" customHeight="1" x14ac:dyDescent="0.3">
      <c r="A102" s="2" t="s">
        <v>205</v>
      </c>
      <c r="B102" s="2" t="s">
        <v>11</v>
      </c>
      <c r="C102" s="2" t="s">
        <v>12</v>
      </c>
      <c r="D102" s="2" t="s">
        <v>13</v>
      </c>
      <c r="E102" s="2" t="s">
        <v>22</v>
      </c>
      <c r="F102" s="2" t="s">
        <v>46</v>
      </c>
      <c r="G102" s="4">
        <v>203733</v>
      </c>
      <c r="H102" s="6">
        <v>44630</v>
      </c>
      <c r="I102" s="4">
        <v>0</v>
      </c>
      <c r="J102" s="6">
        <v>44603</v>
      </c>
      <c r="K102" t="str">
        <f t="shared" si="2"/>
        <v>Q1 2022</v>
      </c>
      <c r="L102" t="str">
        <f t="shared" si="3"/>
        <v>Q1 2022</v>
      </c>
    </row>
    <row r="103" spans="1:12" ht="15.75" customHeight="1" x14ac:dyDescent="0.3">
      <c r="A103" s="2" t="s">
        <v>206</v>
      </c>
      <c r="B103" s="2" t="s">
        <v>11</v>
      </c>
      <c r="C103" s="2" t="s">
        <v>12</v>
      </c>
      <c r="D103" s="2" t="s">
        <v>13</v>
      </c>
      <c r="E103" s="2" t="s">
        <v>14</v>
      </c>
      <c r="F103" s="2" t="s">
        <v>207</v>
      </c>
      <c r="G103" s="4">
        <v>172921</v>
      </c>
      <c r="H103" s="5" t="s">
        <v>42</v>
      </c>
      <c r="I103" s="4">
        <v>0</v>
      </c>
      <c r="J103" s="6">
        <v>44603</v>
      </c>
      <c r="K103" t="str">
        <f t="shared" si="2"/>
        <v>Q1 2022</v>
      </c>
      <c r="L103" t="str">
        <f t="shared" si="3"/>
        <v>Q1 2022</v>
      </c>
    </row>
    <row r="104" spans="1:12" ht="15.75" customHeight="1" x14ac:dyDescent="0.3">
      <c r="A104" s="2" t="s">
        <v>208</v>
      </c>
      <c r="B104" s="2" t="s">
        <v>20</v>
      </c>
      <c r="C104" s="2" t="s">
        <v>57</v>
      </c>
      <c r="D104" s="2" t="s">
        <v>13</v>
      </c>
      <c r="E104" s="2" t="s">
        <v>14</v>
      </c>
      <c r="F104" s="2" t="s">
        <v>15</v>
      </c>
      <c r="G104" s="4">
        <v>56858</v>
      </c>
      <c r="H104" s="5" t="s">
        <v>209</v>
      </c>
      <c r="I104" s="4">
        <v>28429</v>
      </c>
      <c r="J104" s="5" t="s">
        <v>210</v>
      </c>
      <c r="K104" t="str">
        <f t="shared" si="2"/>
        <v>Q4 2022</v>
      </c>
      <c r="L104" t="str">
        <f t="shared" si="3"/>
        <v>Q4 2022</v>
      </c>
    </row>
    <row r="105" spans="1:12" ht="15.75" customHeight="1" x14ac:dyDescent="0.3">
      <c r="A105" s="2" t="s">
        <v>211</v>
      </c>
      <c r="B105" s="2" t="s">
        <v>11</v>
      </c>
      <c r="C105" s="2" t="s">
        <v>12</v>
      </c>
      <c r="D105" s="2" t="s">
        <v>13</v>
      </c>
      <c r="E105" s="2" t="s">
        <v>14</v>
      </c>
      <c r="F105" s="2" t="s">
        <v>15</v>
      </c>
      <c r="G105" s="4">
        <v>76983</v>
      </c>
      <c r="H105" s="5" t="s">
        <v>212</v>
      </c>
      <c r="I105" s="4">
        <v>0</v>
      </c>
      <c r="J105" s="6">
        <v>44597</v>
      </c>
      <c r="K105" t="str">
        <f t="shared" si="2"/>
        <v>Q1 2022</v>
      </c>
      <c r="L105" t="str">
        <f t="shared" si="3"/>
        <v>Q1 2022</v>
      </c>
    </row>
    <row r="106" spans="1:12" ht="15.75" customHeight="1" x14ac:dyDescent="0.3">
      <c r="A106" s="2" t="s">
        <v>213</v>
      </c>
      <c r="B106" s="2" t="s">
        <v>11</v>
      </c>
      <c r="C106" s="2" t="s">
        <v>12</v>
      </c>
      <c r="D106" s="2" t="s">
        <v>13</v>
      </c>
      <c r="E106" s="2" t="s">
        <v>14</v>
      </c>
      <c r="F106" s="2" t="s">
        <v>46</v>
      </c>
      <c r="G106" s="4">
        <v>43881</v>
      </c>
      <c r="H106" s="5" t="s">
        <v>39</v>
      </c>
      <c r="I106" s="4">
        <v>0</v>
      </c>
      <c r="J106" s="6">
        <v>44603</v>
      </c>
      <c r="K106" t="str">
        <f t="shared" si="2"/>
        <v>Q1 2022</v>
      </c>
      <c r="L106" t="str">
        <f t="shared" si="3"/>
        <v>Q1 2022</v>
      </c>
    </row>
    <row r="107" spans="1:12" ht="15.75" customHeight="1" x14ac:dyDescent="0.3">
      <c r="A107" s="2" t="s">
        <v>214</v>
      </c>
      <c r="B107" s="2" t="s">
        <v>11</v>
      </c>
      <c r="C107" s="2" t="s">
        <v>12</v>
      </c>
      <c r="D107" s="2" t="s">
        <v>13</v>
      </c>
      <c r="E107" s="2" t="s">
        <v>22</v>
      </c>
      <c r="F107" s="2" t="s">
        <v>46</v>
      </c>
      <c r="G107" s="4">
        <v>88013</v>
      </c>
      <c r="H107" s="5" t="s">
        <v>137</v>
      </c>
      <c r="I107" s="4">
        <v>0</v>
      </c>
      <c r="J107" s="6">
        <v>44598</v>
      </c>
      <c r="K107" t="str">
        <f t="shared" si="2"/>
        <v>Q1 2022</v>
      </c>
      <c r="L107" t="str">
        <f t="shared" si="3"/>
        <v>Q1 2022</v>
      </c>
    </row>
    <row r="108" spans="1:12" ht="15.75" customHeight="1" x14ac:dyDescent="0.3">
      <c r="A108" s="2" t="s">
        <v>215</v>
      </c>
      <c r="B108" s="2" t="s">
        <v>11</v>
      </c>
      <c r="C108" s="2" t="s">
        <v>12</v>
      </c>
      <c r="D108" s="2" t="s">
        <v>13</v>
      </c>
      <c r="E108" s="2" t="s">
        <v>14</v>
      </c>
      <c r="F108" s="2" t="s">
        <v>46</v>
      </c>
      <c r="G108" s="4">
        <v>92126</v>
      </c>
      <c r="H108" s="5" t="s">
        <v>179</v>
      </c>
      <c r="I108" s="4">
        <v>0</v>
      </c>
      <c r="J108" s="6">
        <v>44594</v>
      </c>
      <c r="K108" t="str">
        <f t="shared" si="2"/>
        <v>Q1 2022</v>
      </c>
      <c r="L108" t="str">
        <f t="shared" si="3"/>
        <v>Q1 2022</v>
      </c>
    </row>
    <row r="109" spans="1:12" ht="15.75" customHeight="1" x14ac:dyDescent="0.3">
      <c r="A109" s="2" t="s">
        <v>216</v>
      </c>
      <c r="B109" s="2" t="s">
        <v>11</v>
      </c>
      <c r="C109" s="2" t="s">
        <v>12</v>
      </c>
      <c r="D109" s="2" t="s">
        <v>13</v>
      </c>
      <c r="E109" s="2" t="s">
        <v>14</v>
      </c>
      <c r="F109" s="2" t="s">
        <v>217</v>
      </c>
      <c r="G109" s="4">
        <v>106692</v>
      </c>
      <c r="H109" s="5" t="s">
        <v>25</v>
      </c>
      <c r="I109" s="4">
        <v>0</v>
      </c>
      <c r="J109" s="6">
        <v>44603</v>
      </c>
      <c r="K109" t="str">
        <f t="shared" si="2"/>
        <v>Q1 2022</v>
      </c>
      <c r="L109" t="str">
        <f t="shared" si="3"/>
        <v>Q1 2022</v>
      </c>
    </row>
    <row r="110" spans="1:12" ht="15.75" customHeight="1" x14ac:dyDescent="0.3">
      <c r="A110" s="2" t="s">
        <v>218</v>
      </c>
      <c r="B110" s="2" t="s">
        <v>11</v>
      </c>
      <c r="C110" s="2" t="s">
        <v>12</v>
      </c>
      <c r="D110" s="2" t="s">
        <v>13</v>
      </c>
      <c r="E110" s="2" t="s">
        <v>14</v>
      </c>
      <c r="F110" s="2" t="s">
        <v>27</v>
      </c>
      <c r="G110" s="4">
        <v>133858</v>
      </c>
      <c r="H110" s="6">
        <v>44625</v>
      </c>
      <c r="I110" s="4">
        <v>0</v>
      </c>
      <c r="J110" s="6">
        <v>44598</v>
      </c>
      <c r="K110" t="str">
        <f t="shared" si="2"/>
        <v>Q1 2022</v>
      </c>
      <c r="L110" t="str">
        <f t="shared" si="3"/>
        <v>Q1 2022</v>
      </c>
    </row>
    <row r="111" spans="1:12" ht="15.75" customHeight="1" x14ac:dyDescent="0.3">
      <c r="A111" s="2" t="s">
        <v>219</v>
      </c>
      <c r="B111" s="2" t="s">
        <v>11</v>
      </c>
      <c r="C111" s="2" t="s">
        <v>12</v>
      </c>
      <c r="D111" s="2" t="s">
        <v>13</v>
      </c>
      <c r="E111" s="2" t="s">
        <v>14</v>
      </c>
      <c r="F111" s="2" t="s">
        <v>220</v>
      </c>
      <c r="G111" s="4">
        <v>368455</v>
      </c>
      <c r="H111" s="6">
        <v>44899</v>
      </c>
      <c r="I111" s="4">
        <v>0</v>
      </c>
      <c r="J111" s="6">
        <v>44597</v>
      </c>
      <c r="K111" t="str">
        <f t="shared" si="2"/>
        <v>Q1 2022</v>
      </c>
      <c r="L111" t="str">
        <f t="shared" si="3"/>
        <v>Q1 2022</v>
      </c>
    </row>
    <row r="112" spans="1:12" ht="15.75" customHeight="1" x14ac:dyDescent="0.3">
      <c r="A112" s="2" t="s">
        <v>221</v>
      </c>
      <c r="B112" s="2" t="s">
        <v>11</v>
      </c>
      <c r="C112" s="2" t="s">
        <v>12</v>
      </c>
      <c r="D112" s="2" t="s">
        <v>13</v>
      </c>
      <c r="E112" s="2" t="s">
        <v>14</v>
      </c>
      <c r="F112" s="2" t="s">
        <v>222</v>
      </c>
      <c r="G112" s="4">
        <v>107211</v>
      </c>
      <c r="H112" s="5" t="s">
        <v>50</v>
      </c>
      <c r="I112" s="4">
        <v>0</v>
      </c>
      <c r="J112" s="6">
        <v>44960</v>
      </c>
      <c r="K112" t="str">
        <f t="shared" si="2"/>
        <v>Q1 2023</v>
      </c>
      <c r="L112" t="str">
        <f t="shared" si="3"/>
        <v>Q1 2023</v>
      </c>
    </row>
    <row r="113" spans="1:12" ht="15.75" customHeight="1" x14ac:dyDescent="0.3">
      <c r="A113" s="2" t="s">
        <v>223</v>
      </c>
      <c r="B113" s="2" t="s">
        <v>11</v>
      </c>
      <c r="C113" s="2" t="s">
        <v>12</v>
      </c>
      <c r="D113" s="2" t="s">
        <v>13</v>
      </c>
      <c r="E113" s="2" t="s">
        <v>14</v>
      </c>
      <c r="F113" s="2" t="s">
        <v>224</v>
      </c>
      <c r="G113" s="4">
        <v>115087</v>
      </c>
      <c r="H113" s="5" t="s">
        <v>39</v>
      </c>
      <c r="I113" s="4">
        <v>0</v>
      </c>
      <c r="J113" s="6">
        <v>44604</v>
      </c>
      <c r="K113" t="str">
        <f t="shared" si="2"/>
        <v>Q1 2022</v>
      </c>
      <c r="L113" t="str">
        <f t="shared" si="3"/>
        <v>Q1 2022</v>
      </c>
    </row>
    <row r="114" spans="1:12" ht="15.75" customHeight="1" x14ac:dyDescent="0.3">
      <c r="A114" s="2" t="s">
        <v>225</v>
      </c>
      <c r="B114" s="2" t="s">
        <v>11</v>
      </c>
      <c r="C114" s="2" t="s">
        <v>12</v>
      </c>
      <c r="D114" s="2" t="s">
        <v>13</v>
      </c>
      <c r="E114" s="2" t="s">
        <v>14</v>
      </c>
      <c r="F114" s="2" t="s">
        <v>15</v>
      </c>
      <c r="G114" s="4">
        <v>104166</v>
      </c>
      <c r="H114" s="6">
        <v>44629</v>
      </c>
      <c r="I114" s="4">
        <v>0</v>
      </c>
      <c r="J114" s="6">
        <v>44603</v>
      </c>
      <c r="K114" t="str">
        <f t="shared" si="2"/>
        <v>Q1 2022</v>
      </c>
      <c r="L114" t="str">
        <f t="shared" si="3"/>
        <v>Q1 2022</v>
      </c>
    </row>
    <row r="115" spans="1:12" ht="15.75" customHeight="1" x14ac:dyDescent="0.3">
      <c r="A115" s="2" t="s">
        <v>226</v>
      </c>
      <c r="B115" s="2" t="s">
        <v>11</v>
      </c>
      <c r="C115" s="2" t="s">
        <v>12</v>
      </c>
      <c r="D115" s="2" t="s">
        <v>13</v>
      </c>
      <c r="E115" s="2" t="s">
        <v>14</v>
      </c>
      <c r="F115" s="2" t="s">
        <v>227</v>
      </c>
      <c r="G115" s="4">
        <v>143497</v>
      </c>
      <c r="H115" s="6">
        <v>44899</v>
      </c>
      <c r="I115" s="4">
        <v>0</v>
      </c>
      <c r="J115" s="6">
        <v>44597</v>
      </c>
      <c r="K115" t="str">
        <f t="shared" si="2"/>
        <v>Q1 2022</v>
      </c>
      <c r="L115" t="str">
        <f t="shared" si="3"/>
        <v>Q1 2022</v>
      </c>
    </row>
    <row r="116" spans="1:12" ht="15.75" customHeight="1" x14ac:dyDescent="0.3">
      <c r="A116" s="2" t="s">
        <v>228</v>
      </c>
      <c r="B116" s="2" t="s">
        <v>11</v>
      </c>
      <c r="C116" s="2" t="s">
        <v>12</v>
      </c>
      <c r="D116" s="2" t="s">
        <v>13</v>
      </c>
      <c r="E116" s="2" t="s">
        <v>14</v>
      </c>
      <c r="F116" s="2" t="s">
        <v>15</v>
      </c>
      <c r="G116" s="4">
        <v>127427</v>
      </c>
      <c r="H116" s="6">
        <v>44596</v>
      </c>
      <c r="I116" s="4">
        <v>0</v>
      </c>
      <c r="J116" s="6">
        <v>44597</v>
      </c>
      <c r="K116" t="str">
        <f t="shared" si="2"/>
        <v>Q1 2022</v>
      </c>
      <c r="L116" t="str">
        <f t="shared" si="3"/>
        <v>Q1 2022</v>
      </c>
    </row>
    <row r="117" spans="1:12" ht="15.75" customHeight="1" x14ac:dyDescent="0.3">
      <c r="A117" s="2" t="s">
        <v>229</v>
      </c>
      <c r="B117" s="2" t="s">
        <v>11</v>
      </c>
      <c r="C117" s="2" t="s">
        <v>12</v>
      </c>
      <c r="D117" s="2" t="s">
        <v>13</v>
      </c>
      <c r="E117" s="2" t="s">
        <v>22</v>
      </c>
      <c r="F117" s="2" t="s">
        <v>230</v>
      </c>
      <c r="G117" s="4">
        <v>355370</v>
      </c>
      <c r="H117" s="5" t="s">
        <v>25</v>
      </c>
      <c r="I117" s="4">
        <v>0</v>
      </c>
      <c r="J117" s="6">
        <v>44604</v>
      </c>
      <c r="K117" t="str">
        <f t="shared" si="2"/>
        <v>Q1 2022</v>
      </c>
      <c r="L117" t="str">
        <f t="shared" si="3"/>
        <v>Q1 2022</v>
      </c>
    </row>
    <row r="118" spans="1:12" ht="15.75" customHeight="1" x14ac:dyDescent="0.3">
      <c r="A118" s="2" t="s">
        <v>231</v>
      </c>
      <c r="B118" s="2" t="s">
        <v>11</v>
      </c>
      <c r="C118" s="2" t="s">
        <v>12</v>
      </c>
      <c r="D118" s="2" t="s">
        <v>13</v>
      </c>
      <c r="E118" s="2" t="s">
        <v>14</v>
      </c>
      <c r="F118" s="2" t="s">
        <v>27</v>
      </c>
      <c r="G118" s="4">
        <v>191190</v>
      </c>
      <c r="H118" s="5" t="s">
        <v>232</v>
      </c>
      <c r="I118" s="4">
        <v>0</v>
      </c>
      <c r="J118" s="6">
        <v>44594</v>
      </c>
      <c r="K118" t="str">
        <f t="shared" si="2"/>
        <v>Q1 2022</v>
      </c>
      <c r="L118" t="str">
        <f t="shared" si="3"/>
        <v>Q1 2022</v>
      </c>
    </row>
    <row r="119" spans="1:12" ht="15.75" customHeight="1" x14ac:dyDescent="0.3">
      <c r="A119" s="2" t="s">
        <v>233</v>
      </c>
      <c r="B119" s="2" t="s">
        <v>11</v>
      </c>
      <c r="C119" s="2" t="s">
        <v>12</v>
      </c>
      <c r="D119" s="2" t="s">
        <v>13</v>
      </c>
      <c r="E119" s="2" t="s">
        <v>14</v>
      </c>
      <c r="F119" s="2" t="s">
        <v>85</v>
      </c>
      <c r="G119" s="4">
        <v>209817</v>
      </c>
      <c r="H119" s="5" t="s">
        <v>42</v>
      </c>
      <c r="I119" s="4">
        <v>0</v>
      </c>
      <c r="J119" s="6">
        <v>44603</v>
      </c>
      <c r="K119" t="str">
        <f t="shared" si="2"/>
        <v>Q1 2022</v>
      </c>
      <c r="L119" t="str">
        <f t="shared" si="3"/>
        <v>Q1 2022</v>
      </c>
    </row>
    <row r="120" spans="1:12" ht="15.75" customHeight="1" x14ac:dyDescent="0.3">
      <c r="A120" s="2" t="s">
        <v>234</v>
      </c>
      <c r="B120" s="2" t="s">
        <v>11</v>
      </c>
      <c r="C120" s="2" t="s">
        <v>12</v>
      </c>
      <c r="D120" s="2" t="s">
        <v>13</v>
      </c>
      <c r="E120" s="2" t="s">
        <v>14</v>
      </c>
      <c r="F120" s="2" t="s">
        <v>235</v>
      </c>
      <c r="G120" s="4">
        <v>49625</v>
      </c>
      <c r="H120" s="5" t="s">
        <v>236</v>
      </c>
      <c r="I120" s="4">
        <v>0</v>
      </c>
      <c r="J120" s="6">
        <v>44563</v>
      </c>
      <c r="K120" t="str">
        <f t="shared" si="2"/>
        <v>Q1 2022</v>
      </c>
      <c r="L120" t="str">
        <f t="shared" si="3"/>
        <v>Q1 2022</v>
      </c>
    </row>
    <row r="121" spans="1:12" ht="15.75" customHeight="1" x14ac:dyDescent="0.3">
      <c r="A121" s="2" t="s">
        <v>237</v>
      </c>
      <c r="B121" s="2" t="s">
        <v>11</v>
      </c>
      <c r="C121" s="2" t="s">
        <v>12</v>
      </c>
      <c r="D121" s="2" t="s">
        <v>13</v>
      </c>
      <c r="E121" s="2" t="s">
        <v>14</v>
      </c>
      <c r="F121" s="2" t="s">
        <v>38</v>
      </c>
      <c r="G121" s="4">
        <v>101488</v>
      </c>
      <c r="H121" s="6">
        <v>44867</v>
      </c>
      <c r="I121" s="4">
        <v>0</v>
      </c>
      <c r="J121" s="6">
        <v>44596</v>
      </c>
      <c r="K121" t="str">
        <f t="shared" si="2"/>
        <v>Q1 2022</v>
      </c>
      <c r="L121" t="str">
        <f t="shared" si="3"/>
        <v>Q1 2022</v>
      </c>
    </row>
    <row r="122" spans="1:12" ht="15.75" customHeight="1" x14ac:dyDescent="0.3">
      <c r="A122" s="2" t="s">
        <v>238</v>
      </c>
      <c r="B122" s="2" t="s">
        <v>11</v>
      </c>
      <c r="C122" s="2" t="s">
        <v>12</v>
      </c>
      <c r="D122" s="2" t="s">
        <v>13</v>
      </c>
      <c r="E122" s="2" t="s">
        <v>14</v>
      </c>
      <c r="F122" s="2" t="s">
        <v>239</v>
      </c>
      <c r="G122" s="4">
        <v>101400</v>
      </c>
      <c r="H122" s="5" t="s">
        <v>30</v>
      </c>
      <c r="I122" s="4">
        <v>0</v>
      </c>
      <c r="J122" s="6">
        <v>44603</v>
      </c>
      <c r="K122" t="str">
        <f t="shared" si="2"/>
        <v>Q1 2022</v>
      </c>
      <c r="L122" t="str">
        <f t="shared" si="3"/>
        <v>Q1 2022</v>
      </c>
    </row>
    <row r="123" spans="1:12" ht="15.75" customHeight="1" x14ac:dyDescent="0.3">
      <c r="A123" s="2" t="s">
        <v>240</v>
      </c>
      <c r="B123" s="2" t="s">
        <v>11</v>
      </c>
      <c r="C123" s="2" t="s">
        <v>12</v>
      </c>
      <c r="D123" s="2" t="s">
        <v>13</v>
      </c>
      <c r="E123" s="2" t="s">
        <v>14</v>
      </c>
      <c r="F123" s="2" t="s">
        <v>27</v>
      </c>
      <c r="G123" s="4">
        <v>67715</v>
      </c>
      <c r="H123" s="6">
        <v>44629</v>
      </c>
      <c r="I123" s="4">
        <v>0</v>
      </c>
      <c r="J123" s="6">
        <v>44603</v>
      </c>
      <c r="K123" t="str">
        <f t="shared" si="2"/>
        <v>Q1 2022</v>
      </c>
      <c r="L123" t="str">
        <f t="shared" si="3"/>
        <v>Q1 2022</v>
      </c>
    </row>
    <row r="124" spans="1:12" ht="15.75" customHeight="1" x14ac:dyDescent="0.3">
      <c r="A124" s="2" t="s">
        <v>241</v>
      </c>
      <c r="B124" s="2" t="s">
        <v>11</v>
      </c>
      <c r="C124" s="2" t="s">
        <v>12</v>
      </c>
      <c r="D124" s="2" t="s">
        <v>13</v>
      </c>
      <c r="E124" s="2" t="s">
        <v>14</v>
      </c>
      <c r="F124" s="2" t="s">
        <v>242</v>
      </c>
      <c r="G124" s="4">
        <v>80523</v>
      </c>
      <c r="H124" s="6">
        <v>44629</v>
      </c>
      <c r="I124" s="4">
        <v>0</v>
      </c>
      <c r="J124" s="6">
        <v>44603</v>
      </c>
      <c r="K124" t="str">
        <f t="shared" si="2"/>
        <v>Q1 2022</v>
      </c>
      <c r="L124" t="str">
        <f t="shared" si="3"/>
        <v>Q1 2022</v>
      </c>
    </row>
    <row r="125" spans="1:12" ht="15.75" customHeight="1" x14ac:dyDescent="0.3">
      <c r="A125" s="2" t="s">
        <v>243</v>
      </c>
      <c r="B125" s="2" t="s">
        <v>11</v>
      </c>
      <c r="C125" s="2" t="s">
        <v>12</v>
      </c>
      <c r="D125" s="2" t="s">
        <v>13</v>
      </c>
      <c r="E125" s="2" t="s">
        <v>14</v>
      </c>
      <c r="F125" s="2" t="s">
        <v>15</v>
      </c>
      <c r="G125" s="4">
        <v>67742</v>
      </c>
      <c r="H125" s="5" t="s">
        <v>142</v>
      </c>
      <c r="I125" s="4">
        <v>0</v>
      </c>
      <c r="J125" s="6">
        <v>44597</v>
      </c>
      <c r="K125" t="str">
        <f t="shared" si="2"/>
        <v>Q1 2022</v>
      </c>
      <c r="L125" t="str">
        <f t="shared" si="3"/>
        <v>Q1 2022</v>
      </c>
    </row>
    <row r="126" spans="1:12" ht="15.75" customHeight="1" x14ac:dyDescent="0.3">
      <c r="A126" s="2" t="s">
        <v>244</v>
      </c>
      <c r="B126" s="2" t="s">
        <v>11</v>
      </c>
      <c r="C126" s="2" t="s">
        <v>12</v>
      </c>
      <c r="D126" s="2" t="s">
        <v>13</v>
      </c>
      <c r="E126" s="2" t="s">
        <v>14</v>
      </c>
      <c r="F126" s="2" t="s">
        <v>245</v>
      </c>
      <c r="G126" s="4">
        <v>96217</v>
      </c>
      <c r="H126" s="5" t="s">
        <v>136</v>
      </c>
      <c r="I126" s="4">
        <v>0</v>
      </c>
      <c r="J126" s="6">
        <v>44598</v>
      </c>
      <c r="K126" t="str">
        <f t="shared" si="2"/>
        <v>Q1 2022</v>
      </c>
      <c r="L126" t="str">
        <f t="shared" si="3"/>
        <v>Q1 2022</v>
      </c>
    </row>
    <row r="127" spans="1:12" ht="15.75" customHeight="1" x14ac:dyDescent="0.3">
      <c r="A127" s="2" t="s">
        <v>246</v>
      </c>
      <c r="B127" s="2" t="s">
        <v>11</v>
      </c>
      <c r="C127" s="2" t="s">
        <v>12</v>
      </c>
      <c r="D127" s="2" t="s">
        <v>13</v>
      </c>
      <c r="E127" s="2" t="s">
        <v>14</v>
      </c>
      <c r="F127" s="2" t="s">
        <v>15</v>
      </c>
      <c r="G127" s="4">
        <v>90293</v>
      </c>
      <c r="H127" s="5" t="s">
        <v>39</v>
      </c>
      <c r="I127" s="4">
        <v>0</v>
      </c>
      <c r="J127" s="6">
        <v>44603</v>
      </c>
      <c r="K127" t="str">
        <f t="shared" si="2"/>
        <v>Q1 2022</v>
      </c>
      <c r="L127" t="str">
        <f t="shared" si="3"/>
        <v>Q1 2022</v>
      </c>
    </row>
    <row r="128" spans="1:12" ht="15.75" customHeight="1" x14ac:dyDescent="0.3">
      <c r="A128" s="2" t="s">
        <v>247</v>
      </c>
      <c r="B128" s="2" t="s">
        <v>11</v>
      </c>
      <c r="C128" s="2" t="s">
        <v>12</v>
      </c>
      <c r="D128" s="2" t="s">
        <v>13</v>
      </c>
      <c r="E128" s="2" t="s">
        <v>14</v>
      </c>
      <c r="F128" s="2" t="s">
        <v>46</v>
      </c>
      <c r="G128" s="4">
        <v>270429</v>
      </c>
      <c r="H128" s="6">
        <v>44630</v>
      </c>
      <c r="I128" s="4">
        <v>0</v>
      </c>
      <c r="J128" s="6">
        <v>44603</v>
      </c>
      <c r="K128" t="str">
        <f t="shared" si="2"/>
        <v>Q1 2022</v>
      </c>
      <c r="L128" t="str">
        <f t="shared" si="3"/>
        <v>Q1 2022</v>
      </c>
    </row>
    <row r="129" spans="1:12" ht="15.75" customHeight="1" x14ac:dyDescent="0.3">
      <c r="A129" s="2" t="s">
        <v>248</v>
      </c>
      <c r="B129" s="2" t="s">
        <v>11</v>
      </c>
      <c r="C129" s="2" t="s">
        <v>12</v>
      </c>
      <c r="D129" s="2" t="s">
        <v>13</v>
      </c>
      <c r="E129" s="2" t="s">
        <v>22</v>
      </c>
      <c r="F129" s="2" t="s">
        <v>249</v>
      </c>
      <c r="G129" s="4">
        <v>63020</v>
      </c>
      <c r="H129" s="6">
        <v>44603</v>
      </c>
      <c r="I129" s="4">
        <v>0</v>
      </c>
      <c r="J129" s="6">
        <v>44604</v>
      </c>
      <c r="K129" t="str">
        <f t="shared" si="2"/>
        <v>Q1 2022</v>
      </c>
      <c r="L129" t="str">
        <f t="shared" si="3"/>
        <v>Q1 2022</v>
      </c>
    </row>
    <row r="130" spans="1:12" ht="15.75" customHeight="1" x14ac:dyDescent="0.3">
      <c r="A130" s="2" t="s">
        <v>250</v>
      </c>
      <c r="B130" s="2" t="s">
        <v>11</v>
      </c>
      <c r="C130" s="2" t="s">
        <v>12</v>
      </c>
      <c r="D130" s="2" t="s">
        <v>13</v>
      </c>
      <c r="E130" s="2" t="s">
        <v>14</v>
      </c>
      <c r="F130" s="2" t="s">
        <v>15</v>
      </c>
      <c r="G130" s="4">
        <v>71125</v>
      </c>
      <c r="H130" s="5" t="s">
        <v>25</v>
      </c>
      <c r="I130" s="4">
        <v>0</v>
      </c>
      <c r="J130" s="6">
        <v>44603</v>
      </c>
      <c r="K130" t="str">
        <f t="shared" ref="K130:K193" si="4">"Q" &amp; ROUNDUP(MONTH(J:J)/3,0) &amp; " " &amp; YEAR(J:J)</f>
        <v>Q1 2022</v>
      </c>
      <c r="L130" t="str">
        <f t="shared" ref="L130:L193" si="5">"Q" &amp; ROUNDUP(MONTH(J:J)/3,0) &amp; " " &amp; YEAR(J:J)</f>
        <v>Q1 2022</v>
      </c>
    </row>
    <row r="131" spans="1:12" ht="15.75" customHeight="1" x14ac:dyDescent="0.3">
      <c r="A131" s="2" t="s">
        <v>251</v>
      </c>
      <c r="B131" s="2" t="s">
        <v>11</v>
      </c>
      <c r="C131" s="2" t="s">
        <v>12</v>
      </c>
      <c r="D131" s="2" t="s">
        <v>13</v>
      </c>
      <c r="E131" s="2" t="s">
        <v>14</v>
      </c>
      <c r="F131" s="2" t="s">
        <v>252</v>
      </c>
      <c r="G131" s="4">
        <v>48820</v>
      </c>
      <c r="H131" s="5" t="s">
        <v>42</v>
      </c>
      <c r="I131" s="4">
        <v>0</v>
      </c>
      <c r="J131" s="6">
        <v>44603</v>
      </c>
      <c r="K131" t="str">
        <f t="shared" si="4"/>
        <v>Q1 2022</v>
      </c>
      <c r="L131" t="str">
        <f t="shared" si="5"/>
        <v>Q1 2022</v>
      </c>
    </row>
    <row r="132" spans="1:12" ht="15.75" customHeight="1" x14ac:dyDescent="0.3">
      <c r="A132" s="2" t="s">
        <v>253</v>
      </c>
      <c r="B132" s="2" t="s">
        <v>11</v>
      </c>
      <c r="C132" s="2" t="s">
        <v>12</v>
      </c>
      <c r="D132" s="2" t="s">
        <v>13</v>
      </c>
      <c r="E132" s="2" t="s">
        <v>14</v>
      </c>
      <c r="F132" s="2" t="s">
        <v>254</v>
      </c>
      <c r="G132" s="4">
        <v>118761</v>
      </c>
      <c r="H132" s="5" t="s">
        <v>255</v>
      </c>
      <c r="I132" s="4">
        <v>0</v>
      </c>
      <c r="J132" s="6">
        <v>44959</v>
      </c>
      <c r="K132" t="str">
        <f t="shared" si="4"/>
        <v>Q1 2023</v>
      </c>
      <c r="L132" t="str">
        <f t="shared" si="5"/>
        <v>Q1 2023</v>
      </c>
    </row>
    <row r="133" spans="1:12" ht="15.75" customHeight="1" x14ac:dyDescent="0.3">
      <c r="A133" s="2" t="s">
        <v>256</v>
      </c>
      <c r="B133" s="2" t="s">
        <v>11</v>
      </c>
      <c r="C133" s="2" t="s">
        <v>12</v>
      </c>
      <c r="D133" s="2" t="s">
        <v>13</v>
      </c>
      <c r="E133" s="2" t="s">
        <v>14</v>
      </c>
      <c r="F133" s="2" t="s">
        <v>46</v>
      </c>
      <c r="G133" s="4">
        <v>74208</v>
      </c>
      <c r="H133" s="5" t="s">
        <v>71</v>
      </c>
      <c r="I133" s="4">
        <v>0</v>
      </c>
      <c r="J133" s="6">
        <v>44603</v>
      </c>
      <c r="K133" t="str">
        <f t="shared" si="4"/>
        <v>Q1 2022</v>
      </c>
      <c r="L133" t="str">
        <f t="shared" si="5"/>
        <v>Q1 2022</v>
      </c>
    </row>
    <row r="134" spans="1:12" ht="15.75" customHeight="1" x14ac:dyDescent="0.3">
      <c r="A134" s="2" t="s">
        <v>257</v>
      </c>
      <c r="B134" s="2" t="s">
        <v>11</v>
      </c>
      <c r="C134" s="2" t="s">
        <v>12</v>
      </c>
      <c r="D134" s="2" t="s">
        <v>13</v>
      </c>
      <c r="E134" s="2" t="s">
        <v>14</v>
      </c>
      <c r="F134" s="2" t="s">
        <v>258</v>
      </c>
      <c r="G134" s="4">
        <v>62337</v>
      </c>
      <c r="H134" s="5" t="s">
        <v>39</v>
      </c>
      <c r="I134" s="4">
        <v>0</v>
      </c>
      <c r="J134" s="6">
        <v>44603</v>
      </c>
      <c r="K134" t="str">
        <f t="shared" si="4"/>
        <v>Q1 2022</v>
      </c>
      <c r="L134" t="str">
        <f t="shared" si="5"/>
        <v>Q1 2022</v>
      </c>
    </row>
    <row r="135" spans="1:12" ht="15.75" customHeight="1" x14ac:dyDescent="0.3">
      <c r="A135" s="2" t="s">
        <v>259</v>
      </c>
      <c r="B135" s="2" t="s">
        <v>20</v>
      </c>
      <c r="C135" s="2" t="s">
        <v>57</v>
      </c>
      <c r="D135" s="2" t="s">
        <v>13</v>
      </c>
      <c r="E135" s="2" t="s">
        <v>14</v>
      </c>
      <c r="F135" s="2" t="s">
        <v>15</v>
      </c>
      <c r="G135" s="4">
        <v>106208</v>
      </c>
      <c r="H135" s="5" t="s">
        <v>260</v>
      </c>
      <c r="I135" s="4">
        <v>13276</v>
      </c>
      <c r="J135" s="5" t="s">
        <v>261</v>
      </c>
      <c r="K135" t="str">
        <f t="shared" si="4"/>
        <v>Q2 2022</v>
      </c>
      <c r="L135" t="str">
        <f t="shared" si="5"/>
        <v>Q2 2022</v>
      </c>
    </row>
    <row r="136" spans="1:12" ht="15.75" customHeight="1" x14ac:dyDescent="0.3">
      <c r="A136" s="2" t="s">
        <v>262</v>
      </c>
      <c r="B136" s="2" t="s">
        <v>11</v>
      </c>
      <c r="C136" s="2" t="s">
        <v>12</v>
      </c>
      <c r="D136" s="2" t="s">
        <v>13</v>
      </c>
      <c r="E136" s="2" t="s">
        <v>14</v>
      </c>
      <c r="F136" s="2" t="s">
        <v>263</v>
      </c>
      <c r="G136" s="4">
        <v>122068</v>
      </c>
      <c r="H136" s="5" t="s">
        <v>142</v>
      </c>
      <c r="I136" s="4">
        <v>0</v>
      </c>
      <c r="J136" s="6">
        <v>44596</v>
      </c>
      <c r="K136" t="str">
        <f t="shared" si="4"/>
        <v>Q1 2022</v>
      </c>
      <c r="L136" t="str">
        <f t="shared" si="5"/>
        <v>Q1 2022</v>
      </c>
    </row>
    <row r="137" spans="1:12" ht="15.75" customHeight="1" x14ac:dyDescent="0.3">
      <c r="A137" s="2" t="s">
        <v>264</v>
      </c>
      <c r="B137" s="2" t="s">
        <v>11</v>
      </c>
      <c r="C137" s="2" t="s">
        <v>12</v>
      </c>
      <c r="D137" s="2" t="s">
        <v>13</v>
      </c>
      <c r="E137" s="2" t="s">
        <v>14</v>
      </c>
      <c r="F137" s="2" t="s">
        <v>27</v>
      </c>
      <c r="G137" s="4">
        <v>112085</v>
      </c>
      <c r="H137" s="5" t="s">
        <v>265</v>
      </c>
      <c r="I137" s="4">
        <v>0</v>
      </c>
      <c r="J137" s="6">
        <v>44601</v>
      </c>
      <c r="K137" t="str">
        <f t="shared" si="4"/>
        <v>Q1 2022</v>
      </c>
      <c r="L137" t="str">
        <f t="shared" si="5"/>
        <v>Q1 2022</v>
      </c>
    </row>
    <row r="138" spans="1:12" ht="15.75" customHeight="1" x14ac:dyDescent="0.3">
      <c r="A138" s="2" t="s">
        <v>266</v>
      </c>
      <c r="B138" s="2" t="s">
        <v>11</v>
      </c>
      <c r="C138" s="2" t="s">
        <v>12</v>
      </c>
      <c r="D138" s="2" t="s">
        <v>13</v>
      </c>
      <c r="E138" s="2" t="s">
        <v>22</v>
      </c>
      <c r="F138" s="2" t="s">
        <v>267</v>
      </c>
      <c r="G138" s="4">
        <v>189857</v>
      </c>
      <c r="H138" s="5" t="s">
        <v>39</v>
      </c>
      <c r="I138" s="4">
        <v>0</v>
      </c>
      <c r="J138" s="6">
        <v>44603</v>
      </c>
      <c r="K138" t="str">
        <f t="shared" si="4"/>
        <v>Q1 2022</v>
      </c>
      <c r="L138" t="str">
        <f t="shared" si="5"/>
        <v>Q1 2022</v>
      </c>
    </row>
    <row r="139" spans="1:12" ht="15.75" customHeight="1" x14ac:dyDescent="0.3">
      <c r="A139" s="2" t="s">
        <v>268</v>
      </c>
      <c r="B139" s="2" t="s">
        <v>11</v>
      </c>
      <c r="C139" s="2" t="s">
        <v>12</v>
      </c>
      <c r="D139" s="2" t="s">
        <v>13</v>
      </c>
      <c r="E139" s="2" t="s">
        <v>14</v>
      </c>
      <c r="F139" s="2" t="s">
        <v>46</v>
      </c>
      <c r="G139" s="4">
        <v>120677</v>
      </c>
      <c r="H139" s="7">
        <v>44906</v>
      </c>
      <c r="I139" s="4">
        <v>0</v>
      </c>
      <c r="J139" s="6">
        <v>44604</v>
      </c>
      <c r="K139" t="str">
        <f t="shared" si="4"/>
        <v>Q1 2022</v>
      </c>
      <c r="L139" t="str">
        <f t="shared" si="5"/>
        <v>Q1 2022</v>
      </c>
    </row>
    <row r="140" spans="1:12" ht="15.75" customHeight="1" x14ac:dyDescent="0.3">
      <c r="A140" s="2" t="s">
        <v>269</v>
      </c>
      <c r="B140" s="2" t="s">
        <v>11</v>
      </c>
      <c r="C140" s="2" t="s">
        <v>12</v>
      </c>
      <c r="D140" s="2" t="s">
        <v>13</v>
      </c>
      <c r="E140" s="2" t="s">
        <v>14</v>
      </c>
      <c r="F140" s="2" t="s">
        <v>46</v>
      </c>
      <c r="G140" s="4">
        <v>235793</v>
      </c>
      <c r="H140" s="6">
        <v>44630</v>
      </c>
      <c r="I140" s="4">
        <v>0</v>
      </c>
      <c r="J140" s="6">
        <v>44603</v>
      </c>
      <c r="K140" t="str">
        <f t="shared" si="4"/>
        <v>Q1 2022</v>
      </c>
      <c r="L140" t="str">
        <f t="shared" si="5"/>
        <v>Q1 2022</v>
      </c>
    </row>
    <row r="141" spans="1:12" ht="15.75" customHeight="1" x14ac:dyDescent="0.3">
      <c r="A141" s="2" t="s">
        <v>270</v>
      </c>
      <c r="B141" s="2" t="s">
        <v>11</v>
      </c>
      <c r="C141" s="2" t="s">
        <v>12</v>
      </c>
      <c r="D141" s="2" t="s">
        <v>13</v>
      </c>
      <c r="E141" s="2" t="s">
        <v>14</v>
      </c>
      <c r="F141" s="2" t="s">
        <v>271</v>
      </c>
      <c r="G141" s="4">
        <v>87037</v>
      </c>
      <c r="H141" s="6">
        <v>44624</v>
      </c>
      <c r="I141" s="4">
        <v>0</v>
      </c>
      <c r="J141" s="6">
        <v>44598</v>
      </c>
      <c r="K141" t="str">
        <f t="shared" si="4"/>
        <v>Q1 2022</v>
      </c>
      <c r="L141" t="str">
        <f t="shared" si="5"/>
        <v>Q1 2022</v>
      </c>
    </row>
    <row r="142" spans="1:12" ht="15.75" customHeight="1" x14ac:dyDescent="0.3">
      <c r="A142" s="2" t="s">
        <v>272</v>
      </c>
      <c r="B142" s="2" t="s">
        <v>11</v>
      </c>
      <c r="C142" s="2" t="s">
        <v>12</v>
      </c>
      <c r="D142" s="2" t="s">
        <v>13</v>
      </c>
      <c r="E142" s="2" t="s">
        <v>14</v>
      </c>
      <c r="F142" s="2" t="s">
        <v>27</v>
      </c>
      <c r="G142" s="4">
        <v>138786</v>
      </c>
      <c r="H142" s="5" t="s">
        <v>197</v>
      </c>
      <c r="I142" s="4">
        <v>0</v>
      </c>
      <c r="J142" s="6">
        <v>44602</v>
      </c>
      <c r="K142" t="str">
        <f t="shared" si="4"/>
        <v>Q1 2022</v>
      </c>
      <c r="L142" t="str">
        <f t="shared" si="5"/>
        <v>Q1 2022</v>
      </c>
    </row>
    <row r="143" spans="1:12" ht="15.75" customHeight="1" x14ac:dyDescent="0.3">
      <c r="A143" s="2" t="s">
        <v>273</v>
      </c>
      <c r="B143" s="2" t="s">
        <v>11</v>
      </c>
      <c r="C143" s="2" t="s">
        <v>12</v>
      </c>
      <c r="D143" s="2" t="s">
        <v>13</v>
      </c>
      <c r="E143" s="2" t="s">
        <v>14</v>
      </c>
      <c r="F143" s="2" t="s">
        <v>27</v>
      </c>
      <c r="G143" s="4">
        <v>115160</v>
      </c>
      <c r="H143" s="6">
        <v>44866</v>
      </c>
      <c r="I143" s="4">
        <v>0</v>
      </c>
      <c r="J143" s="6">
        <v>44595</v>
      </c>
      <c r="K143" t="str">
        <f t="shared" si="4"/>
        <v>Q1 2022</v>
      </c>
      <c r="L143" t="str">
        <f t="shared" si="5"/>
        <v>Q1 2022</v>
      </c>
    </row>
    <row r="144" spans="1:12" ht="15.75" customHeight="1" x14ac:dyDescent="0.3">
      <c r="A144" s="2" t="s">
        <v>274</v>
      </c>
      <c r="B144" s="2" t="s">
        <v>11</v>
      </c>
      <c r="C144" s="2" t="s">
        <v>12</v>
      </c>
      <c r="D144" s="2" t="s">
        <v>13</v>
      </c>
      <c r="E144" s="2" t="s">
        <v>22</v>
      </c>
      <c r="F144" s="2" t="s">
        <v>275</v>
      </c>
      <c r="G144" s="4">
        <v>169608</v>
      </c>
      <c r="H144" s="5" t="s">
        <v>42</v>
      </c>
      <c r="I144" s="4">
        <v>0</v>
      </c>
      <c r="J144" s="6">
        <v>44603</v>
      </c>
      <c r="K144" t="str">
        <f t="shared" si="4"/>
        <v>Q1 2022</v>
      </c>
      <c r="L144" t="str">
        <f t="shared" si="5"/>
        <v>Q1 2022</v>
      </c>
    </row>
    <row r="145" spans="1:12" ht="15.75" customHeight="1" x14ac:dyDescent="0.3">
      <c r="A145" s="2" t="s">
        <v>276</v>
      </c>
      <c r="B145" s="2" t="s">
        <v>11</v>
      </c>
      <c r="C145" s="2" t="s">
        <v>12</v>
      </c>
      <c r="D145" s="2" t="s">
        <v>13</v>
      </c>
      <c r="E145" s="2" t="s">
        <v>14</v>
      </c>
      <c r="F145" s="2" t="s">
        <v>27</v>
      </c>
      <c r="G145" s="4">
        <v>189835</v>
      </c>
      <c r="H145" s="5" t="s">
        <v>277</v>
      </c>
      <c r="I145" s="4">
        <v>0</v>
      </c>
      <c r="J145" s="6">
        <v>44960</v>
      </c>
      <c r="K145" t="str">
        <f t="shared" si="4"/>
        <v>Q1 2023</v>
      </c>
      <c r="L145" t="str">
        <f t="shared" si="5"/>
        <v>Q1 2023</v>
      </c>
    </row>
    <row r="146" spans="1:12" ht="15.75" customHeight="1" x14ac:dyDescent="0.3">
      <c r="A146" s="2" t="s">
        <v>278</v>
      </c>
      <c r="B146" s="2" t="s">
        <v>11</v>
      </c>
      <c r="C146" s="2" t="s">
        <v>12</v>
      </c>
      <c r="D146" s="2" t="s">
        <v>13</v>
      </c>
      <c r="E146" s="2" t="s">
        <v>14</v>
      </c>
      <c r="F146" s="2" t="s">
        <v>279</v>
      </c>
      <c r="G146" s="4">
        <v>219470</v>
      </c>
      <c r="H146" s="6">
        <v>44624</v>
      </c>
      <c r="I146" s="4">
        <v>0</v>
      </c>
      <c r="J146" s="6">
        <v>44598</v>
      </c>
      <c r="K146" t="str">
        <f t="shared" si="4"/>
        <v>Q1 2022</v>
      </c>
      <c r="L146" t="str">
        <f t="shared" si="5"/>
        <v>Q1 2022</v>
      </c>
    </row>
    <row r="147" spans="1:12" ht="15.75" customHeight="1" x14ac:dyDescent="0.3">
      <c r="A147" s="2" t="s">
        <v>280</v>
      </c>
      <c r="B147" s="2" t="s">
        <v>11</v>
      </c>
      <c r="C147" s="2" t="s">
        <v>57</v>
      </c>
      <c r="D147" s="2" t="s">
        <v>13</v>
      </c>
      <c r="E147" s="2" t="s">
        <v>22</v>
      </c>
      <c r="F147" s="2" t="s">
        <v>281</v>
      </c>
      <c r="G147" s="4">
        <v>134196</v>
      </c>
      <c r="H147" s="5" t="s">
        <v>282</v>
      </c>
      <c r="I147" s="4">
        <v>0</v>
      </c>
      <c r="J147" s="6">
        <v>44599</v>
      </c>
      <c r="K147" t="str">
        <f t="shared" si="4"/>
        <v>Q1 2022</v>
      </c>
      <c r="L147" t="str">
        <f t="shared" si="5"/>
        <v>Q1 2022</v>
      </c>
    </row>
    <row r="148" spans="1:12" ht="15.75" customHeight="1" x14ac:dyDescent="0.3">
      <c r="A148" s="2" t="s">
        <v>283</v>
      </c>
      <c r="B148" s="2" t="s">
        <v>11</v>
      </c>
      <c r="C148" s="2" t="s">
        <v>57</v>
      </c>
      <c r="D148" s="2" t="s">
        <v>13</v>
      </c>
      <c r="E148" s="2" t="s">
        <v>14</v>
      </c>
      <c r="F148" s="2" t="s">
        <v>85</v>
      </c>
      <c r="G148" s="4">
        <v>132539</v>
      </c>
      <c r="H148" s="5" t="s">
        <v>42</v>
      </c>
      <c r="I148" s="4">
        <v>0</v>
      </c>
      <c r="J148" s="6">
        <v>44603</v>
      </c>
      <c r="K148" t="str">
        <f t="shared" si="4"/>
        <v>Q1 2022</v>
      </c>
      <c r="L148" t="str">
        <f t="shared" si="5"/>
        <v>Q1 2022</v>
      </c>
    </row>
    <row r="149" spans="1:12" ht="15.75" customHeight="1" x14ac:dyDescent="0.3">
      <c r="A149" s="2" t="s">
        <v>284</v>
      </c>
      <c r="B149" s="2" t="s">
        <v>11</v>
      </c>
      <c r="C149" s="2" t="s">
        <v>57</v>
      </c>
      <c r="D149" s="2" t="s">
        <v>13</v>
      </c>
      <c r="E149" s="2" t="s">
        <v>14</v>
      </c>
      <c r="F149" s="2" t="s">
        <v>285</v>
      </c>
      <c r="G149" s="4">
        <v>108925</v>
      </c>
      <c r="H149" s="5" t="s">
        <v>39</v>
      </c>
      <c r="I149" s="4">
        <v>0</v>
      </c>
      <c r="J149" s="6">
        <v>44603</v>
      </c>
      <c r="K149" t="str">
        <f t="shared" si="4"/>
        <v>Q1 2022</v>
      </c>
      <c r="L149" t="str">
        <f t="shared" si="5"/>
        <v>Q1 2022</v>
      </c>
    </row>
    <row r="150" spans="1:12" ht="15.75" customHeight="1" x14ac:dyDescent="0.3">
      <c r="A150" s="2" t="s">
        <v>286</v>
      </c>
      <c r="B150" s="2" t="s">
        <v>11</v>
      </c>
      <c r="C150" s="2" t="s">
        <v>12</v>
      </c>
      <c r="D150" s="2" t="s">
        <v>13</v>
      </c>
      <c r="E150" s="2" t="s">
        <v>14</v>
      </c>
      <c r="F150" s="2" t="s">
        <v>15</v>
      </c>
      <c r="G150" s="4">
        <v>142085</v>
      </c>
      <c r="H150" s="5" t="s">
        <v>25</v>
      </c>
      <c r="I150" s="4">
        <v>0</v>
      </c>
      <c r="J150" s="6">
        <v>44603</v>
      </c>
      <c r="K150" t="str">
        <f t="shared" si="4"/>
        <v>Q1 2022</v>
      </c>
      <c r="L150" t="str">
        <f t="shared" si="5"/>
        <v>Q1 2022</v>
      </c>
    </row>
    <row r="151" spans="1:12" ht="15.75" customHeight="1" x14ac:dyDescent="0.3">
      <c r="A151" s="2" t="s">
        <v>287</v>
      </c>
      <c r="B151" s="2" t="s">
        <v>11</v>
      </c>
      <c r="C151" s="2" t="s">
        <v>12</v>
      </c>
      <c r="D151" s="2" t="s">
        <v>13</v>
      </c>
      <c r="E151" s="2" t="s">
        <v>14</v>
      </c>
      <c r="F151" s="2" t="s">
        <v>59</v>
      </c>
      <c r="G151" s="4">
        <v>115580</v>
      </c>
      <c r="H151" s="5" t="s">
        <v>185</v>
      </c>
      <c r="I151" s="4">
        <v>0</v>
      </c>
      <c r="J151" s="6">
        <v>44958</v>
      </c>
      <c r="K151" t="str">
        <f t="shared" si="4"/>
        <v>Q1 2023</v>
      </c>
      <c r="L151" t="str">
        <f t="shared" si="5"/>
        <v>Q1 2023</v>
      </c>
    </row>
    <row r="152" spans="1:12" ht="15.75" customHeight="1" x14ac:dyDescent="0.3">
      <c r="A152" s="2" t="s">
        <v>288</v>
      </c>
      <c r="B152" s="2" t="s">
        <v>11</v>
      </c>
      <c r="C152" s="2" t="s">
        <v>12</v>
      </c>
      <c r="D152" s="2" t="s">
        <v>13</v>
      </c>
      <c r="E152" s="2" t="s">
        <v>289</v>
      </c>
      <c r="F152" s="2" t="s">
        <v>290</v>
      </c>
      <c r="G152" s="4">
        <v>32000</v>
      </c>
      <c r="H152" s="6">
        <v>44630</v>
      </c>
      <c r="I152" s="4">
        <v>0</v>
      </c>
      <c r="J152" s="6">
        <v>44603</v>
      </c>
      <c r="K152" t="str">
        <f t="shared" si="4"/>
        <v>Q1 2022</v>
      </c>
      <c r="L152" t="str">
        <f t="shared" si="5"/>
        <v>Q1 2022</v>
      </c>
    </row>
    <row r="153" spans="1:12" ht="15.75" customHeight="1" x14ac:dyDescent="0.3">
      <c r="A153" s="2" t="s">
        <v>291</v>
      </c>
      <c r="B153" s="2" t="s">
        <v>11</v>
      </c>
      <c r="C153" s="2" t="s">
        <v>12</v>
      </c>
      <c r="D153" s="2" t="s">
        <v>13</v>
      </c>
      <c r="E153" s="2" t="s">
        <v>292</v>
      </c>
      <c r="F153" s="2" t="s">
        <v>46</v>
      </c>
      <c r="G153" s="4">
        <v>74045</v>
      </c>
      <c r="H153" s="6">
        <v>44596</v>
      </c>
      <c r="I153" s="4">
        <v>0</v>
      </c>
      <c r="J153" s="6">
        <v>44597</v>
      </c>
      <c r="K153" t="str">
        <f t="shared" si="4"/>
        <v>Q1 2022</v>
      </c>
      <c r="L153" t="str">
        <f t="shared" si="5"/>
        <v>Q1 2022</v>
      </c>
    </row>
    <row r="154" spans="1:12" ht="15.75" customHeight="1" x14ac:dyDescent="0.3">
      <c r="A154" s="2" t="s">
        <v>293</v>
      </c>
      <c r="B154" s="2" t="s">
        <v>11</v>
      </c>
      <c r="C154" s="2" t="s">
        <v>12</v>
      </c>
      <c r="D154" s="2" t="s">
        <v>13</v>
      </c>
      <c r="E154" s="2" t="s">
        <v>14</v>
      </c>
      <c r="F154" s="2" t="s">
        <v>27</v>
      </c>
      <c r="G154" s="4">
        <v>104988</v>
      </c>
      <c r="H154" s="5" t="s">
        <v>30</v>
      </c>
      <c r="I154" s="4">
        <v>0</v>
      </c>
      <c r="J154" s="6">
        <v>44603</v>
      </c>
      <c r="K154" t="str">
        <f t="shared" si="4"/>
        <v>Q1 2022</v>
      </c>
      <c r="L154" t="str">
        <f t="shared" si="5"/>
        <v>Q1 2022</v>
      </c>
    </row>
    <row r="155" spans="1:12" ht="15.75" customHeight="1" x14ac:dyDescent="0.3">
      <c r="A155" s="2" t="s">
        <v>294</v>
      </c>
      <c r="B155" s="2" t="s">
        <v>11</v>
      </c>
      <c r="C155" s="2" t="s">
        <v>12</v>
      </c>
      <c r="D155" s="2" t="s">
        <v>13</v>
      </c>
      <c r="E155" s="2" t="s">
        <v>14</v>
      </c>
      <c r="F155" s="2" t="s">
        <v>85</v>
      </c>
      <c r="G155" s="4">
        <v>235733</v>
      </c>
      <c r="H155" s="5" t="s">
        <v>16</v>
      </c>
      <c r="I155" s="4">
        <v>0</v>
      </c>
      <c r="J155" s="6">
        <v>44597</v>
      </c>
      <c r="K155" t="str">
        <f t="shared" si="4"/>
        <v>Q1 2022</v>
      </c>
      <c r="L155" t="str">
        <f t="shared" si="5"/>
        <v>Q1 2022</v>
      </c>
    </row>
    <row r="156" spans="1:12" ht="15.75" customHeight="1" x14ac:dyDescent="0.3">
      <c r="A156" s="2" t="s">
        <v>295</v>
      </c>
      <c r="B156" s="2" t="s">
        <v>11</v>
      </c>
      <c r="C156" s="2" t="s">
        <v>12</v>
      </c>
      <c r="D156" s="2" t="s">
        <v>13</v>
      </c>
      <c r="E156" s="2" t="s">
        <v>22</v>
      </c>
      <c r="F156" s="2" t="s">
        <v>296</v>
      </c>
      <c r="G156" s="4">
        <v>204921</v>
      </c>
      <c r="H156" s="5" t="s">
        <v>130</v>
      </c>
      <c r="I156" s="4">
        <v>0</v>
      </c>
      <c r="J156" s="6">
        <v>44601</v>
      </c>
      <c r="K156" t="str">
        <f t="shared" si="4"/>
        <v>Q1 2022</v>
      </c>
      <c r="L156" t="str">
        <f t="shared" si="5"/>
        <v>Q1 2022</v>
      </c>
    </row>
    <row r="157" spans="1:12" ht="15.75" customHeight="1" x14ac:dyDescent="0.3">
      <c r="A157" s="80" t="s">
        <v>297</v>
      </c>
      <c r="B157" s="2" t="s">
        <v>11</v>
      </c>
      <c r="C157" s="2" t="s">
        <v>12</v>
      </c>
      <c r="D157" s="2" t="s">
        <v>13</v>
      </c>
      <c r="E157" s="2" t="s">
        <v>14</v>
      </c>
      <c r="F157" s="2" t="s">
        <v>46</v>
      </c>
      <c r="G157" s="4">
        <v>88858</v>
      </c>
      <c r="H157" s="5" t="s">
        <v>30</v>
      </c>
      <c r="I157" s="4">
        <v>0</v>
      </c>
      <c r="J157" s="6">
        <v>44603</v>
      </c>
      <c r="K157" t="str">
        <f t="shared" si="4"/>
        <v>Q1 2022</v>
      </c>
      <c r="L157" t="str">
        <f t="shared" si="5"/>
        <v>Q1 2022</v>
      </c>
    </row>
    <row r="158" spans="1:12" ht="15.75" customHeight="1" x14ac:dyDescent="0.3">
      <c r="A158" s="2" t="s">
        <v>298</v>
      </c>
      <c r="B158" s="2" t="s">
        <v>20</v>
      </c>
      <c r="C158" s="2" t="s">
        <v>21</v>
      </c>
      <c r="D158" s="2" t="s">
        <v>13</v>
      </c>
      <c r="E158" s="2" t="s">
        <v>14</v>
      </c>
      <c r="F158" s="2" t="s">
        <v>299</v>
      </c>
      <c r="G158" s="4">
        <v>108983</v>
      </c>
      <c r="H158" s="5" t="s">
        <v>300</v>
      </c>
      <c r="I158" s="4">
        <v>54491</v>
      </c>
      <c r="J158" s="5" t="s">
        <v>301</v>
      </c>
      <c r="K158" t="str">
        <f t="shared" si="4"/>
        <v>Q4 2022</v>
      </c>
      <c r="L158" t="str">
        <f t="shared" si="5"/>
        <v>Q4 2022</v>
      </c>
    </row>
    <row r="159" spans="1:12" ht="15.75" customHeight="1" x14ac:dyDescent="0.3">
      <c r="A159" s="2" t="s">
        <v>302</v>
      </c>
      <c r="B159" s="2" t="s">
        <v>11</v>
      </c>
      <c r="C159" s="2" t="s">
        <v>12</v>
      </c>
      <c r="D159" s="2" t="s">
        <v>13</v>
      </c>
      <c r="E159" s="2" t="s">
        <v>14</v>
      </c>
      <c r="F159" s="2" t="s">
        <v>46</v>
      </c>
      <c r="G159" s="4">
        <v>75881</v>
      </c>
      <c r="H159" s="6">
        <v>44904</v>
      </c>
      <c r="I159" s="4">
        <v>0</v>
      </c>
      <c r="J159" s="6">
        <v>44602</v>
      </c>
      <c r="K159" t="str">
        <f t="shared" si="4"/>
        <v>Q1 2022</v>
      </c>
      <c r="L159" t="str">
        <f t="shared" si="5"/>
        <v>Q1 2022</v>
      </c>
    </row>
    <row r="160" spans="1:12" ht="15.75" customHeight="1" x14ac:dyDescent="0.3">
      <c r="A160" s="2" t="s">
        <v>303</v>
      </c>
      <c r="B160" s="2" t="s">
        <v>11</v>
      </c>
      <c r="C160" s="2" t="s">
        <v>12</v>
      </c>
      <c r="D160" s="2" t="s">
        <v>13</v>
      </c>
      <c r="E160" s="2" t="s">
        <v>14</v>
      </c>
      <c r="F160" s="2" t="s">
        <v>27</v>
      </c>
      <c r="G160" s="4">
        <v>120013</v>
      </c>
      <c r="H160" s="5" t="s">
        <v>30</v>
      </c>
      <c r="I160" s="4">
        <v>0</v>
      </c>
      <c r="J160" s="6">
        <v>44603</v>
      </c>
      <c r="K160" t="str">
        <f t="shared" si="4"/>
        <v>Q1 2022</v>
      </c>
      <c r="L160" t="str">
        <f t="shared" si="5"/>
        <v>Q1 2022</v>
      </c>
    </row>
    <row r="161" spans="1:12" ht="15.75" customHeight="1" x14ac:dyDescent="0.3">
      <c r="A161" s="2" t="s">
        <v>304</v>
      </c>
      <c r="B161" s="2" t="s">
        <v>20</v>
      </c>
      <c r="C161" s="2" t="s">
        <v>57</v>
      </c>
      <c r="D161" s="2" t="s">
        <v>13</v>
      </c>
      <c r="E161" s="2" t="s">
        <v>14</v>
      </c>
      <c r="F161" s="2" t="s">
        <v>27</v>
      </c>
      <c r="G161" s="4">
        <v>124126</v>
      </c>
      <c r="H161" s="5" t="s">
        <v>305</v>
      </c>
      <c r="I161" s="4">
        <v>62063</v>
      </c>
      <c r="J161" s="6">
        <v>44685</v>
      </c>
      <c r="K161" t="str">
        <f t="shared" si="4"/>
        <v>Q2 2022</v>
      </c>
      <c r="L161" t="str">
        <f t="shared" si="5"/>
        <v>Q2 2022</v>
      </c>
    </row>
    <row r="162" spans="1:12" ht="15.75" customHeight="1" x14ac:dyDescent="0.3">
      <c r="A162" s="2" t="s">
        <v>306</v>
      </c>
      <c r="B162" s="2" t="s">
        <v>11</v>
      </c>
      <c r="C162" s="2" t="s">
        <v>12</v>
      </c>
      <c r="D162" s="2" t="s">
        <v>13</v>
      </c>
      <c r="E162" s="2" t="s">
        <v>14</v>
      </c>
      <c r="F162" s="2" t="s">
        <v>46</v>
      </c>
      <c r="G162" s="4">
        <v>138692</v>
      </c>
      <c r="H162" s="5" t="s">
        <v>179</v>
      </c>
      <c r="I162" s="4">
        <v>0</v>
      </c>
      <c r="J162" s="6">
        <v>44594</v>
      </c>
      <c r="K162" t="str">
        <f t="shared" si="4"/>
        <v>Q1 2022</v>
      </c>
      <c r="L162" t="str">
        <f t="shared" si="5"/>
        <v>Q1 2022</v>
      </c>
    </row>
    <row r="163" spans="1:12" ht="15.75" customHeight="1" x14ac:dyDescent="0.3">
      <c r="A163" s="2" t="s">
        <v>307</v>
      </c>
      <c r="B163" s="2" t="s">
        <v>11</v>
      </c>
      <c r="C163" s="2" t="s">
        <v>12</v>
      </c>
      <c r="D163" s="2" t="s">
        <v>13</v>
      </c>
      <c r="E163" s="2" t="s">
        <v>14</v>
      </c>
      <c r="F163" s="2" t="s">
        <v>308</v>
      </c>
      <c r="G163" s="4">
        <v>147362</v>
      </c>
      <c r="H163" s="5" t="s">
        <v>309</v>
      </c>
      <c r="I163" s="4">
        <v>0</v>
      </c>
      <c r="J163" s="6">
        <v>44594</v>
      </c>
      <c r="K163" t="str">
        <f t="shared" si="4"/>
        <v>Q1 2022</v>
      </c>
      <c r="L163" t="str">
        <f t="shared" si="5"/>
        <v>Q1 2022</v>
      </c>
    </row>
    <row r="164" spans="1:12" ht="15.75" customHeight="1" x14ac:dyDescent="0.3">
      <c r="A164" s="2" t="s">
        <v>310</v>
      </c>
      <c r="B164" s="2" t="s">
        <v>11</v>
      </c>
      <c r="C164" s="2" t="s">
        <v>12</v>
      </c>
      <c r="D164" s="2" t="s">
        <v>13</v>
      </c>
      <c r="E164" s="2" t="s">
        <v>14</v>
      </c>
      <c r="F164" s="2" t="s">
        <v>15</v>
      </c>
      <c r="G164" s="4">
        <v>106526</v>
      </c>
      <c r="H164" s="5" t="s">
        <v>42</v>
      </c>
      <c r="I164" s="4">
        <v>0</v>
      </c>
      <c r="J164" s="6">
        <v>44603</v>
      </c>
      <c r="K164" t="str">
        <f t="shared" si="4"/>
        <v>Q1 2022</v>
      </c>
      <c r="L164" t="str">
        <f t="shared" si="5"/>
        <v>Q1 2022</v>
      </c>
    </row>
    <row r="165" spans="1:12" ht="15.75" customHeight="1" x14ac:dyDescent="0.3">
      <c r="A165" s="2" t="s">
        <v>311</v>
      </c>
      <c r="B165" s="2" t="s">
        <v>11</v>
      </c>
      <c r="C165" s="2" t="s">
        <v>12</v>
      </c>
      <c r="D165" s="2" t="s">
        <v>13</v>
      </c>
      <c r="E165" s="2" t="s">
        <v>14</v>
      </c>
      <c r="F165" s="2" t="s">
        <v>15</v>
      </c>
      <c r="G165" s="4">
        <v>70969</v>
      </c>
      <c r="H165" s="5" t="s">
        <v>39</v>
      </c>
      <c r="I165" s="4">
        <v>0</v>
      </c>
      <c r="J165" s="6">
        <v>44603</v>
      </c>
      <c r="K165" t="str">
        <f t="shared" si="4"/>
        <v>Q1 2022</v>
      </c>
      <c r="L165" t="str">
        <f t="shared" si="5"/>
        <v>Q1 2022</v>
      </c>
    </row>
    <row r="166" spans="1:12" ht="15.75" customHeight="1" x14ac:dyDescent="0.3">
      <c r="A166" s="2" t="s">
        <v>312</v>
      </c>
      <c r="B166" s="2" t="s">
        <v>11</v>
      </c>
      <c r="C166" s="2" t="s">
        <v>12</v>
      </c>
      <c r="D166" s="2" t="s">
        <v>13</v>
      </c>
      <c r="E166" s="2" t="s">
        <v>14</v>
      </c>
      <c r="F166" s="2" t="s">
        <v>46</v>
      </c>
      <c r="G166" s="4">
        <v>100034</v>
      </c>
      <c r="H166" s="5" t="s">
        <v>39</v>
      </c>
      <c r="I166" s="4">
        <v>0</v>
      </c>
      <c r="J166" s="6">
        <v>44603</v>
      </c>
      <c r="K166" t="str">
        <f t="shared" si="4"/>
        <v>Q1 2022</v>
      </c>
      <c r="L166" t="str">
        <f t="shared" si="5"/>
        <v>Q1 2022</v>
      </c>
    </row>
    <row r="167" spans="1:12" ht="15.75" customHeight="1" x14ac:dyDescent="0.3">
      <c r="A167" s="2" t="s">
        <v>313</v>
      </c>
      <c r="B167" s="2" t="s">
        <v>11</v>
      </c>
      <c r="C167" s="2" t="s">
        <v>12</v>
      </c>
      <c r="D167" s="2" t="s">
        <v>13</v>
      </c>
      <c r="E167" s="2" t="s">
        <v>14</v>
      </c>
      <c r="F167" s="2" t="s">
        <v>46</v>
      </c>
      <c r="G167" s="4">
        <v>107069</v>
      </c>
      <c r="H167" s="5" t="s">
        <v>314</v>
      </c>
      <c r="I167" s="4">
        <v>0</v>
      </c>
      <c r="J167" s="6">
        <v>44961</v>
      </c>
      <c r="K167" t="str">
        <f t="shared" si="4"/>
        <v>Q1 2023</v>
      </c>
      <c r="L167" t="str">
        <f t="shared" si="5"/>
        <v>Q1 2023</v>
      </c>
    </row>
    <row r="168" spans="1:12" ht="15.75" customHeight="1" x14ac:dyDescent="0.3">
      <c r="A168" s="2" t="s">
        <v>315</v>
      </c>
      <c r="B168" s="2" t="s">
        <v>11</v>
      </c>
      <c r="C168" s="2" t="s">
        <v>12</v>
      </c>
      <c r="D168" s="2" t="s">
        <v>13</v>
      </c>
      <c r="E168" s="2" t="s">
        <v>22</v>
      </c>
      <c r="F168" s="2" t="s">
        <v>275</v>
      </c>
      <c r="G168" s="4">
        <v>143517</v>
      </c>
      <c r="H168" s="6">
        <v>44623</v>
      </c>
      <c r="I168" s="4">
        <v>0</v>
      </c>
      <c r="J168" s="6">
        <v>44597</v>
      </c>
      <c r="K168" t="str">
        <f t="shared" si="4"/>
        <v>Q1 2022</v>
      </c>
      <c r="L168" t="str">
        <f t="shared" si="5"/>
        <v>Q1 2022</v>
      </c>
    </row>
    <row r="169" spans="1:12" ht="15.75" customHeight="1" x14ac:dyDescent="0.3">
      <c r="A169" s="2" t="s">
        <v>316</v>
      </c>
      <c r="B169" s="2" t="s">
        <v>20</v>
      </c>
      <c r="C169" s="2" t="s">
        <v>57</v>
      </c>
      <c r="D169" s="2" t="s">
        <v>13</v>
      </c>
      <c r="E169" s="2" t="s">
        <v>14</v>
      </c>
      <c r="F169" s="2" t="s">
        <v>27</v>
      </c>
      <c r="G169" s="4">
        <v>58504</v>
      </c>
      <c r="H169" s="5" t="s">
        <v>232</v>
      </c>
      <c r="I169" s="4">
        <v>6500</v>
      </c>
      <c r="J169" s="5" t="s">
        <v>195</v>
      </c>
      <c r="K169" t="str">
        <f t="shared" si="4"/>
        <v>Q1 2022</v>
      </c>
      <c r="L169" t="str">
        <f t="shared" si="5"/>
        <v>Q1 2022</v>
      </c>
    </row>
    <row r="170" spans="1:12" ht="15.75" customHeight="1" x14ac:dyDescent="0.3">
      <c r="A170" s="2" t="s">
        <v>317</v>
      </c>
      <c r="B170" s="2" t="s">
        <v>11</v>
      </c>
      <c r="C170" s="2" t="s">
        <v>12</v>
      </c>
      <c r="D170" s="2" t="s">
        <v>13</v>
      </c>
      <c r="E170" s="2" t="s">
        <v>14</v>
      </c>
      <c r="F170" s="2" t="s">
        <v>46</v>
      </c>
      <c r="G170" s="4">
        <v>95966</v>
      </c>
      <c r="H170" s="6">
        <v>44628</v>
      </c>
      <c r="I170" s="4">
        <v>0</v>
      </c>
      <c r="J170" s="6">
        <v>44602</v>
      </c>
      <c r="K170" t="str">
        <f t="shared" si="4"/>
        <v>Q1 2022</v>
      </c>
      <c r="L170" t="str">
        <f t="shared" si="5"/>
        <v>Q1 2022</v>
      </c>
    </row>
    <row r="171" spans="1:12" ht="15.75" customHeight="1" x14ac:dyDescent="0.3">
      <c r="A171" s="2" t="s">
        <v>318</v>
      </c>
      <c r="B171" s="2" t="s">
        <v>11</v>
      </c>
      <c r="C171" s="2" t="s">
        <v>12</v>
      </c>
      <c r="D171" s="2" t="s">
        <v>13</v>
      </c>
      <c r="E171" s="2" t="s">
        <v>14</v>
      </c>
      <c r="F171" s="2" t="s">
        <v>27</v>
      </c>
      <c r="G171" s="4">
        <v>54725</v>
      </c>
      <c r="H171" s="6">
        <v>44630</v>
      </c>
      <c r="I171" s="4">
        <v>0</v>
      </c>
      <c r="J171" s="6">
        <v>44603</v>
      </c>
      <c r="K171" t="str">
        <f t="shared" si="4"/>
        <v>Q1 2022</v>
      </c>
      <c r="L171" t="str">
        <f t="shared" si="5"/>
        <v>Q1 2022</v>
      </c>
    </row>
    <row r="172" spans="1:12" ht="15.75" customHeight="1" x14ac:dyDescent="0.3">
      <c r="A172" s="2" t="s">
        <v>319</v>
      </c>
      <c r="B172" s="2" t="s">
        <v>11</v>
      </c>
      <c r="C172" s="2" t="s">
        <v>12</v>
      </c>
      <c r="D172" s="2" t="s">
        <v>13</v>
      </c>
      <c r="E172" s="2" t="s">
        <v>22</v>
      </c>
      <c r="F172" s="2" t="s">
        <v>296</v>
      </c>
      <c r="G172" s="4">
        <v>147868</v>
      </c>
      <c r="H172" s="6">
        <v>44623</v>
      </c>
      <c r="I172" s="4">
        <v>0</v>
      </c>
      <c r="J172" s="6">
        <v>44597</v>
      </c>
      <c r="K172" t="str">
        <f t="shared" si="4"/>
        <v>Q1 2022</v>
      </c>
      <c r="L172" t="str">
        <f t="shared" si="5"/>
        <v>Q1 2022</v>
      </c>
    </row>
    <row r="173" spans="1:12" ht="15.75" customHeight="1" x14ac:dyDescent="0.3">
      <c r="A173" s="2" t="s">
        <v>320</v>
      </c>
      <c r="B173" s="2" t="s">
        <v>11</v>
      </c>
      <c r="C173" s="2" t="s">
        <v>12</v>
      </c>
      <c r="D173" s="2" t="s">
        <v>13</v>
      </c>
      <c r="E173" s="2" t="s">
        <v>14</v>
      </c>
      <c r="F173" s="2" t="s">
        <v>27</v>
      </c>
      <c r="G173" s="4">
        <v>112714</v>
      </c>
      <c r="H173" s="5" t="s">
        <v>82</v>
      </c>
      <c r="I173" s="4">
        <v>0</v>
      </c>
      <c r="J173" s="6">
        <v>44596</v>
      </c>
      <c r="K173" t="str">
        <f t="shared" si="4"/>
        <v>Q1 2022</v>
      </c>
      <c r="L173" t="str">
        <f t="shared" si="5"/>
        <v>Q1 2022</v>
      </c>
    </row>
    <row r="174" spans="1:12" ht="15.75" customHeight="1" x14ac:dyDescent="0.3">
      <c r="A174" s="2" t="s">
        <v>321</v>
      </c>
      <c r="B174" s="2" t="s">
        <v>11</v>
      </c>
      <c r="C174" s="2" t="s">
        <v>12</v>
      </c>
      <c r="D174" s="2" t="s">
        <v>13</v>
      </c>
      <c r="E174" s="2" t="s">
        <v>14</v>
      </c>
      <c r="F174" s="2" t="s">
        <v>15</v>
      </c>
      <c r="G174" s="4">
        <v>74208</v>
      </c>
      <c r="H174" s="5" t="s">
        <v>322</v>
      </c>
      <c r="I174" s="4">
        <v>0</v>
      </c>
      <c r="J174" s="6">
        <v>44594</v>
      </c>
      <c r="K174" t="str">
        <f t="shared" si="4"/>
        <v>Q1 2022</v>
      </c>
      <c r="L174" t="str">
        <f t="shared" si="5"/>
        <v>Q1 2022</v>
      </c>
    </row>
    <row r="175" spans="1:12" ht="15.75" customHeight="1" x14ac:dyDescent="0.3">
      <c r="A175" s="2" t="s">
        <v>323</v>
      </c>
      <c r="B175" s="2" t="s">
        <v>11</v>
      </c>
      <c r="C175" s="2" t="s">
        <v>12</v>
      </c>
      <c r="D175" s="2" t="s">
        <v>13</v>
      </c>
      <c r="E175" s="2" t="s">
        <v>14</v>
      </c>
      <c r="F175" s="2" t="s">
        <v>324</v>
      </c>
      <c r="G175" s="4">
        <v>90068</v>
      </c>
      <c r="H175" s="5" t="s">
        <v>137</v>
      </c>
      <c r="I175" s="4">
        <v>0</v>
      </c>
      <c r="J175" s="6">
        <v>44598</v>
      </c>
      <c r="K175" t="str">
        <f t="shared" si="4"/>
        <v>Q1 2022</v>
      </c>
      <c r="L175" t="str">
        <f t="shared" si="5"/>
        <v>Q1 2022</v>
      </c>
    </row>
    <row r="176" spans="1:12" ht="15.75" customHeight="1" x14ac:dyDescent="0.3">
      <c r="A176" s="2" t="s">
        <v>325</v>
      </c>
      <c r="B176" s="2" t="s">
        <v>11</v>
      </c>
      <c r="C176" s="2" t="s">
        <v>12</v>
      </c>
      <c r="D176" s="2" t="s">
        <v>13</v>
      </c>
      <c r="E176" s="2" t="s">
        <v>14</v>
      </c>
      <c r="F176" s="2" t="s">
        <v>326</v>
      </c>
      <c r="G176" s="4">
        <v>80085</v>
      </c>
      <c r="H176" s="6">
        <v>44623</v>
      </c>
      <c r="I176" s="4">
        <v>0</v>
      </c>
      <c r="J176" s="6">
        <v>44597</v>
      </c>
      <c r="K176" t="str">
        <f t="shared" si="4"/>
        <v>Q1 2022</v>
      </c>
      <c r="L176" t="str">
        <f t="shared" si="5"/>
        <v>Q1 2022</v>
      </c>
    </row>
    <row r="177" spans="1:12" ht="15.75" customHeight="1" x14ac:dyDescent="0.3">
      <c r="A177" s="2" t="s">
        <v>327</v>
      </c>
      <c r="B177" s="2" t="s">
        <v>11</v>
      </c>
      <c r="C177" s="2" t="s">
        <v>12</v>
      </c>
      <c r="D177" s="2" t="s">
        <v>13</v>
      </c>
      <c r="E177" s="2" t="s">
        <v>14</v>
      </c>
      <c r="F177" s="2" t="s">
        <v>224</v>
      </c>
      <c r="G177" s="4">
        <v>157857</v>
      </c>
      <c r="H177" s="6">
        <v>44629</v>
      </c>
      <c r="I177" s="4">
        <v>0</v>
      </c>
      <c r="J177" s="6">
        <v>44603</v>
      </c>
      <c r="K177" t="str">
        <f t="shared" si="4"/>
        <v>Q1 2022</v>
      </c>
      <c r="L177" t="str">
        <f t="shared" si="5"/>
        <v>Q1 2022</v>
      </c>
    </row>
    <row r="178" spans="1:12" ht="15.75" customHeight="1" x14ac:dyDescent="0.3">
      <c r="A178" s="2" t="s">
        <v>328</v>
      </c>
      <c r="B178" s="2" t="s">
        <v>11</v>
      </c>
      <c r="C178" s="2" t="s">
        <v>12</v>
      </c>
      <c r="D178" s="2" t="s">
        <v>13</v>
      </c>
      <c r="E178" s="2" t="s">
        <v>80</v>
      </c>
      <c r="F178" s="2" t="s">
        <v>329</v>
      </c>
      <c r="G178" s="4">
        <v>88677</v>
      </c>
      <c r="H178" s="6">
        <v>44629</v>
      </c>
      <c r="I178" s="4">
        <v>0</v>
      </c>
      <c r="J178" s="6">
        <v>44603</v>
      </c>
      <c r="K178" t="str">
        <f t="shared" si="4"/>
        <v>Q1 2022</v>
      </c>
      <c r="L178" t="str">
        <f t="shared" si="5"/>
        <v>Q1 2022</v>
      </c>
    </row>
    <row r="179" spans="1:12" ht="15.75" customHeight="1" x14ac:dyDescent="0.3">
      <c r="A179" s="2" t="s">
        <v>330</v>
      </c>
      <c r="B179" s="2" t="s">
        <v>11</v>
      </c>
      <c r="C179" s="2" t="s">
        <v>12</v>
      </c>
      <c r="D179" s="2" t="s">
        <v>13</v>
      </c>
      <c r="E179" s="2" t="s">
        <v>14</v>
      </c>
      <c r="F179" s="2" t="s">
        <v>331</v>
      </c>
      <c r="G179" s="4">
        <v>203793</v>
      </c>
      <c r="H179" s="5" t="s">
        <v>30</v>
      </c>
      <c r="I179" s="4">
        <v>0</v>
      </c>
      <c r="J179" s="6">
        <v>44603</v>
      </c>
      <c r="K179" t="str">
        <f t="shared" si="4"/>
        <v>Q1 2022</v>
      </c>
      <c r="L179" t="str">
        <f t="shared" si="5"/>
        <v>Q1 2022</v>
      </c>
    </row>
    <row r="180" spans="1:12" ht="15.75" customHeight="1" x14ac:dyDescent="0.3">
      <c r="A180" s="2" t="s">
        <v>332</v>
      </c>
      <c r="B180" s="2" t="s">
        <v>11</v>
      </c>
      <c r="C180" s="2" t="s">
        <v>12</v>
      </c>
      <c r="D180" s="2" t="s">
        <v>13</v>
      </c>
      <c r="E180" s="2" t="s">
        <v>22</v>
      </c>
      <c r="F180" s="2" t="s">
        <v>275</v>
      </c>
      <c r="G180" s="4">
        <v>55037</v>
      </c>
      <c r="H180" s="5" t="s">
        <v>333</v>
      </c>
      <c r="I180" s="4">
        <v>0</v>
      </c>
      <c r="J180" s="6">
        <v>44598</v>
      </c>
      <c r="K180" t="str">
        <f t="shared" si="4"/>
        <v>Q1 2022</v>
      </c>
      <c r="L180" t="str">
        <f t="shared" si="5"/>
        <v>Q1 2022</v>
      </c>
    </row>
    <row r="181" spans="1:12" ht="15.75" customHeight="1" x14ac:dyDescent="0.3">
      <c r="A181" s="2" t="s">
        <v>334</v>
      </c>
      <c r="B181" s="2" t="s">
        <v>11</v>
      </c>
      <c r="C181" s="2" t="s">
        <v>12</v>
      </c>
      <c r="D181" s="2" t="s">
        <v>13</v>
      </c>
      <c r="E181" s="2" t="s">
        <v>14</v>
      </c>
      <c r="F181" s="2" t="s">
        <v>85</v>
      </c>
      <c r="G181" s="4">
        <v>106786</v>
      </c>
      <c r="H181" s="5" t="s">
        <v>82</v>
      </c>
      <c r="I181" s="4">
        <v>0</v>
      </c>
      <c r="J181" s="6">
        <v>44596</v>
      </c>
      <c r="K181" t="str">
        <f t="shared" si="4"/>
        <v>Q1 2022</v>
      </c>
      <c r="L181" t="str">
        <f t="shared" si="5"/>
        <v>Q1 2022</v>
      </c>
    </row>
    <row r="182" spans="1:12" ht="15.75" customHeight="1" x14ac:dyDescent="0.3">
      <c r="A182" s="2" t="s">
        <v>335</v>
      </c>
      <c r="B182" s="2" t="s">
        <v>11</v>
      </c>
      <c r="C182" s="2" t="s">
        <v>12</v>
      </c>
      <c r="D182" s="2" t="s">
        <v>13</v>
      </c>
      <c r="E182" s="2" t="s">
        <v>14</v>
      </c>
      <c r="F182" s="2" t="s">
        <v>336</v>
      </c>
      <c r="G182" s="4">
        <v>83160</v>
      </c>
      <c r="H182" s="5" t="s">
        <v>71</v>
      </c>
      <c r="I182" s="4">
        <v>0</v>
      </c>
      <c r="J182" s="6">
        <v>44603</v>
      </c>
      <c r="K182" t="str">
        <f t="shared" si="4"/>
        <v>Q1 2022</v>
      </c>
      <c r="L182" t="str">
        <f t="shared" si="5"/>
        <v>Q1 2022</v>
      </c>
    </row>
    <row r="183" spans="1:12" ht="15.75" customHeight="1" x14ac:dyDescent="0.3">
      <c r="A183" s="2" t="s">
        <v>337</v>
      </c>
      <c r="B183" s="2" t="s">
        <v>11</v>
      </c>
      <c r="C183" s="2" t="s">
        <v>12</v>
      </c>
      <c r="D183" s="2" t="s">
        <v>13</v>
      </c>
      <c r="E183" s="2" t="s">
        <v>14</v>
      </c>
      <c r="F183" s="2" t="s">
        <v>338</v>
      </c>
      <c r="G183" s="4">
        <v>137608</v>
      </c>
      <c r="H183" s="5" t="s">
        <v>25</v>
      </c>
      <c r="I183" s="4">
        <v>0</v>
      </c>
      <c r="J183" s="6">
        <v>44603</v>
      </c>
      <c r="K183" t="str">
        <f t="shared" si="4"/>
        <v>Q1 2022</v>
      </c>
      <c r="L183" t="str">
        <f t="shared" si="5"/>
        <v>Q1 2022</v>
      </c>
    </row>
    <row r="184" spans="1:12" ht="15.75" customHeight="1" x14ac:dyDescent="0.3">
      <c r="A184" s="2" t="s">
        <v>339</v>
      </c>
      <c r="B184" s="2" t="s">
        <v>11</v>
      </c>
      <c r="C184" s="2" t="s">
        <v>12</v>
      </c>
      <c r="D184" s="2" t="s">
        <v>13</v>
      </c>
      <c r="E184" s="2" t="s">
        <v>14</v>
      </c>
      <c r="F184" s="2" t="s">
        <v>27</v>
      </c>
      <c r="G184" s="4">
        <v>157835</v>
      </c>
      <c r="H184" s="5" t="s">
        <v>232</v>
      </c>
      <c r="I184" s="4">
        <v>0</v>
      </c>
      <c r="J184" s="6">
        <v>44594</v>
      </c>
      <c r="K184" t="str">
        <f t="shared" si="4"/>
        <v>Q1 2022</v>
      </c>
      <c r="L184" t="str">
        <f t="shared" si="5"/>
        <v>Q1 2022</v>
      </c>
    </row>
    <row r="185" spans="1:12" ht="15.75" customHeight="1" x14ac:dyDescent="0.3">
      <c r="A185" s="2" t="s">
        <v>340</v>
      </c>
      <c r="B185" s="2" t="s">
        <v>11</v>
      </c>
      <c r="C185" s="2" t="s">
        <v>12</v>
      </c>
      <c r="D185" s="2" t="s">
        <v>13</v>
      </c>
      <c r="E185" s="2" t="s">
        <v>14</v>
      </c>
      <c r="F185" s="2" t="s">
        <v>27</v>
      </c>
      <c r="G185" s="4">
        <v>187470</v>
      </c>
      <c r="H185" s="6">
        <v>44629</v>
      </c>
      <c r="I185" s="4">
        <v>0</v>
      </c>
      <c r="J185" s="6">
        <v>44603</v>
      </c>
      <c r="K185" t="str">
        <f t="shared" si="4"/>
        <v>Q1 2022</v>
      </c>
      <c r="L185" t="str">
        <f t="shared" si="5"/>
        <v>Q1 2022</v>
      </c>
    </row>
    <row r="186" spans="1:12" ht="15.75" customHeight="1" x14ac:dyDescent="0.3">
      <c r="A186" s="2" t="s">
        <v>341</v>
      </c>
      <c r="B186" s="2" t="s">
        <v>20</v>
      </c>
      <c r="C186" s="2" t="s">
        <v>21</v>
      </c>
      <c r="D186" s="2" t="s">
        <v>13</v>
      </c>
      <c r="E186" s="2" t="s">
        <v>14</v>
      </c>
      <c r="F186" s="2" t="s">
        <v>15</v>
      </c>
      <c r="G186" s="4">
        <v>102196</v>
      </c>
      <c r="H186" s="6">
        <v>44721</v>
      </c>
      <c r="I186" s="4">
        <v>6387</v>
      </c>
      <c r="J186" s="6">
        <v>44692</v>
      </c>
      <c r="K186" t="str">
        <f t="shared" si="4"/>
        <v>Q2 2022</v>
      </c>
      <c r="L186" t="str">
        <f t="shared" si="5"/>
        <v>Q2 2022</v>
      </c>
    </row>
    <row r="187" spans="1:12" ht="15.75" customHeight="1" x14ac:dyDescent="0.3">
      <c r="A187" s="80" t="s">
        <v>342</v>
      </c>
      <c r="B187" s="2" t="s">
        <v>11</v>
      </c>
      <c r="C187" s="2" t="s">
        <v>12</v>
      </c>
      <c r="D187" s="2" t="s">
        <v>13</v>
      </c>
      <c r="E187" s="2" t="s">
        <v>14</v>
      </c>
      <c r="F187" s="2" t="s">
        <v>15</v>
      </c>
      <c r="G187" s="4">
        <v>100539</v>
      </c>
      <c r="H187" s="5" t="s">
        <v>25</v>
      </c>
      <c r="I187" s="4">
        <v>0</v>
      </c>
      <c r="J187" s="6">
        <v>44603</v>
      </c>
      <c r="K187" t="str">
        <f t="shared" si="4"/>
        <v>Q1 2022</v>
      </c>
      <c r="L187" t="str">
        <f t="shared" si="5"/>
        <v>Q1 2022</v>
      </c>
    </row>
    <row r="188" spans="1:12" ht="15.75" customHeight="1" x14ac:dyDescent="0.3">
      <c r="A188" s="2" t="s">
        <v>343</v>
      </c>
      <c r="B188" s="2" t="s">
        <v>11</v>
      </c>
      <c r="C188" s="2" t="s">
        <v>12</v>
      </c>
      <c r="D188" s="2" t="s">
        <v>13</v>
      </c>
      <c r="E188" s="2" t="s">
        <v>14</v>
      </c>
      <c r="F188" s="2" t="s">
        <v>27</v>
      </c>
      <c r="G188" s="4">
        <v>76925</v>
      </c>
      <c r="H188" s="5" t="s">
        <v>25</v>
      </c>
      <c r="I188" s="4">
        <v>0</v>
      </c>
      <c r="J188" s="6">
        <v>44603</v>
      </c>
      <c r="K188" t="str">
        <f t="shared" si="4"/>
        <v>Q1 2022</v>
      </c>
      <c r="L188" t="str">
        <f t="shared" si="5"/>
        <v>Q1 2022</v>
      </c>
    </row>
    <row r="189" spans="1:12" ht="15.75" customHeight="1" x14ac:dyDescent="0.3">
      <c r="A189" s="2" t="s">
        <v>344</v>
      </c>
      <c r="B189" s="2" t="s">
        <v>11</v>
      </c>
      <c r="C189" s="2" t="s">
        <v>12</v>
      </c>
      <c r="D189" s="2" t="s">
        <v>13</v>
      </c>
      <c r="E189" s="2" t="s">
        <v>14</v>
      </c>
      <c r="F189" s="2" t="s">
        <v>27</v>
      </c>
      <c r="G189" s="4">
        <v>110085</v>
      </c>
      <c r="H189" s="6">
        <v>44623</v>
      </c>
      <c r="I189" s="4">
        <v>0</v>
      </c>
      <c r="J189" s="6">
        <v>44596</v>
      </c>
      <c r="K189" t="str">
        <f t="shared" si="4"/>
        <v>Q1 2022</v>
      </c>
      <c r="L189" t="str">
        <f t="shared" si="5"/>
        <v>Q1 2022</v>
      </c>
    </row>
    <row r="190" spans="1:12" ht="15.75" customHeight="1" x14ac:dyDescent="0.3">
      <c r="A190" s="2" t="s">
        <v>345</v>
      </c>
      <c r="B190" s="2" t="s">
        <v>11</v>
      </c>
      <c r="C190" s="2" t="s">
        <v>12</v>
      </c>
      <c r="D190" s="2" t="s">
        <v>13</v>
      </c>
      <c r="E190" s="2" t="s">
        <v>14</v>
      </c>
      <c r="F190" s="2" t="s">
        <v>46</v>
      </c>
      <c r="G190" s="4">
        <v>83580</v>
      </c>
      <c r="H190" s="5" t="s">
        <v>25</v>
      </c>
      <c r="I190" s="4">
        <v>0</v>
      </c>
      <c r="J190" s="6">
        <v>44603</v>
      </c>
      <c r="K190" t="str">
        <f t="shared" si="4"/>
        <v>Q1 2022</v>
      </c>
      <c r="L190" t="str">
        <f t="shared" si="5"/>
        <v>Q1 2022</v>
      </c>
    </row>
    <row r="191" spans="1:12" ht="15.75" customHeight="1" x14ac:dyDescent="0.3">
      <c r="A191" s="2" t="s">
        <v>346</v>
      </c>
      <c r="B191" s="2" t="s">
        <v>11</v>
      </c>
      <c r="C191" s="2" t="s">
        <v>12</v>
      </c>
      <c r="D191" s="2" t="s">
        <v>13</v>
      </c>
      <c r="E191" s="2" t="s">
        <v>14</v>
      </c>
      <c r="F191" s="2" t="s">
        <v>44</v>
      </c>
      <c r="G191" s="2"/>
      <c r="H191" s="5" t="s">
        <v>130</v>
      </c>
      <c r="I191" s="4">
        <v>0</v>
      </c>
      <c r="J191" s="6">
        <v>44601</v>
      </c>
      <c r="K191" t="str">
        <f t="shared" si="4"/>
        <v>Q1 2022</v>
      </c>
      <c r="L191" t="str">
        <f t="shared" si="5"/>
        <v>Q1 2022</v>
      </c>
    </row>
    <row r="192" spans="1:12" ht="15.75" customHeight="1" x14ac:dyDescent="0.3">
      <c r="A192" s="2" t="s">
        <v>347</v>
      </c>
      <c r="B192" s="2" t="s">
        <v>11</v>
      </c>
      <c r="C192" s="2" t="s">
        <v>12</v>
      </c>
      <c r="D192" s="2" t="s">
        <v>13</v>
      </c>
      <c r="E192" s="2" t="s">
        <v>14</v>
      </c>
      <c r="F192" s="2" t="s">
        <v>85</v>
      </c>
      <c r="G192" s="4">
        <v>42045</v>
      </c>
      <c r="H192" s="5" t="s">
        <v>42</v>
      </c>
      <c r="I192" s="4">
        <v>0</v>
      </c>
      <c r="J192" s="6">
        <v>44603</v>
      </c>
      <c r="K192" t="str">
        <f t="shared" si="4"/>
        <v>Q1 2022</v>
      </c>
      <c r="L192" t="str">
        <f t="shared" si="5"/>
        <v>Q1 2022</v>
      </c>
    </row>
    <row r="193" spans="1:12" ht="15.75" customHeight="1" x14ac:dyDescent="0.3">
      <c r="A193" s="2" t="s">
        <v>348</v>
      </c>
      <c r="B193" s="2" t="s">
        <v>11</v>
      </c>
      <c r="C193" s="2" t="s">
        <v>12</v>
      </c>
      <c r="D193" s="2" t="s">
        <v>13</v>
      </c>
      <c r="E193" s="2" t="s">
        <v>14</v>
      </c>
      <c r="F193" s="2" t="s">
        <v>27</v>
      </c>
      <c r="G193" s="4">
        <v>72988</v>
      </c>
      <c r="H193" s="5" t="s">
        <v>232</v>
      </c>
      <c r="I193" s="4">
        <v>0</v>
      </c>
      <c r="J193" s="6">
        <v>44594</v>
      </c>
      <c r="K193" t="str">
        <f t="shared" si="4"/>
        <v>Q1 2022</v>
      </c>
      <c r="L193" t="str">
        <f t="shared" si="5"/>
        <v>Q1 2022</v>
      </c>
    </row>
    <row r="194" spans="1:12" ht="15.75" customHeight="1" x14ac:dyDescent="0.3">
      <c r="A194" s="2" t="s">
        <v>349</v>
      </c>
      <c r="B194" s="2" t="s">
        <v>11</v>
      </c>
      <c r="C194" s="2" t="s">
        <v>12</v>
      </c>
      <c r="D194" s="2" t="s">
        <v>13</v>
      </c>
      <c r="E194" s="2" t="s">
        <v>14</v>
      </c>
      <c r="F194" s="2" t="s">
        <v>350</v>
      </c>
      <c r="G194" s="4">
        <v>203733</v>
      </c>
      <c r="H194" s="6">
        <v>44866</v>
      </c>
      <c r="I194" s="4">
        <v>0</v>
      </c>
      <c r="J194" s="6">
        <v>44595</v>
      </c>
      <c r="K194" t="str">
        <f t="shared" ref="K194:K257" si="6">"Q" &amp; ROUNDUP(MONTH(J:J)/3,0) &amp; " " &amp; YEAR(J:J)</f>
        <v>Q1 2022</v>
      </c>
      <c r="L194" t="str">
        <f t="shared" ref="L194:L257" si="7">"Q" &amp; ROUNDUP(MONTH(J:J)/3,0) &amp; " " &amp; YEAR(J:J)</f>
        <v>Q1 2022</v>
      </c>
    </row>
    <row r="195" spans="1:12" ht="15.75" customHeight="1" x14ac:dyDescent="0.3">
      <c r="A195" s="2" t="s">
        <v>351</v>
      </c>
      <c r="B195" s="2" t="s">
        <v>11</v>
      </c>
      <c r="C195" s="2" t="s">
        <v>12</v>
      </c>
      <c r="D195" s="2" t="s">
        <v>13</v>
      </c>
      <c r="E195" s="2" t="s">
        <v>14</v>
      </c>
      <c r="F195" s="2" t="s">
        <v>46</v>
      </c>
      <c r="G195" s="4">
        <v>172921</v>
      </c>
      <c r="H195" s="6">
        <v>44629</v>
      </c>
      <c r="I195" s="4">
        <v>0</v>
      </c>
      <c r="J195" s="6">
        <v>44603</v>
      </c>
      <c r="K195" t="str">
        <f t="shared" si="6"/>
        <v>Q1 2022</v>
      </c>
      <c r="L195" t="str">
        <f t="shared" si="7"/>
        <v>Q1 2022</v>
      </c>
    </row>
    <row r="196" spans="1:12" ht="15.75" customHeight="1" x14ac:dyDescent="0.3">
      <c r="A196" s="2" t="s">
        <v>352</v>
      </c>
      <c r="B196" s="2" t="s">
        <v>11</v>
      </c>
      <c r="C196" s="2" t="s">
        <v>57</v>
      </c>
      <c r="D196" s="2" t="s">
        <v>13</v>
      </c>
      <c r="E196" s="2" t="s">
        <v>80</v>
      </c>
      <c r="F196" s="2" t="s">
        <v>353</v>
      </c>
      <c r="G196" s="4">
        <v>56858</v>
      </c>
      <c r="H196" s="5" t="s">
        <v>333</v>
      </c>
      <c r="I196" s="4">
        <v>0</v>
      </c>
      <c r="J196" s="6">
        <v>44598</v>
      </c>
      <c r="K196" t="str">
        <f t="shared" si="6"/>
        <v>Q1 2022</v>
      </c>
      <c r="L196" t="str">
        <f t="shared" si="7"/>
        <v>Q1 2022</v>
      </c>
    </row>
    <row r="197" spans="1:12" ht="15.75" customHeight="1" x14ac:dyDescent="0.3">
      <c r="A197" s="2" t="s">
        <v>354</v>
      </c>
      <c r="B197" s="2" t="s">
        <v>11</v>
      </c>
      <c r="C197" s="2" t="s">
        <v>12</v>
      </c>
      <c r="D197" s="2" t="s">
        <v>13</v>
      </c>
      <c r="E197" s="2" t="s">
        <v>14</v>
      </c>
      <c r="F197" s="2" t="s">
        <v>224</v>
      </c>
      <c r="G197" s="4">
        <v>70969</v>
      </c>
      <c r="H197" s="5" t="s">
        <v>355</v>
      </c>
      <c r="I197" s="4">
        <v>0</v>
      </c>
      <c r="J197" s="6">
        <v>44205</v>
      </c>
      <c r="K197" t="str">
        <f t="shared" si="6"/>
        <v>Q1 2021</v>
      </c>
      <c r="L197" t="str">
        <f t="shared" si="7"/>
        <v>Q1 2021</v>
      </c>
    </row>
    <row r="198" spans="1:12" ht="15.75" customHeight="1" x14ac:dyDescent="0.3">
      <c r="A198" s="2" t="s">
        <v>356</v>
      </c>
      <c r="B198" s="2" t="s">
        <v>11</v>
      </c>
      <c r="C198" s="2" t="s">
        <v>12</v>
      </c>
      <c r="D198" s="2" t="s">
        <v>13</v>
      </c>
      <c r="E198" s="2" t="s">
        <v>14</v>
      </c>
      <c r="F198" s="2" t="s">
        <v>357</v>
      </c>
      <c r="G198" s="4">
        <v>100034</v>
      </c>
      <c r="H198" s="5" t="s">
        <v>42</v>
      </c>
      <c r="I198" s="4">
        <v>0</v>
      </c>
      <c r="J198" s="6">
        <v>44603</v>
      </c>
      <c r="K198" t="str">
        <f t="shared" si="6"/>
        <v>Q1 2022</v>
      </c>
      <c r="L198" t="str">
        <f t="shared" si="7"/>
        <v>Q1 2022</v>
      </c>
    </row>
    <row r="199" spans="1:12" ht="15.75" customHeight="1" x14ac:dyDescent="0.3">
      <c r="A199" s="2" t="s">
        <v>358</v>
      </c>
      <c r="B199" s="2" t="s">
        <v>11</v>
      </c>
      <c r="C199" s="2" t="s">
        <v>57</v>
      </c>
      <c r="D199" s="2" t="s">
        <v>13</v>
      </c>
      <c r="E199" s="2" t="s">
        <v>14</v>
      </c>
      <c r="F199" s="2" t="s">
        <v>85</v>
      </c>
      <c r="G199" s="4">
        <v>107069</v>
      </c>
      <c r="H199" s="6">
        <v>44630</v>
      </c>
      <c r="I199" s="4">
        <v>0</v>
      </c>
      <c r="J199" s="6">
        <v>44603</v>
      </c>
      <c r="K199" t="str">
        <f t="shared" si="6"/>
        <v>Q1 2022</v>
      </c>
      <c r="L199" t="str">
        <f t="shared" si="7"/>
        <v>Q1 2022</v>
      </c>
    </row>
    <row r="200" spans="1:12" ht="15.75" customHeight="1" x14ac:dyDescent="0.3">
      <c r="A200" s="2" t="s">
        <v>359</v>
      </c>
      <c r="B200" s="2" t="s">
        <v>11</v>
      </c>
      <c r="C200" s="2" t="s">
        <v>57</v>
      </c>
      <c r="D200" s="2" t="s">
        <v>13</v>
      </c>
      <c r="E200" s="2" t="s">
        <v>14</v>
      </c>
      <c r="F200" s="2" t="s">
        <v>360</v>
      </c>
      <c r="G200" s="4">
        <v>143517</v>
      </c>
      <c r="H200" s="6">
        <v>44630</v>
      </c>
      <c r="I200" s="4">
        <v>0</v>
      </c>
      <c r="J200" s="6">
        <v>44603</v>
      </c>
      <c r="K200" t="str">
        <f t="shared" si="6"/>
        <v>Q1 2022</v>
      </c>
      <c r="L200" t="str">
        <f t="shared" si="7"/>
        <v>Q1 2022</v>
      </c>
    </row>
    <row r="201" spans="1:12" ht="15.75" customHeight="1" x14ac:dyDescent="0.3">
      <c r="A201" s="2" t="s">
        <v>361</v>
      </c>
      <c r="B201" s="2" t="s">
        <v>11</v>
      </c>
      <c r="C201" s="2" t="s">
        <v>12</v>
      </c>
      <c r="D201" s="2" t="s">
        <v>13</v>
      </c>
      <c r="E201" s="2" t="s">
        <v>14</v>
      </c>
      <c r="F201" s="2" t="s">
        <v>362</v>
      </c>
      <c r="G201" s="4">
        <v>58504</v>
      </c>
      <c r="H201" s="6">
        <v>44630</v>
      </c>
      <c r="I201" s="4">
        <v>0</v>
      </c>
      <c r="J201" s="6">
        <v>44603</v>
      </c>
      <c r="K201" t="str">
        <f t="shared" si="6"/>
        <v>Q1 2022</v>
      </c>
      <c r="L201" t="str">
        <f t="shared" si="7"/>
        <v>Q1 2022</v>
      </c>
    </row>
    <row r="202" spans="1:12" ht="15.75" customHeight="1" x14ac:dyDescent="0.3">
      <c r="A202" s="2" t="s">
        <v>363</v>
      </c>
      <c r="B202" s="2" t="s">
        <v>11</v>
      </c>
      <c r="C202" s="2" t="s">
        <v>12</v>
      </c>
      <c r="D202" s="2" t="s">
        <v>13</v>
      </c>
      <c r="E202" s="2" t="s">
        <v>14</v>
      </c>
      <c r="F202" s="2" t="s">
        <v>46</v>
      </c>
      <c r="G202" s="4">
        <v>95966</v>
      </c>
      <c r="H202" s="5" t="s">
        <v>236</v>
      </c>
      <c r="I202" s="4">
        <v>0</v>
      </c>
      <c r="J202" s="6">
        <v>44596</v>
      </c>
      <c r="K202" t="str">
        <f t="shared" si="6"/>
        <v>Q1 2022</v>
      </c>
      <c r="L202" t="str">
        <f t="shared" si="7"/>
        <v>Q1 2022</v>
      </c>
    </row>
    <row r="203" spans="1:12" ht="15.75" customHeight="1" x14ac:dyDescent="0.3">
      <c r="A203" s="2" t="s">
        <v>364</v>
      </c>
      <c r="B203" s="2" t="s">
        <v>11</v>
      </c>
      <c r="C203" s="2" t="s">
        <v>12</v>
      </c>
      <c r="D203" s="2" t="s">
        <v>13</v>
      </c>
      <c r="E203" s="2" t="s">
        <v>14</v>
      </c>
      <c r="F203" s="2" t="s">
        <v>365</v>
      </c>
      <c r="G203" s="4">
        <v>54725</v>
      </c>
      <c r="H203" s="5" t="s">
        <v>39</v>
      </c>
      <c r="I203" s="4">
        <v>0</v>
      </c>
      <c r="J203" s="6">
        <v>44603</v>
      </c>
      <c r="K203" t="str">
        <f t="shared" si="6"/>
        <v>Q1 2022</v>
      </c>
      <c r="L203" t="str">
        <f t="shared" si="7"/>
        <v>Q1 2022</v>
      </c>
    </row>
    <row r="204" spans="1:12" ht="15.75" customHeight="1" x14ac:dyDescent="0.3">
      <c r="A204" s="2" t="s">
        <v>366</v>
      </c>
      <c r="B204" s="2" t="s">
        <v>11</v>
      </c>
      <c r="C204" s="2" t="s">
        <v>12</v>
      </c>
      <c r="D204" s="2" t="s">
        <v>13</v>
      </c>
      <c r="E204" s="2" t="s">
        <v>14</v>
      </c>
      <c r="F204" s="2" t="s">
        <v>46</v>
      </c>
      <c r="G204" s="4">
        <v>147868</v>
      </c>
      <c r="H204" s="5" t="s">
        <v>130</v>
      </c>
      <c r="I204" s="4">
        <v>0</v>
      </c>
      <c r="J204" s="6">
        <v>44602</v>
      </c>
      <c r="K204" t="str">
        <f t="shared" si="6"/>
        <v>Q1 2022</v>
      </c>
      <c r="L204" t="str">
        <f t="shared" si="7"/>
        <v>Q1 2022</v>
      </c>
    </row>
    <row r="205" spans="1:12" ht="15.75" customHeight="1" x14ac:dyDescent="0.3">
      <c r="A205" s="2" t="s">
        <v>367</v>
      </c>
      <c r="B205" s="2" t="s">
        <v>11</v>
      </c>
      <c r="C205" s="2" t="s">
        <v>12</v>
      </c>
      <c r="D205" s="2" t="s">
        <v>13</v>
      </c>
      <c r="E205" s="2" t="s">
        <v>80</v>
      </c>
      <c r="F205" s="2" t="s">
        <v>368</v>
      </c>
      <c r="G205" s="4">
        <v>112714</v>
      </c>
      <c r="H205" s="5" t="s">
        <v>369</v>
      </c>
      <c r="I205" s="4">
        <v>0</v>
      </c>
      <c r="J205" s="6">
        <v>44958</v>
      </c>
      <c r="K205" t="str">
        <f t="shared" si="6"/>
        <v>Q1 2023</v>
      </c>
      <c r="L205" t="str">
        <f t="shared" si="7"/>
        <v>Q1 2023</v>
      </c>
    </row>
    <row r="206" spans="1:12" ht="15.75" customHeight="1" x14ac:dyDescent="0.3">
      <c r="A206" s="2" t="s">
        <v>370</v>
      </c>
      <c r="B206" s="2" t="s">
        <v>11</v>
      </c>
      <c r="C206" s="2" t="s">
        <v>12</v>
      </c>
      <c r="D206" s="2" t="s">
        <v>13</v>
      </c>
      <c r="E206" s="2" t="s">
        <v>14</v>
      </c>
      <c r="F206" s="2" t="s">
        <v>46</v>
      </c>
      <c r="G206" s="4">
        <v>74208</v>
      </c>
      <c r="H206" s="5" t="s">
        <v>42</v>
      </c>
      <c r="I206" s="4">
        <v>0</v>
      </c>
      <c r="J206" s="6">
        <v>44603</v>
      </c>
      <c r="K206" t="str">
        <f t="shared" si="6"/>
        <v>Q1 2022</v>
      </c>
      <c r="L206" t="str">
        <f t="shared" si="7"/>
        <v>Q1 2022</v>
      </c>
    </row>
    <row r="207" spans="1:12" ht="15.75" customHeight="1" x14ac:dyDescent="0.3">
      <c r="A207" s="2" t="s">
        <v>371</v>
      </c>
      <c r="B207" s="2" t="s">
        <v>11</v>
      </c>
      <c r="C207" s="2" t="s">
        <v>12</v>
      </c>
      <c r="D207" s="2" t="s">
        <v>13</v>
      </c>
      <c r="E207" s="2" t="s">
        <v>22</v>
      </c>
      <c r="F207" s="2" t="s">
        <v>46</v>
      </c>
      <c r="G207" s="4">
        <v>90068</v>
      </c>
      <c r="H207" s="5" t="s">
        <v>25</v>
      </c>
      <c r="I207" s="4">
        <v>0</v>
      </c>
      <c r="J207" s="6">
        <v>44603</v>
      </c>
      <c r="K207" t="str">
        <f t="shared" si="6"/>
        <v>Q1 2022</v>
      </c>
      <c r="L207" t="str">
        <f t="shared" si="7"/>
        <v>Q1 2022</v>
      </c>
    </row>
    <row r="208" spans="1:12" ht="15.75" customHeight="1" x14ac:dyDescent="0.3">
      <c r="A208" s="2" t="s">
        <v>372</v>
      </c>
      <c r="B208" s="2" t="s">
        <v>20</v>
      </c>
      <c r="C208" s="2" t="s">
        <v>21</v>
      </c>
      <c r="D208" s="2" t="s">
        <v>13</v>
      </c>
      <c r="E208" s="2" t="s">
        <v>14</v>
      </c>
      <c r="F208" s="2" t="s">
        <v>46</v>
      </c>
      <c r="G208" s="4">
        <v>80085</v>
      </c>
      <c r="H208" s="6">
        <v>44874</v>
      </c>
      <c r="I208" s="4">
        <v>10011</v>
      </c>
      <c r="J208" s="7">
        <v>44875</v>
      </c>
      <c r="K208" t="str">
        <f t="shared" si="6"/>
        <v>Q4 2022</v>
      </c>
      <c r="L208" t="str">
        <f t="shared" si="7"/>
        <v>Q4 2022</v>
      </c>
    </row>
    <row r="209" spans="1:12" ht="15.75" customHeight="1" x14ac:dyDescent="0.3">
      <c r="A209" s="2" t="s">
        <v>373</v>
      </c>
      <c r="B209" s="2" t="s">
        <v>11</v>
      </c>
      <c r="C209" s="2" t="s">
        <v>12</v>
      </c>
      <c r="D209" s="2" t="s">
        <v>13</v>
      </c>
      <c r="E209" s="2" t="s">
        <v>14</v>
      </c>
      <c r="F209" s="2" t="s">
        <v>46</v>
      </c>
      <c r="G209" s="4">
        <v>157857</v>
      </c>
      <c r="H209" s="5" t="s">
        <v>25</v>
      </c>
      <c r="I209" s="4">
        <v>0</v>
      </c>
      <c r="J209" s="6">
        <v>44603</v>
      </c>
      <c r="K209" t="str">
        <f t="shared" si="6"/>
        <v>Q1 2022</v>
      </c>
      <c r="L209" t="str">
        <f t="shared" si="7"/>
        <v>Q1 2022</v>
      </c>
    </row>
    <row r="210" spans="1:12" ht="15.75" customHeight="1" x14ac:dyDescent="0.3">
      <c r="A210" s="80" t="s">
        <v>374</v>
      </c>
      <c r="B210" s="2" t="s">
        <v>11</v>
      </c>
      <c r="C210" s="2" t="s">
        <v>12</v>
      </c>
      <c r="D210" s="2" t="s">
        <v>13</v>
      </c>
      <c r="E210" s="2" t="s">
        <v>14</v>
      </c>
      <c r="F210" s="2" t="s">
        <v>375</v>
      </c>
      <c r="G210" s="4">
        <v>88677</v>
      </c>
      <c r="H210" s="6">
        <v>44563</v>
      </c>
      <c r="I210" s="4">
        <v>0</v>
      </c>
      <c r="J210" s="6">
        <v>44596</v>
      </c>
      <c r="K210" t="str">
        <f t="shared" si="6"/>
        <v>Q1 2022</v>
      </c>
      <c r="L210" t="str">
        <f t="shared" si="7"/>
        <v>Q1 2022</v>
      </c>
    </row>
    <row r="211" spans="1:12" ht="15.75" customHeight="1" x14ac:dyDescent="0.3">
      <c r="A211" s="2" t="s">
        <v>376</v>
      </c>
      <c r="B211" s="2" t="s">
        <v>11</v>
      </c>
      <c r="C211" s="2" t="s">
        <v>12</v>
      </c>
      <c r="D211" s="2" t="s">
        <v>13</v>
      </c>
      <c r="E211" s="2" t="s">
        <v>14</v>
      </c>
      <c r="F211" s="2" t="s">
        <v>377</v>
      </c>
      <c r="G211" s="4">
        <v>203793</v>
      </c>
      <c r="H211" s="5" t="s">
        <v>378</v>
      </c>
      <c r="I211" s="4">
        <v>0</v>
      </c>
      <c r="J211" s="6">
        <v>44958</v>
      </c>
      <c r="K211" t="str">
        <f t="shared" si="6"/>
        <v>Q1 2023</v>
      </c>
      <c r="L211" t="str">
        <f t="shared" si="7"/>
        <v>Q1 2023</v>
      </c>
    </row>
    <row r="212" spans="1:12" ht="15.75" customHeight="1" x14ac:dyDescent="0.3">
      <c r="A212" s="2" t="s">
        <v>379</v>
      </c>
      <c r="B212" s="2" t="s">
        <v>11</v>
      </c>
      <c r="C212" s="2" t="s">
        <v>12</v>
      </c>
      <c r="D212" s="2" t="s">
        <v>13</v>
      </c>
      <c r="E212" s="2" t="s">
        <v>14</v>
      </c>
      <c r="F212" s="2" t="s">
        <v>46</v>
      </c>
      <c r="G212" s="4">
        <v>55037</v>
      </c>
      <c r="H212" s="5" t="s">
        <v>232</v>
      </c>
      <c r="I212" s="4">
        <v>0</v>
      </c>
      <c r="J212" s="6">
        <v>44594</v>
      </c>
      <c r="K212" t="str">
        <f t="shared" si="6"/>
        <v>Q1 2022</v>
      </c>
      <c r="L212" t="str">
        <f t="shared" si="7"/>
        <v>Q1 2022</v>
      </c>
    </row>
    <row r="213" spans="1:12" ht="15.75" customHeight="1" x14ac:dyDescent="0.3">
      <c r="A213" s="2" t="s">
        <v>380</v>
      </c>
      <c r="B213" s="2" t="s">
        <v>11</v>
      </c>
      <c r="C213" s="2" t="s">
        <v>12</v>
      </c>
      <c r="D213" s="2" t="s">
        <v>13</v>
      </c>
      <c r="E213" s="2" t="s">
        <v>14</v>
      </c>
      <c r="F213" s="2" t="s">
        <v>46</v>
      </c>
      <c r="G213" s="4">
        <v>106786</v>
      </c>
      <c r="H213" s="5" t="s">
        <v>39</v>
      </c>
      <c r="I213" s="4">
        <v>0</v>
      </c>
      <c r="J213" s="6">
        <v>44603</v>
      </c>
      <c r="K213" t="str">
        <f t="shared" si="6"/>
        <v>Q1 2022</v>
      </c>
      <c r="L213" t="str">
        <f t="shared" si="7"/>
        <v>Q1 2022</v>
      </c>
    </row>
    <row r="214" spans="1:12" ht="15.75" customHeight="1" x14ac:dyDescent="0.3">
      <c r="A214" s="2" t="s">
        <v>381</v>
      </c>
      <c r="B214" s="2" t="s">
        <v>11</v>
      </c>
      <c r="C214" s="2" t="s">
        <v>57</v>
      </c>
      <c r="D214" s="2" t="s">
        <v>13</v>
      </c>
      <c r="E214" s="2" t="s">
        <v>14</v>
      </c>
      <c r="F214" s="2" t="s">
        <v>15</v>
      </c>
      <c r="G214" s="4">
        <v>83160</v>
      </c>
      <c r="H214" s="5" t="s">
        <v>232</v>
      </c>
      <c r="I214" s="4">
        <v>0</v>
      </c>
      <c r="J214" s="6">
        <v>44594</v>
      </c>
      <c r="K214" t="str">
        <f t="shared" si="6"/>
        <v>Q1 2022</v>
      </c>
      <c r="L214" t="str">
        <f t="shared" si="7"/>
        <v>Q1 2022</v>
      </c>
    </row>
    <row r="215" spans="1:12" ht="15.75" customHeight="1" x14ac:dyDescent="0.3">
      <c r="A215" s="2" t="s">
        <v>382</v>
      </c>
      <c r="B215" s="2" t="s">
        <v>11</v>
      </c>
      <c r="C215" s="2" t="s">
        <v>12</v>
      </c>
      <c r="D215" s="2" t="s">
        <v>13</v>
      </c>
      <c r="E215" s="2" t="s">
        <v>14</v>
      </c>
      <c r="F215" s="2" t="s">
        <v>46</v>
      </c>
      <c r="G215" s="4">
        <v>137608</v>
      </c>
      <c r="H215" s="5" t="s">
        <v>16</v>
      </c>
      <c r="I215" s="4">
        <v>0</v>
      </c>
      <c r="J215" s="6">
        <v>44597</v>
      </c>
      <c r="K215" t="str">
        <f t="shared" si="6"/>
        <v>Q1 2022</v>
      </c>
      <c r="L215" t="str">
        <f t="shared" si="7"/>
        <v>Q1 2022</v>
      </c>
    </row>
    <row r="216" spans="1:12" ht="15.75" customHeight="1" x14ac:dyDescent="0.3">
      <c r="A216" s="2" t="s">
        <v>383</v>
      </c>
      <c r="B216" s="2" t="s">
        <v>11</v>
      </c>
      <c r="C216" s="2" t="s">
        <v>12</v>
      </c>
      <c r="D216" s="2" t="s">
        <v>13</v>
      </c>
      <c r="E216" s="2" t="s">
        <v>14</v>
      </c>
      <c r="F216" s="2" t="s">
        <v>27</v>
      </c>
      <c r="G216" s="4">
        <v>157835</v>
      </c>
      <c r="H216" s="5" t="s">
        <v>82</v>
      </c>
      <c r="I216" s="4">
        <v>0</v>
      </c>
      <c r="J216" s="6">
        <v>44597</v>
      </c>
      <c r="K216" t="str">
        <f t="shared" si="6"/>
        <v>Q1 2022</v>
      </c>
      <c r="L216" t="str">
        <f t="shared" si="7"/>
        <v>Q1 2022</v>
      </c>
    </row>
    <row r="217" spans="1:12" ht="15.75" customHeight="1" x14ac:dyDescent="0.3">
      <c r="A217" s="2" t="s">
        <v>384</v>
      </c>
      <c r="B217" s="2" t="s">
        <v>11</v>
      </c>
      <c r="C217" s="2" t="s">
        <v>12</v>
      </c>
      <c r="D217" s="2" t="s">
        <v>13</v>
      </c>
      <c r="E217" s="2" t="s">
        <v>14</v>
      </c>
      <c r="F217" s="2" t="s">
        <v>46</v>
      </c>
      <c r="G217" s="4">
        <v>187470</v>
      </c>
      <c r="H217" s="5" t="s">
        <v>25</v>
      </c>
      <c r="I217" s="4">
        <v>0</v>
      </c>
      <c r="J217" s="6">
        <v>44603</v>
      </c>
      <c r="K217" t="str">
        <f t="shared" si="6"/>
        <v>Q1 2022</v>
      </c>
      <c r="L217" t="str">
        <f t="shared" si="7"/>
        <v>Q1 2022</v>
      </c>
    </row>
    <row r="218" spans="1:12" ht="15.75" customHeight="1" x14ac:dyDescent="0.3">
      <c r="A218" s="2" t="s">
        <v>385</v>
      </c>
      <c r="B218" s="2" t="s">
        <v>11</v>
      </c>
      <c r="C218" s="2" t="s">
        <v>12</v>
      </c>
      <c r="D218" s="2" t="s">
        <v>13</v>
      </c>
      <c r="E218" s="2" t="s">
        <v>14</v>
      </c>
      <c r="F218" s="2" t="s">
        <v>27</v>
      </c>
      <c r="G218" s="4">
        <v>102196</v>
      </c>
      <c r="H218" s="6">
        <v>44663</v>
      </c>
      <c r="I218" s="4">
        <v>0</v>
      </c>
      <c r="J218" s="6">
        <v>44959</v>
      </c>
      <c r="K218" t="str">
        <f t="shared" si="6"/>
        <v>Q1 2023</v>
      </c>
      <c r="L218" t="str">
        <f t="shared" si="7"/>
        <v>Q1 2023</v>
      </c>
    </row>
    <row r="219" spans="1:12" ht="15.75" customHeight="1" x14ac:dyDescent="0.3">
      <c r="A219" s="2" t="s">
        <v>386</v>
      </c>
      <c r="B219" s="2" t="s">
        <v>11</v>
      </c>
      <c r="C219" s="2" t="s">
        <v>12</v>
      </c>
      <c r="D219" s="2" t="s">
        <v>13</v>
      </c>
      <c r="E219" s="2" t="s">
        <v>14</v>
      </c>
      <c r="F219" s="2" t="s">
        <v>27</v>
      </c>
      <c r="G219" s="4">
        <v>100539</v>
      </c>
      <c r="H219" s="5" t="s">
        <v>322</v>
      </c>
      <c r="I219" s="4">
        <v>0</v>
      </c>
      <c r="J219" s="6">
        <v>44594</v>
      </c>
      <c r="K219" t="str">
        <f t="shared" si="6"/>
        <v>Q1 2022</v>
      </c>
      <c r="L219" t="str">
        <f t="shared" si="7"/>
        <v>Q1 2022</v>
      </c>
    </row>
    <row r="220" spans="1:12" ht="15.75" customHeight="1" x14ac:dyDescent="0.3">
      <c r="A220" s="2" t="s">
        <v>387</v>
      </c>
      <c r="B220" s="2" t="s">
        <v>11</v>
      </c>
      <c r="C220" s="2" t="s">
        <v>12</v>
      </c>
      <c r="D220" s="2" t="s">
        <v>13</v>
      </c>
      <c r="E220" s="2" t="s">
        <v>14</v>
      </c>
      <c r="F220" s="2" t="s">
        <v>46</v>
      </c>
      <c r="G220" s="4">
        <v>76925</v>
      </c>
      <c r="H220" s="6">
        <v>44623</v>
      </c>
      <c r="I220" s="4">
        <v>0</v>
      </c>
      <c r="J220" s="6">
        <v>44597</v>
      </c>
      <c r="K220" t="str">
        <f t="shared" si="6"/>
        <v>Q1 2022</v>
      </c>
      <c r="L220" t="str">
        <f t="shared" si="7"/>
        <v>Q1 2022</v>
      </c>
    </row>
    <row r="221" spans="1:12" ht="15.75" customHeight="1" x14ac:dyDescent="0.3">
      <c r="A221" s="2" t="s">
        <v>388</v>
      </c>
      <c r="B221" s="2" t="s">
        <v>20</v>
      </c>
      <c r="C221" s="2" t="s">
        <v>21</v>
      </c>
      <c r="D221" s="2" t="s">
        <v>13</v>
      </c>
      <c r="E221" s="2" t="s">
        <v>14</v>
      </c>
      <c r="F221" s="2" t="s">
        <v>27</v>
      </c>
      <c r="G221" s="4">
        <v>110085</v>
      </c>
      <c r="H221" s="6">
        <v>44385</v>
      </c>
      <c r="I221" s="4">
        <v>110085</v>
      </c>
      <c r="J221" s="5" t="s">
        <v>389</v>
      </c>
      <c r="K221" t="str">
        <f t="shared" si="6"/>
        <v>Q3 2021</v>
      </c>
      <c r="L221" t="str">
        <f t="shared" si="7"/>
        <v>Q3 2021</v>
      </c>
    </row>
    <row r="222" spans="1:12" ht="15.75" customHeight="1" x14ac:dyDescent="0.3">
      <c r="A222" s="2" t="s">
        <v>390</v>
      </c>
      <c r="B222" s="2" t="s">
        <v>20</v>
      </c>
      <c r="C222" s="2" t="s">
        <v>57</v>
      </c>
      <c r="D222" s="2" t="s">
        <v>13</v>
      </c>
      <c r="E222" s="2" t="s">
        <v>14</v>
      </c>
      <c r="F222" s="2" t="s">
        <v>391</v>
      </c>
      <c r="G222" s="4">
        <v>83580</v>
      </c>
      <c r="H222" s="6">
        <v>44721</v>
      </c>
      <c r="I222" s="4">
        <v>41790</v>
      </c>
      <c r="J222" s="6">
        <v>44692</v>
      </c>
      <c r="K222" t="str">
        <f t="shared" si="6"/>
        <v>Q2 2022</v>
      </c>
      <c r="L222" t="str">
        <f t="shared" si="7"/>
        <v>Q2 2022</v>
      </c>
    </row>
    <row r="223" spans="1:12" ht="15.75" customHeight="1" x14ac:dyDescent="0.3">
      <c r="A223" s="2" t="s">
        <v>392</v>
      </c>
      <c r="B223" s="2" t="s">
        <v>11</v>
      </c>
      <c r="C223" s="2" t="s">
        <v>12</v>
      </c>
      <c r="D223" s="2" t="s">
        <v>13</v>
      </c>
      <c r="E223" s="2" t="s">
        <v>14</v>
      </c>
      <c r="F223" s="2" t="s">
        <v>46</v>
      </c>
      <c r="G223" s="2"/>
      <c r="H223" s="5" t="s">
        <v>212</v>
      </c>
      <c r="I223" s="4">
        <v>0</v>
      </c>
      <c r="J223" s="6">
        <v>44597</v>
      </c>
      <c r="K223" t="str">
        <f t="shared" si="6"/>
        <v>Q1 2022</v>
      </c>
      <c r="L223" t="str">
        <f t="shared" si="7"/>
        <v>Q1 2022</v>
      </c>
    </row>
    <row r="224" spans="1:12" ht="15.75" customHeight="1" x14ac:dyDescent="0.3">
      <c r="A224" s="2" t="s">
        <v>393</v>
      </c>
      <c r="B224" s="2" t="s">
        <v>11</v>
      </c>
      <c r="C224" s="2" t="s">
        <v>12</v>
      </c>
      <c r="D224" s="2" t="s">
        <v>13</v>
      </c>
      <c r="E224" s="2" t="s">
        <v>14</v>
      </c>
      <c r="F224" s="2" t="s">
        <v>15</v>
      </c>
      <c r="G224" s="4">
        <v>42045</v>
      </c>
      <c r="H224" s="5" t="s">
        <v>179</v>
      </c>
      <c r="I224" s="4">
        <v>0</v>
      </c>
      <c r="J224" s="6">
        <v>44594</v>
      </c>
      <c r="K224" t="str">
        <f t="shared" si="6"/>
        <v>Q1 2022</v>
      </c>
      <c r="L224" t="str">
        <f t="shared" si="7"/>
        <v>Q1 2022</v>
      </c>
    </row>
    <row r="225" spans="1:12" ht="15.75" customHeight="1" x14ac:dyDescent="0.3">
      <c r="A225" s="2" t="s">
        <v>394</v>
      </c>
      <c r="B225" s="2" t="s">
        <v>20</v>
      </c>
      <c r="C225" s="2" t="s">
        <v>21</v>
      </c>
      <c r="D225" s="2" t="s">
        <v>13</v>
      </c>
      <c r="E225" s="2" t="s">
        <v>14</v>
      </c>
      <c r="F225" s="2" t="s">
        <v>395</v>
      </c>
      <c r="G225" s="4">
        <v>72988</v>
      </c>
      <c r="H225" s="5" t="s">
        <v>396</v>
      </c>
      <c r="I225" s="4">
        <v>4055</v>
      </c>
      <c r="J225" s="5" t="s">
        <v>397</v>
      </c>
      <c r="K225" t="str">
        <f t="shared" si="6"/>
        <v>Q1 2022</v>
      </c>
      <c r="L225" t="str">
        <f t="shared" si="7"/>
        <v>Q1 2022</v>
      </c>
    </row>
    <row r="226" spans="1:12" ht="15.75" customHeight="1" x14ac:dyDescent="0.3">
      <c r="A226" s="2" t="s">
        <v>398</v>
      </c>
      <c r="B226" s="2" t="s">
        <v>11</v>
      </c>
      <c r="C226" s="2" t="s">
        <v>12</v>
      </c>
      <c r="D226" s="2" t="s">
        <v>13</v>
      </c>
      <c r="E226" s="2" t="s">
        <v>14</v>
      </c>
      <c r="F226" s="2" t="s">
        <v>15</v>
      </c>
      <c r="G226" s="4">
        <v>203733</v>
      </c>
      <c r="H226" s="5" t="s">
        <v>42</v>
      </c>
      <c r="I226" s="4">
        <v>0</v>
      </c>
      <c r="J226" s="6">
        <v>44603</v>
      </c>
      <c r="K226" t="str">
        <f t="shared" si="6"/>
        <v>Q1 2022</v>
      </c>
      <c r="L226" t="str">
        <f t="shared" si="7"/>
        <v>Q1 2022</v>
      </c>
    </row>
    <row r="227" spans="1:12" ht="15.75" customHeight="1" x14ac:dyDescent="0.3">
      <c r="A227" s="2" t="s">
        <v>399</v>
      </c>
      <c r="B227" s="2" t="s">
        <v>11</v>
      </c>
      <c r="C227" s="2" t="s">
        <v>12</v>
      </c>
      <c r="D227" s="2" t="s">
        <v>13</v>
      </c>
      <c r="E227" s="2" t="s">
        <v>14</v>
      </c>
      <c r="F227" s="2" t="s">
        <v>27</v>
      </c>
      <c r="G227" s="4">
        <v>172921</v>
      </c>
      <c r="H227" s="5" t="s">
        <v>25</v>
      </c>
      <c r="I227" s="4">
        <v>0</v>
      </c>
      <c r="J227" s="6">
        <v>44603</v>
      </c>
      <c r="K227" t="str">
        <f t="shared" si="6"/>
        <v>Q1 2022</v>
      </c>
      <c r="L227" t="str">
        <f t="shared" si="7"/>
        <v>Q1 2022</v>
      </c>
    </row>
    <row r="228" spans="1:12" ht="15.75" customHeight="1" x14ac:dyDescent="0.3">
      <c r="A228" s="2" t="s">
        <v>400</v>
      </c>
      <c r="B228" s="2" t="s">
        <v>11</v>
      </c>
      <c r="C228" s="2" t="s">
        <v>12</v>
      </c>
      <c r="D228" s="2" t="s">
        <v>13</v>
      </c>
      <c r="E228" s="2" t="s">
        <v>14</v>
      </c>
      <c r="F228" s="2" t="s">
        <v>401</v>
      </c>
      <c r="G228" s="4">
        <v>56858</v>
      </c>
      <c r="H228" s="6">
        <v>44603</v>
      </c>
      <c r="I228" s="4">
        <v>0</v>
      </c>
      <c r="J228" s="6">
        <v>44604</v>
      </c>
      <c r="K228" t="str">
        <f t="shared" si="6"/>
        <v>Q1 2022</v>
      </c>
      <c r="L228" t="str">
        <f t="shared" si="7"/>
        <v>Q1 2022</v>
      </c>
    </row>
    <row r="229" spans="1:12" ht="15.75" customHeight="1" x14ac:dyDescent="0.3">
      <c r="A229" s="2" t="s">
        <v>402</v>
      </c>
      <c r="B229" s="2" t="s">
        <v>11</v>
      </c>
      <c r="C229" s="2" t="s">
        <v>12</v>
      </c>
      <c r="D229" s="2" t="s">
        <v>13</v>
      </c>
      <c r="E229" s="2" t="s">
        <v>14</v>
      </c>
      <c r="F229" s="2" t="s">
        <v>46</v>
      </c>
      <c r="G229" s="4">
        <v>76983</v>
      </c>
      <c r="H229" s="5" t="s">
        <v>42</v>
      </c>
      <c r="I229" s="4">
        <v>0</v>
      </c>
      <c r="J229" s="6">
        <v>44603</v>
      </c>
      <c r="K229" t="str">
        <f t="shared" si="6"/>
        <v>Q1 2022</v>
      </c>
      <c r="L229" t="str">
        <f t="shared" si="7"/>
        <v>Q1 2022</v>
      </c>
    </row>
    <row r="230" spans="1:12" ht="15.75" customHeight="1" x14ac:dyDescent="0.3">
      <c r="A230" s="2" t="s">
        <v>403</v>
      </c>
      <c r="B230" s="2" t="s">
        <v>11</v>
      </c>
      <c r="C230" s="2" t="s">
        <v>12</v>
      </c>
      <c r="D230" s="2" t="s">
        <v>13</v>
      </c>
      <c r="E230" s="2" t="s">
        <v>14</v>
      </c>
      <c r="F230" s="2" t="s">
        <v>46</v>
      </c>
      <c r="G230" s="4">
        <v>43881</v>
      </c>
      <c r="H230" s="5" t="s">
        <v>232</v>
      </c>
      <c r="I230" s="4">
        <v>0</v>
      </c>
      <c r="J230" s="6">
        <v>44594</v>
      </c>
      <c r="K230" t="str">
        <f t="shared" si="6"/>
        <v>Q1 2022</v>
      </c>
      <c r="L230" t="str">
        <f t="shared" si="7"/>
        <v>Q1 2022</v>
      </c>
    </row>
    <row r="231" spans="1:12" ht="15.75" customHeight="1" x14ac:dyDescent="0.3">
      <c r="A231" s="2" t="s">
        <v>404</v>
      </c>
      <c r="B231" s="2" t="s">
        <v>11</v>
      </c>
      <c r="C231" s="2" t="s">
        <v>12</v>
      </c>
      <c r="D231" s="2" t="s">
        <v>13</v>
      </c>
      <c r="E231" s="2" t="s">
        <v>14</v>
      </c>
      <c r="F231" s="2" t="s">
        <v>46</v>
      </c>
      <c r="G231" s="4">
        <v>88013</v>
      </c>
      <c r="H231" s="6">
        <v>44836</v>
      </c>
      <c r="I231" s="4">
        <v>0</v>
      </c>
      <c r="J231" s="6">
        <v>44595</v>
      </c>
      <c r="K231" t="str">
        <f t="shared" si="6"/>
        <v>Q1 2022</v>
      </c>
      <c r="L231" t="str">
        <f t="shared" si="7"/>
        <v>Q1 2022</v>
      </c>
    </row>
    <row r="232" spans="1:12" ht="15.75" customHeight="1" x14ac:dyDescent="0.3">
      <c r="A232" s="2" t="s">
        <v>405</v>
      </c>
      <c r="B232" s="2" t="s">
        <v>11</v>
      </c>
      <c r="C232" s="2" t="s">
        <v>12</v>
      </c>
      <c r="D232" s="2" t="s">
        <v>13</v>
      </c>
      <c r="E232" s="2" t="s">
        <v>22</v>
      </c>
      <c r="F232" s="2" t="s">
        <v>406</v>
      </c>
      <c r="G232" s="4">
        <v>92126</v>
      </c>
      <c r="H232" s="5" t="s">
        <v>232</v>
      </c>
      <c r="I232" s="4">
        <v>0</v>
      </c>
      <c r="J232" s="6">
        <v>44594</v>
      </c>
      <c r="K232" t="str">
        <f t="shared" si="6"/>
        <v>Q1 2022</v>
      </c>
      <c r="L232" t="str">
        <f t="shared" si="7"/>
        <v>Q1 2022</v>
      </c>
    </row>
    <row r="233" spans="1:12" ht="15.75" customHeight="1" x14ac:dyDescent="0.3">
      <c r="A233" s="2" t="s">
        <v>407</v>
      </c>
      <c r="B233" s="2" t="s">
        <v>20</v>
      </c>
      <c r="C233" s="2" t="s">
        <v>57</v>
      </c>
      <c r="D233" s="2" t="s">
        <v>13</v>
      </c>
      <c r="E233" s="2" t="s">
        <v>14</v>
      </c>
      <c r="F233" s="2" t="s">
        <v>15</v>
      </c>
      <c r="G233" s="4">
        <v>106692</v>
      </c>
      <c r="H233" s="5" t="s">
        <v>408</v>
      </c>
      <c r="I233" s="4">
        <v>53346</v>
      </c>
      <c r="J233" s="6">
        <v>44693</v>
      </c>
      <c r="K233" t="str">
        <f t="shared" si="6"/>
        <v>Q2 2022</v>
      </c>
      <c r="L233" t="str">
        <f t="shared" si="7"/>
        <v>Q2 2022</v>
      </c>
    </row>
    <row r="234" spans="1:12" ht="15.75" customHeight="1" x14ac:dyDescent="0.3">
      <c r="A234" s="2" t="s">
        <v>409</v>
      </c>
      <c r="B234" s="2" t="s">
        <v>11</v>
      </c>
      <c r="C234" s="2" t="s">
        <v>12</v>
      </c>
      <c r="D234" s="2" t="s">
        <v>13</v>
      </c>
      <c r="E234" s="2" t="s">
        <v>14</v>
      </c>
      <c r="F234" s="2" t="s">
        <v>70</v>
      </c>
      <c r="G234" s="4">
        <v>133858</v>
      </c>
      <c r="H234" s="5" t="s">
        <v>71</v>
      </c>
      <c r="I234" s="4">
        <v>0</v>
      </c>
      <c r="J234" s="6">
        <v>44604</v>
      </c>
      <c r="K234" t="str">
        <f t="shared" si="6"/>
        <v>Q1 2022</v>
      </c>
      <c r="L234" t="str">
        <f t="shared" si="7"/>
        <v>Q1 2022</v>
      </c>
    </row>
    <row r="235" spans="1:12" ht="15.75" customHeight="1" x14ac:dyDescent="0.3">
      <c r="A235" s="2" t="s">
        <v>410</v>
      </c>
      <c r="B235" s="2" t="s">
        <v>11</v>
      </c>
      <c r="C235" s="2" t="s">
        <v>12</v>
      </c>
      <c r="D235" s="2" t="s">
        <v>13</v>
      </c>
      <c r="E235" s="2" t="s">
        <v>14</v>
      </c>
      <c r="F235" s="2" t="s">
        <v>411</v>
      </c>
      <c r="G235" s="4">
        <v>368455</v>
      </c>
      <c r="H235" s="5" t="s">
        <v>42</v>
      </c>
      <c r="I235" s="4">
        <v>0</v>
      </c>
      <c r="J235" s="6">
        <v>44603</v>
      </c>
      <c r="K235" t="str">
        <f t="shared" si="6"/>
        <v>Q1 2022</v>
      </c>
      <c r="L235" t="str">
        <f t="shared" si="7"/>
        <v>Q1 2022</v>
      </c>
    </row>
    <row r="236" spans="1:12" ht="15.75" customHeight="1" x14ac:dyDescent="0.3">
      <c r="A236" s="2" t="s">
        <v>412</v>
      </c>
      <c r="B236" s="2" t="s">
        <v>11</v>
      </c>
      <c r="C236" s="2" t="s">
        <v>12</v>
      </c>
      <c r="D236" s="2" t="s">
        <v>13</v>
      </c>
      <c r="E236" s="2" t="s">
        <v>14</v>
      </c>
      <c r="F236" s="2" t="s">
        <v>46</v>
      </c>
      <c r="G236" s="4">
        <v>107211</v>
      </c>
      <c r="H236" s="5" t="s">
        <v>30</v>
      </c>
      <c r="I236" s="4">
        <v>0</v>
      </c>
      <c r="J236" s="6">
        <v>44603</v>
      </c>
      <c r="K236" t="str">
        <f t="shared" si="6"/>
        <v>Q1 2022</v>
      </c>
      <c r="L236" t="str">
        <f t="shared" si="7"/>
        <v>Q1 2022</v>
      </c>
    </row>
    <row r="237" spans="1:12" ht="15.75" customHeight="1" x14ac:dyDescent="0.3">
      <c r="A237" s="2" t="s">
        <v>413</v>
      </c>
      <c r="B237" s="2" t="s">
        <v>11</v>
      </c>
      <c r="C237" s="2" t="s">
        <v>12</v>
      </c>
      <c r="D237" s="2" t="s">
        <v>13</v>
      </c>
      <c r="E237" s="2" t="s">
        <v>14</v>
      </c>
      <c r="F237" s="2" t="s">
        <v>46</v>
      </c>
      <c r="G237" s="4">
        <v>115087</v>
      </c>
      <c r="H237" s="6">
        <v>44598</v>
      </c>
      <c r="I237" s="4">
        <v>0</v>
      </c>
      <c r="J237" s="6">
        <v>44599</v>
      </c>
      <c r="K237" t="str">
        <f t="shared" si="6"/>
        <v>Q1 2022</v>
      </c>
      <c r="L237" t="str">
        <f t="shared" si="7"/>
        <v>Q1 2022</v>
      </c>
    </row>
    <row r="238" spans="1:12" ht="15.75" customHeight="1" x14ac:dyDescent="0.3">
      <c r="A238" s="2" t="s">
        <v>414</v>
      </c>
      <c r="B238" s="2" t="s">
        <v>11</v>
      </c>
      <c r="C238" s="2" t="s">
        <v>12</v>
      </c>
      <c r="D238" s="2" t="s">
        <v>13</v>
      </c>
      <c r="E238" s="2" t="s">
        <v>14</v>
      </c>
      <c r="F238" s="2" t="s">
        <v>15</v>
      </c>
      <c r="G238" s="4">
        <v>104166</v>
      </c>
      <c r="H238" s="6">
        <v>44630</v>
      </c>
      <c r="I238" s="4">
        <v>0</v>
      </c>
      <c r="J238" s="6">
        <v>44603</v>
      </c>
      <c r="K238" t="str">
        <f t="shared" si="6"/>
        <v>Q1 2022</v>
      </c>
      <c r="L238" t="str">
        <f t="shared" si="7"/>
        <v>Q1 2022</v>
      </c>
    </row>
    <row r="239" spans="1:12" ht="15.75" customHeight="1" x14ac:dyDescent="0.3">
      <c r="A239" s="2" t="s">
        <v>415</v>
      </c>
      <c r="B239" s="2" t="s">
        <v>11</v>
      </c>
      <c r="C239" s="2" t="s">
        <v>12</v>
      </c>
      <c r="D239" s="2" t="s">
        <v>13</v>
      </c>
      <c r="E239" s="2" t="s">
        <v>22</v>
      </c>
      <c r="F239" s="2" t="s">
        <v>416</v>
      </c>
      <c r="G239" s="4">
        <v>143497</v>
      </c>
      <c r="H239" s="6">
        <v>44629</v>
      </c>
      <c r="I239" s="4">
        <v>0</v>
      </c>
      <c r="J239" s="6">
        <v>44603</v>
      </c>
      <c r="K239" t="str">
        <f t="shared" si="6"/>
        <v>Q1 2022</v>
      </c>
      <c r="L239" t="str">
        <f t="shared" si="7"/>
        <v>Q1 2022</v>
      </c>
    </row>
    <row r="240" spans="1:12" ht="15.75" customHeight="1" x14ac:dyDescent="0.3">
      <c r="A240" s="2" t="s">
        <v>417</v>
      </c>
      <c r="B240" s="2" t="s">
        <v>11</v>
      </c>
      <c r="C240" s="2" t="s">
        <v>12</v>
      </c>
      <c r="D240" s="2" t="s">
        <v>13</v>
      </c>
      <c r="E240" s="2" t="s">
        <v>14</v>
      </c>
      <c r="F240" s="2" t="s">
        <v>46</v>
      </c>
      <c r="G240" s="4">
        <v>127427</v>
      </c>
      <c r="H240" s="6">
        <v>44899</v>
      </c>
      <c r="I240" s="4">
        <v>0</v>
      </c>
      <c r="J240" s="6">
        <v>44597</v>
      </c>
      <c r="K240" t="str">
        <f t="shared" si="6"/>
        <v>Q1 2022</v>
      </c>
      <c r="L240" t="str">
        <f t="shared" si="7"/>
        <v>Q1 2022</v>
      </c>
    </row>
    <row r="241" spans="1:12" ht="15.75" customHeight="1" x14ac:dyDescent="0.3">
      <c r="A241" s="2" t="s">
        <v>418</v>
      </c>
      <c r="B241" s="2" t="s">
        <v>11</v>
      </c>
      <c r="C241" s="2" t="s">
        <v>12</v>
      </c>
      <c r="D241" s="2" t="s">
        <v>13</v>
      </c>
      <c r="E241" s="2" t="s">
        <v>14</v>
      </c>
      <c r="F241" s="2" t="s">
        <v>15</v>
      </c>
      <c r="G241" s="4">
        <v>355370</v>
      </c>
      <c r="H241" s="5" t="s">
        <v>419</v>
      </c>
      <c r="I241" s="4">
        <v>0</v>
      </c>
      <c r="J241" s="6">
        <v>44962</v>
      </c>
      <c r="K241" t="str">
        <f t="shared" si="6"/>
        <v>Q1 2023</v>
      </c>
      <c r="L241" t="str">
        <f t="shared" si="7"/>
        <v>Q1 2023</v>
      </c>
    </row>
    <row r="242" spans="1:12" ht="15.75" customHeight="1" x14ac:dyDescent="0.3">
      <c r="A242" s="2" t="s">
        <v>420</v>
      </c>
      <c r="B242" s="2" t="s">
        <v>11</v>
      </c>
      <c r="C242" s="2" t="s">
        <v>12</v>
      </c>
      <c r="D242" s="2" t="s">
        <v>13</v>
      </c>
      <c r="E242" s="2" t="s">
        <v>14</v>
      </c>
      <c r="F242" s="2" t="s">
        <v>27</v>
      </c>
      <c r="G242" s="4">
        <v>191190</v>
      </c>
      <c r="H242" s="6">
        <v>44596</v>
      </c>
      <c r="I242" s="4">
        <v>0</v>
      </c>
      <c r="J242" s="6">
        <v>44597</v>
      </c>
      <c r="K242" t="str">
        <f t="shared" si="6"/>
        <v>Q1 2022</v>
      </c>
      <c r="L242" t="str">
        <f t="shared" si="7"/>
        <v>Q1 2022</v>
      </c>
    </row>
    <row r="243" spans="1:12" ht="15.75" customHeight="1" x14ac:dyDescent="0.3">
      <c r="A243" s="2" t="s">
        <v>421</v>
      </c>
      <c r="B243" s="2" t="s">
        <v>20</v>
      </c>
      <c r="C243" s="2" t="s">
        <v>21</v>
      </c>
      <c r="D243" s="2" t="s">
        <v>13</v>
      </c>
      <c r="E243" s="2" t="s">
        <v>14</v>
      </c>
      <c r="F243" s="2" t="s">
        <v>85</v>
      </c>
      <c r="G243" s="4">
        <v>209817</v>
      </c>
      <c r="H243" s="5" t="s">
        <v>422</v>
      </c>
      <c r="I243" s="4">
        <v>104909</v>
      </c>
      <c r="J243" s="5" t="s">
        <v>301</v>
      </c>
      <c r="K243" t="str">
        <f t="shared" si="6"/>
        <v>Q4 2022</v>
      </c>
      <c r="L243" t="str">
        <f t="shared" si="7"/>
        <v>Q4 2022</v>
      </c>
    </row>
    <row r="244" spans="1:12" ht="15.75" customHeight="1" x14ac:dyDescent="0.3">
      <c r="A244" s="2" t="s">
        <v>423</v>
      </c>
      <c r="B244" s="2" t="s">
        <v>11</v>
      </c>
      <c r="C244" s="2" t="s">
        <v>12</v>
      </c>
      <c r="D244" s="2" t="s">
        <v>13</v>
      </c>
      <c r="E244" s="2" t="s">
        <v>14</v>
      </c>
      <c r="F244" s="2" t="s">
        <v>424</v>
      </c>
      <c r="G244" s="4">
        <v>49625</v>
      </c>
      <c r="H244" s="5" t="s">
        <v>30</v>
      </c>
      <c r="I244" s="4">
        <v>0</v>
      </c>
      <c r="J244" s="6">
        <v>44603</v>
      </c>
      <c r="K244" t="str">
        <f t="shared" si="6"/>
        <v>Q1 2022</v>
      </c>
      <c r="L244" t="str">
        <f t="shared" si="7"/>
        <v>Q1 2022</v>
      </c>
    </row>
    <row r="245" spans="1:12" ht="15.75" customHeight="1" x14ac:dyDescent="0.3">
      <c r="A245" s="2" t="s">
        <v>425</v>
      </c>
      <c r="B245" s="2" t="s">
        <v>11</v>
      </c>
      <c r="C245" s="2" t="s">
        <v>12</v>
      </c>
      <c r="D245" s="2" t="s">
        <v>13</v>
      </c>
      <c r="E245" s="2" t="s">
        <v>14</v>
      </c>
      <c r="F245" s="2" t="s">
        <v>46</v>
      </c>
      <c r="G245" s="4">
        <v>101488</v>
      </c>
      <c r="H245" s="6">
        <v>44630</v>
      </c>
      <c r="I245" s="4">
        <v>0</v>
      </c>
      <c r="J245" s="6">
        <v>44603</v>
      </c>
      <c r="K245" t="str">
        <f t="shared" si="6"/>
        <v>Q1 2022</v>
      </c>
      <c r="L245" t="str">
        <f t="shared" si="7"/>
        <v>Q1 2022</v>
      </c>
    </row>
    <row r="246" spans="1:12" ht="15.75" customHeight="1" x14ac:dyDescent="0.3">
      <c r="A246" s="2" t="s">
        <v>426</v>
      </c>
      <c r="B246" s="2" t="s">
        <v>20</v>
      </c>
      <c r="C246" s="2" t="s">
        <v>21</v>
      </c>
      <c r="D246" s="2" t="s">
        <v>13</v>
      </c>
      <c r="E246" s="2" t="s">
        <v>14</v>
      </c>
      <c r="F246" s="2" t="s">
        <v>427</v>
      </c>
      <c r="G246" s="4">
        <v>101400</v>
      </c>
      <c r="H246" s="6">
        <v>44782</v>
      </c>
      <c r="I246" s="4">
        <v>50700</v>
      </c>
      <c r="J246" s="5" t="s">
        <v>301</v>
      </c>
      <c r="K246" t="str">
        <f t="shared" si="6"/>
        <v>Q4 2022</v>
      </c>
      <c r="L246" t="str">
        <f t="shared" si="7"/>
        <v>Q4 2022</v>
      </c>
    </row>
    <row r="247" spans="1:12" ht="15.75" customHeight="1" x14ac:dyDescent="0.3">
      <c r="A247" s="2" t="s">
        <v>428</v>
      </c>
      <c r="B247" s="2" t="s">
        <v>11</v>
      </c>
      <c r="C247" s="2" t="s">
        <v>12</v>
      </c>
      <c r="D247" s="2" t="s">
        <v>13</v>
      </c>
      <c r="E247" s="2" t="s">
        <v>14</v>
      </c>
      <c r="F247" s="2" t="s">
        <v>46</v>
      </c>
      <c r="G247" s="4">
        <v>67715</v>
      </c>
      <c r="H247" s="5" t="s">
        <v>322</v>
      </c>
      <c r="I247" s="4">
        <v>0</v>
      </c>
      <c r="J247" s="6">
        <v>44594</v>
      </c>
      <c r="K247" t="str">
        <f t="shared" si="6"/>
        <v>Q1 2022</v>
      </c>
      <c r="L247" t="str">
        <f t="shared" si="7"/>
        <v>Q1 2022</v>
      </c>
    </row>
    <row r="248" spans="1:12" ht="15.75" customHeight="1" x14ac:dyDescent="0.3">
      <c r="A248" s="2" t="s">
        <v>429</v>
      </c>
      <c r="B248" s="2" t="s">
        <v>11</v>
      </c>
      <c r="C248" s="2" t="s">
        <v>12</v>
      </c>
      <c r="D248" s="2" t="s">
        <v>13</v>
      </c>
      <c r="E248" s="2" t="s">
        <v>14</v>
      </c>
      <c r="F248" s="2" t="s">
        <v>44</v>
      </c>
      <c r="G248" s="4">
        <v>80523</v>
      </c>
      <c r="H248" s="5" t="s">
        <v>16</v>
      </c>
      <c r="I248" s="4">
        <v>0</v>
      </c>
      <c r="J248" s="6">
        <v>44597</v>
      </c>
      <c r="K248" t="str">
        <f t="shared" si="6"/>
        <v>Q1 2022</v>
      </c>
      <c r="L248" t="str">
        <f t="shared" si="7"/>
        <v>Q1 2022</v>
      </c>
    </row>
    <row r="249" spans="1:12" ht="15.75" customHeight="1" x14ac:dyDescent="0.3">
      <c r="A249" s="2" t="s">
        <v>430</v>
      </c>
      <c r="B249" s="2" t="s">
        <v>11</v>
      </c>
      <c r="C249" s="2" t="s">
        <v>12</v>
      </c>
      <c r="D249" s="2" t="s">
        <v>13</v>
      </c>
      <c r="E249" s="2" t="s">
        <v>14</v>
      </c>
      <c r="F249" s="2" t="s">
        <v>431</v>
      </c>
      <c r="G249" s="4">
        <v>67742</v>
      </c>
      <c r="H249" s="6">
        <v>44629</v>
      </c>
      <c r="I249" s="4">
        <v>0</v>
      </c>
      <c r="J249" s="6">
        <v>44603</v>
      </c>
      <c r="K249" t="str">
        <f t="shared" si="6"/>
        <v>Q1 2022</v>
      </c>
      <c r="L249" t="str">
        <f t="shared" si="7"/>
        <v>Q1 2022</v>
      </c>
    </row>
    <row r="250" spans="1:12" ht="15.75" customHeight="1" x14ac:dyDescent="0.3">
      <c r="A250" s="2" t="s">
        <v>432</v>
      </c>
      <c r="B250" s="2" t="s">
        <v>11</v>
      </c>
      <c r="C250" s="2" t="s">
        <v>12</v>
      </c>
      <c r="D250" s="2" t="s">
        <v>13</v>
      </c>
      <c r="E250" s="2" t="s">
        <v>14</v>
      </c>
      <c r="F250" s="2" t="s">
        <v>15</v>
      </c>
      <c r="G250" s="4">
        <v>96217</v>
      </c>
      <c r="H250" s="5" t="s">
        <v>309</v>
      </c>
      <c r="I250" s="4">
        <v>0</v>
      </c>
      <c r="J250" s="6">
        <v>44594</v>
      </c>
      <c r="K250" t="str">
        <f t="shared" si="6"/>
        <v>Q1 2022</v>
      </c>
      <c r="L250" t="str">
        <f t="shared" si="7"/>
        <v>Q1 2022</v>
      </c>
    </row>
    <row r="251" spans="1:12" ht="15.75" customHeight="1" x14ac:dyDescent="0.3">
      <c r="A251" s="2" t="s">
        <v>433</v>
      </c>
      <c r="B251" s="2" t="s">
        <v>11</v>
      </c>
      <c r="C251" s="2" t="s">
        <v>12</v>
      </c>
      <c r="D251" s="2" t="s">
        <v>13</v>
      </c>
      <c r="E251" s="2" t="s">
        <v>14</v>
      </c>
      <c r="F251" s="2" t="s">
        <v>27</v>
      </c>
      <c r="G251" s="4">
        <v>90293</v>
      </c>
      <c r="H251" s="5" t="s">
        <v>434</v>
      </c>
      <c r="I251" s="4">
        <v>0</v>
      </c>
      <c r="J251" s="6">
        <v>44963</v>
      </c>
      <c r="K251" t="str">
        <f t="shared" si="6"/>
        <v>Q1 2023</v>
      </c>
      <c r="L251" t="str">
        <f t="shared" si="7"/>
        <v>Q1 2023</v>
      </c>
    </row>
    <row r="252" spans="1:12" ht="15.75" customHeight="1" x14ac:dyDescent="0.3">
      <c r="A252" s="2" t="s">
        <v>435</v>
      </c>
      <c r="B252" s="2" t="s">
        <v>11</v>
      </c>
      <c r="C252" s="2" t="s">
        <v>12</v>
      </c>
      <c r="D252" s="2" t="s">
        <v>13</v>
      </c>
      <c r="E252" s="2" t="s">
        <v>14</v>
      </c>
      <c r="F252" s="2" t="s">
        <v>436</v>
      </c>
      <c r="G252" s="4">
        <v>270429</v>
      </c>
      <c r="H252" s="5" t="s">
        <v>39</v>
      </c>
      <c r="I252" s="4">
        <v>0</v>
      </c>
      <c r="J252" s="6">
        <v>44603</v>
      </c>
      <c r="K252" t="str">
        <f t="shared" si="6"/>
        <v>Q1 2022</v>
      </c>
      <c r="L252" t="str">
        <f t="shared" si="7"/>
        <v>Q1 2022</v>
      </c>
    </row>
    <row r="253" spans="1:12" ht="15.75" customHeight="1" x14ac:dyDescent="0.3">
      <c r="A253" s="2" t="s">
        <v>437</v>
      </c>
      <c r="B253" s="2" t="s">
        <v>11</v>
      </c>
      <c r="C253" s="2" t="s">
        <v>12</v>
      </c>
      <c r="D253" s="2" t="s">
        <v>13</v>
      </c>
      <c r="E253" s="2" t="s">
        <v>14</v>
      </c>
      <c r="F253" s="2" t="s">
        <v>438</v>
      </c>
      <c r="G253" s="4">
        <v>63020</v>
      </c>
      <c r="H253" s="5" t="s">
        <v>439</v>
      </c>
      <c r="I253" s="4">
        <v>0</v>
      </c>
      <c r="J253" s="6">
        <v>44598</v>
      </c>
      <c r="K253" t="str">
        <f t="shared" si="6"/>
        <v>Q1 2022</v>
      </c>
      <c r="L253" t="str">
        <f t="shared" si="7"/>
        <v>Q1 2022</v>
      </c>
    </row>
    <row r="254" spans="1:12" ht="15.75" customHeight="1" x14ac:dyDescent="0.3">
      <c r="A254" s="2" t="s">
        <v>440</v>
      </c>
      <c r="B254" s="2" t="s">
        <v>11</v>
      </c>
      <c r="C254" s="2" t="s">
        <v>12</v>
      </c>
      <c r="D254" s="2" t="s">
        <v>13</v>
      </c>
      <c r="E254" s="2" t="s">
        <v>14</v>
      </c>
      <c r="F254" s="2" t="s">
        <v>15</v>
      </c>
      <c r="G254" s="4">
        <v>71125</v>
      </c>
      <c r="H254" s="5" t="s">
        <v>322</v>
      </c>
      <c r="I254" s="4">
        <v>0</v>
      </c>
      <c r="J254" s="6">
        <v>44594</v>
      </c>
      <c r="K254" t="str">
        <f t="shared" si="6"/>
        <v>Q1 2022</v>
      </c>
      <c r="L254" t="str">
        <f t="shared" si="7"/>
        <v>Q1 2022</v>
      </c>
    </row>
    <row r="255" spans="1:12" ht="15.75" customHeight="1" x14ac:dyDescent="0.3">
      <c r="A255" s="2" t="s">
        <v>441</v>
      </c>
      <c r="B255" s="2" t="s">
        <v>11</v>
      </c>
      <c r="C255" s="2" t="s">
        <v>12</v>
      </c>
      <c r="D255" s="2" t="s">
        <v>13</v>
      </c>
      <c r="E255" s="2" t="s">
        <v>14</v>
      </c>
      <c r="F255" s="2" t="s">
        <v>46</v>
      </c>
      <c r="G255" s="4">
        <v>48820</v>
      </c>
      <c r="H255" s="6">
        <v>44536</v>
      </c>
      <c r="I255" s="4">
        <v>0</v>
      </c>
      <c r="J255" s="6">
        <v>44204</v>
      </c>
      <c r="K255" t="str">
        <f t="shared" si="6"/>
        <v>Q1 2021</v>
      </c>
      <c r="L255" t="str">
        <f t="shared" si="7"/>
        <v>Q1 2021</v>
      </c>
    </row>
    <row r="256" spans="1:12" ht="15.75" customHeight="1" x14ac:dyDescent="0.3">
      <c r="A256" s="2" t="s">
        <v>442</v>
      </c>
      <c r="B256" s="2" t="s">
        <v>11</v>
      </c>
      <c r="C256" s="2" t="s">
        <v>12</v>
      </c>
      <c r="D256" s="2" t="s">
        <v>13</v>
      </c>
      <c r="E256" s="2" t="s">
        <v>14</v>
      </c>
      <c r="F256" s="2" t="s">
        <v>46</v>
      </c>
      <c r="G256" s="4">
        <v>118761</v>
      </c>
      <c r="H256" s="5" t="s">
        <v>121</v>
      </c>
      <c r="I256" s="4">
        <v>0</v>
      </c>
      <c r="J256" s="6">
        <v>44960</v>
      </c>
      <c r="K256" t="str">
        <f t="shared" si="6"/>
        <v>Q1 2023</v>
      </c>
      <c r="L256" t="str">
        <f t="shared" si="7"/>
        <v>Q1 2023</v>
      </c>
    </row>
    <row r="257" spans="1:12" ht="15.75" customHeight="1" x14ac:dyDescent="0.3">
      <c r="A257" s="2" t="s">
        <v>443</v>
      </c>
      <c r="B257" s="2" t="s">
        <v>11</v>
      </c>
      <c r="C257" s="2" t="s">
        <v>12</v>
      </c>
      <c r="D257" s="2" t="s">
        <v>13</v>
      </c>
      <c r="E257" s="2" t="s">
        <v>14</v>
      </c>
      <c r="F257" s="2" t="s">
        <v>444</v>
      </c>
      <c r="G257" s="4">
        <v>74208</v>
      </c>
      <c r="H257" s="6">
        <v>44629</v>
      </c>
      <c r="I257" s="4">
        <v>0</v>
      </c>
      <c r="J257" s="6">
        <v>44603</v>
      </c>
      <c r="K257" t="str">
        <f t="shared" si="6"/>
        <v>Q1 2022</v>
      </c>
      <c r="L257" t="str">
        <f t="shared" si="7"/>
        <v>Q1 2022</v>
      </c>
    </row>
    <row r="258" spans="1:12" ht="15.75" customHeight="1" x14ac:dyDescent="0.3">
      <c r="A258" s="2" t="s">
        <v>445</v>
      </c>
      <c r="B258" s="2" t="s">
        <v>11</v>
      </c>
      <c r="C258" s="2" t="s">
        <v>12</v>
      </c>
      <c r="D258" s="2" t="s">
        <v>13</v>
      </c>
      <c r="E258" s="2" t="s">
        <v>14</v>
      </c>
      <c r="F258" s="2" t="s">
        <v>350</v>
      </c>
      <c r="G258" s="4">
        <v>62337</v>
      </c>
      <c r="H258" s="5" t="s">
        <v>30</v>
      </c>
      <c r="I258" s="4">
        <v>0</v>
      </c>
      <c r="J258" s="6">
        <v>44603</v>
      </c>
      <c r="K258" t="str">
        <f t="shared" ref="K258:K321" si="8">"Q" &amp; ROUNDUP(MONTH(J:J)/3,0) &amp; " " &amp; YEAR(J:J)</f>
        <v>Q1 2022</v>
      </c>
      <c r="L258" t="str">
        <f t="shared" ref="L258:L321" si="9">"Q" &amp; ROUNDUP(MONTH(J:J)/3,0) &amp; " " &amp; YEAR(J:J)</f>
        <v>Q1 2022</v>
      </c>
    </row>
    <row r="259" spans="1:12" ht="15.75" customHeight="1" x14ac:dyDescent="0.3">
      <c r="A259" s="2" t="s">
        <v>446</v>
      </c>
      <c r="B259" s="2" t="s">
        <v>11</v>
      </c>
      <c r="C259" s="2" t="s">
        <v>12</v>
      </c>
      <c r="D259" s="2" t="s">
        <v>13</v>
      </c>
      <c r="E259" s="2" t="s">
        <v>14</v>
      </c>
      <c r="F259" s="2" t="s">
        <v>27</v>
      </c>
      <c r="G259" s="4">
        <v>143588</v>
      </c>
      <c r="H259" s="5" t="s">
        <v>71</v>
      </c>
      <c r="I259" s="4">
        <v>0</v>
      </c>
      <c r="J259" s="6">
        <v>44603</v>
      </c>
      <c r="K259" t="str">
        <f t="shared" si="8"/>
        <v>Q1 2022</v>
      </c>
      <c r="L259" t="str">
        <f t="shared" si="9"/>
        <v>Q1 2022</v>
      </c>
    </row>
    <row r="260" spans="1:12" ht="15.75" customHeight="1" x14ac:dyDescent="0.3">
      <c r="A260" s="2" t="s">
        <v>447</v>
      </c>
      <c r="B260" s="2" t="s">
        <v>20</v>
      </c>
      <c r="C260" s="2" t="s">
        <v>21</v>
      </c>
      <c r="D260" s="2" t="s">
        <v>13</v>
      </c>
      <c r="E260" s="2" t="s">
        <v>14</v>
      </c>
      <c r="F260" s="2" t="s">
        <v>239</v>
      </c>
      <c r="G260" s="4">
        <v>61002</v>
      </c>
      <c r="H260" s="6">
        <v>44719</v>
      </c>
      <c r="I260" s="4">
        <v>8715</v>
      </c>
      <c r="J260" s="6">
        <v>44689</v>
      </c>
      <c r="K260" t="str">
        <f t="shared" si="8"/>
        <v>Q2 2022</v>
      </c>
      <c r="L260" t="str">
        <f t="shared" si="9"/>
        <v>Q2 2022</v>
      </c>
    </row>
    <row r="261" spans="1:12" ht="15.75" customHeight="1" x14ac:dyDescent="0.3">
      <c r="A261" s="2" t="s">
        <v>448</v>
      </c>
      <c r="B261" s="2" t="s">
        <v>11</v>
      </c>
      <c r="C261" s="2" t="s">
        <v>12</v>
      </c>
      <c r="D261" s="2" t="s">
        <v>13</v>
      </c>
      <c r="E261" s="2" t="s">
        <v>14</v>
      </c>
      <c r="F261" s="2" t="s">
        <v>46</v>
      </c>
      <c r="G261" s="4">
        <v>109980</v>
      </c>
      <c r="H261" s="6">
        <v>44624</v>
      </c>
      <c r="I261" s="4">
        <v>0</v>
      </c>
      <c r="J261" s="6">
        <v>44598</v>
      </c>
      <c r="K261" t="str">
        <f t="shared" si="8"/>
        <v>Q1 2022</v>
      </c>
      <c r="L261" t="str">
        <f t="shared" si="9"/>
        <v>Q1 2022</v>
      </c>
    </row>
    <row r="262" spans="1:12" ht="15.75" customHeight="1" x14ac:dyDescent="0.3">
      <c r="A262" s="2" t="s">
        <v>449</v>
      </c>
      <c r="B262" s="2" t="s">
        <v>11</v>
      </c>
      <c r="C262" s="2" t="s">
        <v>12</v>
      </c>
      <c r="D262" s="2" t="s">
        <v>13</v>
      </c>
      <c r="E262" s="2" t="s">
        <v>14</v>
      </c>
      <c r="F262" s="2" t="s">
        <v>46</v>
      </c>
      <c r="G262" s="4">
        <v>106526</v>
      </c>
      <c r="H262" s="5" t="s">
        <v>71</v>
      </c>
      <c r="I262" s="4">
        <v>0</v>
      </c>
      <c r="J262" s="6">
        <v>44603</v>
      </c>
      <c r="K262" t="str">
        <f t="shared" si="8"/>
        <v>Q1 2022</v>
      </c>
      <c r="L262" t="str">
        <f t="shared" si="9"/>
        <v>Q1 2022</v>
      </c>
    </row>
    <row r="263" spans="1:12" ht="15.75" customHeight="1" x14ac:dyDescent="0.3">
      <c r="A263" s="2" t="s">
        <v>450</v>
      </c>
      <c r="B263" s="2" t="s">
        <v>11</v>
      </c>
      <c r="C263" s="2" t="s">
        <v>12</v>
      </c>
      <c r="D263" s="2" t="s">
        <v>13</v>
      </c>
      <c r="E263" s="2" t="s">
        <v>14</v>
      </c>
      <c r="F263" s="2" t="s">
        <v>27</v>
      </c>
      <c r="G263" s="4">
        <v>70969</v>
      </c>
      <c r="H263" s="6">
        <v>44623</v>
      </c>
      <c r="I263" s="4">
        <v>0</v>
      </c>
      <c r="J263" s="6">
        <v>44597</v>
      </c>
      <c r="K263" t="str">
        <f t="shared" si="8"/>
        <v>Q1 2022</v>
      </c>
      <c r="L263" t="str">
        <f t="shared" si="9"/>
        <v>Q1 2022</v>
      </c>
    </row>
    <row r="264" spans="1:12" ht="15.75" customHeight="1" x14ac:dyDescent="0.3">
      <c r="A264" s="2" t="s">
        <v>451</v>
      </c>
      <c r="B264" s="2" t="s">
        <v>11</v>
      </c>
      <c r="C264" s="2" t="s">
        <v>12</v>
      </c>
      <c r="D264" s="2" t="s">
        <v>13</v>
      </c>
      <c r="E264" s="2" t="s">
        <v>14</v>
      </c>
      <c r="F264" s="2" t="s">
        <v>452</v>
      </c>
      <c r="G264" s="4">
        <v>100034</v>
      </c>
      <c r="H264" s="6">
        <v>44927</v>
      </c>
      <c r="I264" s="4">
        <v>0</v>
      </c>
      <c r="J264" s="6">
        <v>44960</v>
      </c>
      <c r="K264" t="str">
        <f t="shared" si="8"/>
        <v>Q1 2023</v>
      </c>
      <c r="L264" t="str">
        <f t="shared" si="9"/>
        <v>Q1 2023</v>
      </c>
    </row>
    <row r="265" spans="1:12" ht="15.75" customHeight="1" x14ac:dyDescent="0.3">
      <c r="A265" s="2" t="s">
        <v>453</v>
      </c>
      <c r="B265" s="2" t="s">
        <v>11</v>
      </c>
      <c r="C265" s="2" t="s">
        <v>12</v>
      </c>
      <c r="D265" s="2" t="s">
        <v>13</v>
      </c>
      <c r="E265" s="2" t="s">
        <v>14</v>
      </c>
      <c r="F265" s="2" t="s">
        <v>15</v>
      </c>
      <c r="G265" s="4">
        <v>107069</v>
      </c>
      <c r="H265" s="6">
        <v>44603</v>
      </c>
      <c r="I265" s="4">
        <v>0</v>
      </c>
      <c r="J265" s="6">
        <v>44604</v>
      </c>
      <c r="K265" t="str">
        <f t="shared" si="8"/>
        <v>Q1 2022</v>
      </c>
      <c r="L265" t="str">
        <f t="shared" si="9"/>
        <v>Q1 2022</v>
      </c>
    </row>
    <row r="266" spans="1:12" ht="15.75" customHeight="1" x14ac:dyDescent="0.3">
      <c r="A266" s="2" t="s">
        <v>454</v>
      </c>
      <c r="B266" s="2" t="s">
        <v>11</v>
      </c>
      <c r="C266" s="2" t="s">
        <v>12</v>
      </c>
      <c r="D266" s="2" t="s">
        <v>13</v>
      </c>
      <c r="E266" s="2" t="s">
        <v>22</v>
      </c>
      <c r="F266" s="2" t="s">
        <v>46</v>
      </c>
      <c r="G266" s="4">
        <v>143517</v>
      </c>
      <c r="H266" s="5" t="s">
        <v>455</v>
      </c>
      <c r="I266" s="4">
        <v>0</v>
      </c>
      <c r="J266" s="6">
        <v>44600</v>
      </c>
      <c r="K266" t="str">
        <f t="shared" si="8"/>
        <v>Q1 2022</v>
      </c>
      <c r="L266" t="str">
        <f t="shared" si="9"/>
        <v>Q1 2022</v>
      </c>
    </row>
    <row r="267" spans="1:12" ht="15.75" customHeight="1" x14ac:dyDescent="0.3">
      <c r="A267" s="2" t="s">
        <v>456</v>
      </c>
      <c r="B267" s="2" t="s">
        <v>11</v>
      </c>
      <c r="C267" s="2" t="s">
        <v>12</v>
      </c>
      <c r="D267" s="2" t="s">
        <v>13</v>
      </c>
      <c r="E267" s="2" t="s">
        <v>14</v>
      </c>
      <c r="F267" s="2" t="s">
        <v>457</v>
      </c>
      <c r="G267" s="4">
        <v>58504</v>
      </c>
      <c r="H267" s="5" t="s">
        <v>71</v>
      </c>
      <c r="I267" s="4">
        <v>0</v>
      </c>
      <c r="J267" s="6">
        <v>44603</v>
      </c>
      <c r="K267" t="str">
        <f t="shared" si="8"/>
        <v>Q1 2022</v>
      </c>
      <c r="L267" t="str">
        <f t="shared" si="9"/>
        <v>Q1 2022</v>
      </c>
    </row>
    <row r="268" spans="1:12" ht="15.75" customHeight="1" x14ac:dyDescent="0.3">
      <c r="A268" s="2" t="s">
        <v>458</v>
      </c>
      <c r="B268" s="2" t="s">
        <v>11</v>
      </c>
      <c r="C268" s="2" t="s">
        <v>12</v>
      </c>
      <c r="D268" s="2" t="s">
        <v>13</v>
      </c>
      <c r="E268" s="2" t="s">
        <v>14</v>
      </c>
      <c r="F268" s="2" t="s">
        <v>59</v>
      </c>
      <c r="G268" s="4">
        <v>95966</v>
      </c>
      <c r="H268" s="5" t="s">
        <v>42</v>
      </c>
      <c r="I268" s="4">
        <v>0</v>
      </c>
      <c r="J268" s="6">
        <v>44603</v>
      </c>
      <c r="K268" t="str">
        <f t="shared" si="8"/>
        <v>Q1 2022</v>
      </c>
      <c r="L268" t="str">
        <f t="shared" si="9"/>
        <v>Q1 2022</v>
      </c>
    </row>
    <row r="269" spans="1:12" ht="15.75" customHeight="1" x14ac:dyDescent="0.3">
      <c r="A269" s="2" t="s">
        <v>459</v>
      </c>
      <c r="B269" s="2" t="s">
        <v>20</v>
      </c>
      <c r="C269" s="2" t="s">
        <v>21</v>
      </c>
      <c r="D269" s="2" t="s">
        <v>13</v>
      </c>
      <c r="E269" s="2" t="s">
        <v>14</v>
      </c>
      <c r="F269" s="2" t="s">
        <v>460</v>
      </c>
      <c r="G269" s="4">
        <v>54725</v>
      </c>
      <c r="H269" s="5" t="s">
        <v>461</v>
      </c>
      <c r="I269" s="4">
        <v>27362</v>
      </c>
      <c r="J269" s="6">
        <v>44692</v>
      </c>
      <c r="K269" t="str">
        <f t="shared" si="8"/>
        <v>Q2 2022</v>
      </c>
      <c r="L269" t="str">
        <f t="shared" si="9"/>
        <v>Q2 2022</v>
      </c>
    </row>
    <row r="270" spans="1:12" ht="15.75" customHeight="1" x14ac:dyDescent="0.3">
      <c r="A270" s="2" t="s">
        <v>462</v>
      </c>
      <c r="B270" s="2" t="s">
        <v>11</v>
      </c>
      <c r="C270" s="2" t="s">
        <v>12</v>
      </c>
      <c r="D270" s="2" t="s">
        <v>13</v>
      </c>
      <c r="E270" s="2" t="s">
        <v>14</v>
      </c>
      <c r="F270" s="2" t="s">
        <v>15</v>
      </c>
      <c r="G270" s="4">
        <v>147868</v>
      </c>
      <c r="H270" s="5" t="s">
        <v>463</v>
      </c>
      <c r="I270" s="4">
        <v>0</v>
      </c>
      <c r="J270" s="6">
        <v>44598</v>
      </c>
      <c r="K270" t="str">
        <f t="shared" si="8"/>
        <v>Q1 2022</v>
      </c>
      <c r="L270" t="str">
        <f t="shared" si="9"/>
        <v>Q1 2022</v>
      </c>
    </row>
    <row r="271" spans="1:12" ht="15.75" customHeight="1" x14ac:dyDescent="0.3">
      <c r="A271" s="2" t="s">
        <v>464</v>
      </c>
      <c r="B271" s="2" t="s">
        <v>11</v>
      </c>
      <c r="C271" s="2" t="s">
        <v>12</v>
      </c>
      <c r="D271" s="2" t="s">
        <v>13</v>
      </c>
      <c r="E271" s="2" t="s">
        <v>14</v>
      </c>
      <c r="F271" s="2" t="s">
        <v>465</v>
      </c>
      <c r="G271" s="4">
        <v>112714</v>
      </c>
      <c r="H271" s="6">
        <v>44629</v>
      </c>
      <c r="I271" s="4">
        <v>0</v>
      </c>
      <c r="J271" s="6">
        <v>44603</v>
      </c>
      <c r="K271" t="str">
        <f t="shared" si="8"/>
        <v>Q1 2022</v>
      </c>
      <c r="L271" t="str">
        <f t="shared" si="9"/>
        <v>Q1 2022</v>
      </c>
    </row>
    <row r="272" spans="1:12" ht="15.75" customHeight="1" x14ac:dyDescent="0.3">
      <c r="A272" s="2" t="s">
        <v>466</v>
      </c>
      <c r="B272" s="2" t="s">
        <v>11</v>
      </c>
      <c r="C272" s="2" t="s">
        <v>12</v>
      </c>
      <c r="D272" s="2" t="s">
        <v>13</v>
      </c>
      <c r="E272" s="2" t="s">
        <v>14</v>
      </c>
      <c r="F272" s="2" t="s">
        <v>27</v>
      </c>
      <c r="G272" s="4">
        <v>74208</v>
      </c>
      <c r="H272" s="5" t="s">
        <v>39</v>
      </c>
      <c r="I272" s="4">
        <v>0</v>
      </c>
      <c r="J272" s="6">
        <v>44603</v>
      </c>
      <c r="K272" t="str">
        <f t="shared" si="8"/>
        <v>Q1 2022</v>
      </c>
      <c r="L272" t="str">
        <f t="shared" si="9"/>
        <v>Q1 2022</v>
      </c>
    </row>
    <row r="273" spans="1:12" ht="15.75" customHeight="1" x14ac:dyDescent="0.3">
      <c r="A273" s="2" t="s">
        <v>467</v>
      </c>
      <c r="B273" s="2" t="s">
        <v>11</v>
      </c>
      <c r="C273" s="2" t="s">
        <v>12</v>
      </c>
      <c r="D273" s="2" t="s">
        <v>13</v>
      </c>
      <c r="E273" s="2" t="s">
        <v>14</v>
      </c>
      <c r="F273" s="2" t="s">
        <v>15</v>
      </c>
      <c r="G273" s="4">
        <v>90068</v>
      </c>
      <c r="H273" s="5" t="s">
        <v>30</v>
      </c>
      <c r="I273" s="4">
        <v>0</v>
      </c>
      <c r="J273" s="6">
        <v>44603</v>
      </c>
      <c r="K273" t="str">
        <f t="shared" si="8"/>
        <v>Q1 2022</v>
      </c>
      <c r="L273" t="str">
        <f t="shared" si="9"/>
        <v>Q1 2022</v>
      </c>
    </row>
    <row r="274" spans="1:12" ht="15.75" customHeight="1" x14ac:dyDescent="0.3">
      <c r="A274" s="2" t="s">
        <v>468</v>
      </c>
      <c r="B274" s="2" t="s">
        <v>11</v>
      </c>
      <c r="C274" s="2" t="s">
        <v>12</v>
      </c>
      <c r="D274" s="2" t="s">
        <v>13</v>
      </c>
      <c r="E274" s="2" t="s">
        <v>14</v>
      </c>
      <c r="F274" s="2" t="s">
        <v>469</v>
      </c>
      <c r="G274" s="4">
        <v>80085</v>
      </c>
      <c r="H274" s="5" t="s">
        <v>39</v>
      </c>
      <c r="I274" s="4">
        <v>0</v>
      </c>
      <c r="J274" s="6">
        <v>44603</v>
      </c>
      <c r="K274" t="str">
        <f t="shared" si="8"/>
        <v>Q1 2022</v>
      </c>
      <c r="L274" t="str">
        <f t="shared" si="9"/>
        <v>Q1 2022</v>
      </c>
    </row>
    <row r="275" spans="1:12" ht="15.75" customHeight="1" x14ac:dyDescent="0.3">
      <c r="A275" s="2" t="s">
        <v>470</v>
      </c>
      <c r="B275" s="2" t="s">
        <v>11</v>
      </c>
      <c r="C275" s="2" t="s">
        <v>12</v>
      </c>
      <c r="D275" s="2" t="s">
        <v>13</v>
      </c>
      <c r="E275" s="2" t="s">
        <v>22</v>
      </c>
      <c r="F275" s="2" t="s">
        <v>471</v>
      </c>
      <c r="G275" s="4">
        <v>157857</v>
      </c>
      <c r="H275" s="5" t="s">
        <v>189</v>
      </c>
      <c r="I275" s="4">
        <v>0</v>
      </c>
      <c r="J275" s="6">
        <v>44602</v>
      </c>
      <c r="K275" t="str">
        <f t="shared" si="8"/>
        <v>Q1 2022</v>
      </c>
      <c r="L275" t="str">
        <f t="shared" si="9"/>
        <v>Q1 2022</v>
      </c>
    </row>
    <row r="276" spans="1:12" ht="15.75" customHeight="1" x14ac:dyDescent="0.3">
      <c r="A276" s="2" t="s">
        <v>472</v>
      </c>
      <c r="B276" s="2" t="s">
        <v>11</v>
      </c>
      <c r="C276" s="2" t="s">
        <v>12</v>
      </c>
      <c r="D276" s="2" t="s">
        <v>13</v>
      </c>
      <c r="E276" s="2" t="s">
        <v>14</v>
      </c>
      <c r="F276" s="2" t="s">
        <v>27</v>
      </c>
      <c r="G276" s="4">
        <v>88677</v>
      </c>
      <c r="H276" s="6">
        <v>44629</v>
      </c>
      <c r="I276" s="4">
        <v>0</v>
      </c>
      <c r="J276" s="6">
        <v>44603</v>
      </c>
      <c r="K276" t="str">
        <f t="shared" si="8"/>
        <v>Q1 2022</v>
      </c>
      <c r="L276" t="str">
        <f t="shared" si="9"/>
        <v>Q1 2022</v>
      </c>
    </row>
    <row r="277" spans="1:12" ht="15.75" customHeight="1" x14ac:dyDescent="0.3">
      <c r="A277" s="2" t="s">
        <v>473</v>
      </c>
      <c r="B277" s="2" t="s">
        <v>11</v>
      </c>
      <c r="C277" s="2" t="s">
        <v>12</v>
      </c>
      <c r="D277" s="2" t="s">
        <v>13</v>
      </c>
      <c r="E277" s="2" t="s">
        <v>14</v>
      </c>
      <c r="F277" s="2" t="s">
        <v>15</v>
      </c>
      <c r="G277" s="4">
        <v>203793</v>
      </c>
      <c r="H277" s="6">
        <v>44629</v>
      </c>
      <c r="I277" s="4">
        <v>0</v>
      </c>
      <c r="J277" s="6">
        <v>44603</v>
      </c>
      <c r="K277" t="str">
        <f t="shared" si="8"/>
        <v>Q1 2022</v>
      </c>
      <c r="L277" t="str">
        <f t="shared" si="9"/>
        <v>Q1 2022</v>
      </c>
    </row>
    <row r="278" spans="1:12" ht="15.75" customHeight="1" x14ac:dyDescent="0.3">
      <c r="A278" s="2" t="s">
        <v>474</v>
      </c>
      <c r="B278" s="2" t="s">
        <v>20</v>
      </c>
      <c r="C278" s="2" t="s">
        <v>21</v>
      </c>
      <c r="D278" s="2" t="s">
        <v>13</v>
      </c>
      <c r="E278" s="2" t="s">
        <v>14</v>
      </c>
      <c r="F278" s="2" t="s">
        <v>475</v>
      </c>
      <c r="G278" s="4">
        <v>55037</v>
      </c>
      <c r="H278" s="6">
        <v>44597</v>
      </c>
      <c r="I278" s="4">
        <v>2752</v>
      </c>
      <c r="J278" s="6">
        <v>44871</v>
      </c>
      <c r="K278" t="str">
        <f t="shared" si="8"/>
        <v>Q4 2022</v>
      </c>
      <c r="L278" t="str">
        <f t="shared" si="9"/>
        <v>Q4 2022</v>
      </c>
    </row>
    <row r="279" spans="1:12" ht="15.75" customHeight="1" x14ac:dyDescent="0.3">
      <c r="A279" s="2" t="s">
        <v>476</v>
      </c>
      <c r="B279" s="2" t="s">
        <v>11</v>
      </c>
      <c r="C279" s="2" t="s">
        <v>12</v>
      </c>
      <c r="D279" s="2" t="s">
        <v>13</v>
      </c>
      <c r="E279" s="2" t="s">
        <v>14</v>
      </c>
      <c r="F279" s="2" t="s">
        <v>46</v>
      </c>
      <c r="G279" s="4">
        <v>106786</v>
      </c>
      <c r="H279" s="5" t="s">
        <v>265</v>
      </c>
      <c r="I279" s="4">
        <v>0</v>
      </c>
      <c r="J279" s="6">
        <v>44601</v>
      </c>
      <c r="K279" t="str">
        <f t="shared" si="8"/>
        <v>Q1 2022</v>
      </c>
      <c r="L279" t="str">
        <f t="shared" si="9"/>
        <v>Q1 2022</v>
      </c>
    </row>
    <row r="280" spans="1:12" ht="15.75" customHeight="1" x14ac:dyDescent="0.3">
      <c r="A280" s="2" t="s">
        <v>477</v>
      </c>
      <c r="B280" s="2" t="s">
        <v>11</v>
      </c>
      <c r="C280" s="2" t="s">
        <v>12</v>
      </c>
      <c r="D280" s="2" t="s">
        <v>13</v>
      </c>
      <c r="E280" s="2" t="s">
        <v>14</v>
      </c>
      <c r="F280" s="2" t="s">
        <v>15</v>
      </c>
      <c r="G280" s="4">
        <v>83160</v>
      </c>
      <c r="H280" s="6">
        <v>44630</v>
      </c>
      <c r="I280" s="4">
        <v>0</v>
      </c>
      <c r="J280" s="6">
        <v>44603</v>
      </c>
      <c r="K280" t="str">
        <f t="shared" si="8"/>
        <v>Q1 2022</v>
      </c>
      <c r="L280" t="str">
        <f t="shared" si="9"/>
        <v>Q1 2022</v>
      </c>
    </row>
    <row r="281" spans="1:12" ht="15.75" customHeight="1" x14ac:dyDescent="0.3">
      <c r="A281" s="2" t="s">
        <v>478</v>
      </c>
      <c r="B281" s="2" t="s">
        <v>11</v>
      </c>
      <c r="C281" s="2" t="s">
        <v>12</v>
      </c>
      <c r="D281" s="2" t="s">
        <v>13</v>
      </c>
      <c r="E281" s="2" t="s">
        <v>14</v>
      </c>
      <c r="F281" s="2" t="s">
        <v>46</v>
      </c>
      <c r="G281" s="4">
        <v>137608</v>
      </c>
      <c r="H281" s="6">
        <v>44836</v>
      </c>
      <c r="I281" s="4">
        <v>0</v>
      </c>
      <c r="J281" s="6">
        <v>44595</v>
      </c>
      <c r="K281" t="str">
        <f t="shared" si="8"/>
        <v>Q1 2022</v>
      </c>
      <c r="L281" t="str">
        <f t="shared" si="9"/>
        <v>Q1 2022</v>
      </c>
    </row>
    <row r="282" spans="1:12" ht="15.75" customHeight="1" x14ac:dyDescent="0.3">
      <c r="A282" s="2" t="s">
        <v>479</v>
      </c>
      <c r="B282" s="2" t="s">
        <v>11</v>
      </c>
      <c r="C282" s="2" t="s">
        <v>12</v>
      </c>
      <c r="D282" s="2" t="s">
        <v>13</v>
      </c>
      <c r="E282" s="2" t="s">
        <v>14</v>
      </c>
      <c r="F282" s="2" t="s">
        <v>46</v>
      </c>
      <c r="G282" s="4">
        <v>157835</v>
      </c>
      <c r="H282" s="5" t="s">
        <v>25</v>
      </c>
      <c r="I282" s="4">
        <v>0</v>
      </c>
      <c r="J282" s="6">
        <v>44603</v>
      </c>
      <c r="K282" t="str">
        <f t="shared" si="8"/>
        <v>Q1 2022</v>
      </c>
      <c r="L282" t="str">
        <f t="shared" si="9"/>
        <v>Q1 2022</v>
      </c>
    </row>
    <row r="283" spans="1:12" ht="15.75" customHeight="1" x14ac:dyDescent="0.3">
      <c r="A283" s="2" t="s">
        <v>480</v>
      </c>
      <c r="B283" s="2" t="s">
        <v>11</v>
      </c>
      <c r="C283" s="2" t="s">
        <v>12</v>
      </c>
      <c r="D283" s="2" t="s">
        <v>13</v>
      </c>
      <c r="E283" s="2" t="s">
        <v>14</v>
      </c>
      <c r="F283" s="2" t="s">
        <v>481</v>
      </c>
      <c r="G283" s="4">
        <v>187470</v>
      </c>
      <c r="H283" s="5" t="s">
        <v>212</v>
      </c>
      <c r="I283" s="4">
        <v>0</v>
      </c>
      <c r="J283" s="6">
        <v>44597</v>
      </c>
      <c r="K283" t="str">
        <f t="shared" si="8"/>
        <v>Q1 2022</v>
      </c>
      <c r="L283" t="str">
        <f t="shared" si="9"/>
        <v>Q1 2022</v>
      </c>
    </row>
    <row r="284" spans="1:12" ht="15.75" customHeight="1" x14ac:dyDescent="0.3">
      <c r="A284" s="2" t="s">
        <v>482</v>
      </c>
      <c r="B284" s="2" t="s">
        <v>11</v>
      </c>
      <c r="C284" s="2" t="s">
        <v>12</v>
      </c>
      <c r="D284" s="2" t="s">
        <v>13</v>
      </c>
      <c r="E284" s="2" t="s">
        <v>14</v>
      </c>
      <c r="F284" s="2" t="s">
        <v>15</v>
      </c>
      <c r="G284" s="4">
        <v>102196</v>
      </c>
      <c r="H284" s="6">
        <v>44630</v>
      </c>
      <c r="I284" s="4">
        <v>0</v>
      </c>
      <c r="J284" s="6">
        <v>44603</v>
      </c>
      <c r="K284" t="str">
        <f t="shared" si="8"/>
        <v>Q1 2022</v>
      </c>
      <c r="L284" t="str">
        <f t="shared" si="9"/>
        <v>Q1 2022</v>
      </c>
    </row>
    <row r="285" spans="1:12" ht="15.75" customHeight="1" x14ac:dyDescent="0.3">
      <c r="A285" s="2" t="s">
        <v>483</v>
      </c>
      <c r="B285" s="2" t="s">
        <v>11</v>
      </c>
      <c r="C285" s="2" t="s">
        <v>12</v>
      </c>
      <c r="D285" s="2" t="s">
        <v>13</v>
      </c>
      <c r="E285" s="2" t="s">
        <v>22</v>
      </c>
      <c r="F285" s="2" t="s">
        <v>484</v>
      </c>
      <c r="G285" s="4">
        <v>100539</v>
      </c>
      <c r="H285" s="5" t="s">
        <v>232</v>
      </c>
      <c r="I285" s="4">
        <v>0</v>
      </c>
      <c r="J285" s="6">
        <v>44594</v>
      </c>
      <c r="K285" t="str">
        <f t="shared" si="8"/>
        <v>Q1 2022</v>
      </c>
      <c r="L285" t="str">
        <f t="shared" si="9"/>
        <v>Q1 2022</v>
      </c>
    </row>
    <row r="286" spans="1:12" ht="15.75" customHeight="1" x14ac:dyDescent="0.3">
      <c r="A286" s="2" t="s">
        <v>485</v>
      </c>
      <c r="B286" s="2" t="s">
        <v>11</v>
      </c>
      <c r="C286" s="2" t="s">
        <v>12</v>
      </c>
      <c r="D286" s="2" t="s">
        <v>13</v>
      </c>
      <c r="E286" s="2" t="s">
        <v>14</v>
      </c>
      <c r="F286" s="2" t="s">
        <v>46</v>
      </c>
      <c r="G286" s="4">
        <v>76925</v>
      </c>
      <c r="H286" s="6">
        <v>44988</v>
      </c>
      <c r="I286" s="4">
        <v>0</v>
      </c>
      <c r="J286" s="6">
        <v>44962</v>
      </c>
      <c r="K286" t="str">
        <f t="shared" si="8"/>
        <v>Q1 2023</v>
      </c>
      <c r="L286" t="str">
        <f t="shared" si="9"/>
        <v>Q1 2023</v>
      </c>
    </row>
    <row r="287" spans="1:12" ht="15.75" customHeight="1" x14ac:dyDescent="0.3">
      <c r="A287" s="2" t="s">
        <v>486</v>
      </c>
      <c r="B287" s="2" t="s">
        <v>11</v>
      </c>
      <c r="C287" s="2" t="s">
        <v>12</v>
      </c>
      <c r="D287" s="2" t="s">
        <v>13</v>
      </c>
      <c r="E287" s="2" t="s">
        <v>14</v>
      </c>
      <c r="F287" s="2" t="s">
        <v>46</v>
      </c>
      <c r="G287" s="4">
        <v>110085</v>
      </c>
      <c r="H287" s="6">
        <v>44629</v>
      </c>
      <c r="I287" s="4">
        <v>0</v>
      </c>
      <c r="J287" s="6">
        <v>44603</v>
      </c>
      <c r="K287" t="str">
        <f t="shared" si="8"/>
        <v>Q1 2022</v>
      </c>
      <c r="L287" t="str">
        <f t="shared" si="9"/>
        <v>Q1 2022</v>
      </c>
    </row>
    <row r="288" spans="1:12" ht="15.75" customHeight="1" x14ac:dyDescent="0.3">
      <c r="A288" s="2" t="s">
        <v>487</v>
      </c>
      <c r="B288" s="2" t="s">
        <v>11</v>
      </c>
      <c r="C288" s="2" t="s">
        <v>12</v>
      </c>
      <c r="D288" s="2" t="s">
        <v>13</v>
      </c>
      <c r="E288" s="2" t="s">
        <v>22</v>
      </c>
      <c r="F288" s="2" t="s">
        <v>46</v>
      </c>
      <c r="G288" s="4">
        <v>83580</v>
      </c>
      <c r="H288" s="6">
        <v>44298</v>
      </c>
      <c r="I288" s="4">
        <v>0</v>
      </c>
      <c r="J288" s="6">
        <v>44594</v>
      </c>
      <c r="K288" t="str">
        <f t="shared" si="8"/>
        <v>Q1 2022</v>
      </c>
      <c r="L288" t="str">
        <f t="shared" si="9"/>
        <v>Q1 2022</v>
      </c>
    </row>
    <row r="289" spans="1:12" ht="15.75" customHeight="1" x14ac:dyDescent="0.3">
      <c r="A289" s="2" t="s">
        <v>488</v>
      </c>
      <c r="B289" s="2" t="s">
        <v>11</v>
      </c>
      <c r="C289" s="2" t="s">
        <v>12</v>
      </c>
      <c r="D289" s="2" t="s">
        <v>13</v>
      </c>
      <c r="E289" s="2" t="s">
        <v>14</v>
      </c>
      <c r="F289" s="2" t="s">
        <v>489</v>
      </c>
      <c r="G289" s="2"/>
      <c r="H289" s="5" t="s">
        <v>39</v>
      </c>
      <c r="I289" s="4">
        <v>0</v>
      </c>
      <c r="J289" s="6">
        <v>44603</v>
      </c>
      <c r="K289" t="str">
        <f t="shared" si="8"/>
        <v>Q1 2022</v>
      </c>
      <c r="L289" t="str">
        <f t="shared" si="9"/>
        <v>Q1 2022</v>
      </c>
    </row>
    <row r="290" spans="1:12" ht="15.75" customHeight="1" x14ac:dyDescent="0.3">
      <c r="A290" s="2" t="s">
        <v>490</v>
      </c>
      <c r="B290" s="2" t="s">
        <v>11</v>
      </c>
      <c r="C290" s="2" t="s">
        <v>12</v>
      </c>
      <c r="D290" s="2" t="s">
        <v>13</v>
      </c>
      <c r="E290" s="2" t="s">
        <v>14</v>
      </c>
      <c r="F290" s="2" t="s">
        <v>46</v>
      </c>
      <c r="G290" s="4">
        <v>42045</v>
      </c>
      <c r="H290" s="5" t="s">
        <v>232</v>
      </c>
      <c r="I290" s="4">
        <v>0</v>
      </c>
      <c r="J290" s="6">
        <v>44594</v>
      </c>
      <c r="K290" t="str">
        <f t="shared" si="8"/>
        <v>Q1 2022</v>
      </c>
      <c r="L290" t="str">
        <f t="shared" si="9"/>
        <v>Q1 2022</v>
      </c>
    </row>
    <row r="291" spans="1:12" ht="15.75" customHeight="1" x14ac:dyDescent="0.3">
      <c r="A291" s="2" t="s">
        <v>491</v>
      </c>
      <c r="B291" s="2" t="s">
        <v>11</v>
      </c>
      <c r="C291" s="2" t="s">
        <v>12</v>
      </c>
      <c r="D291" s="2" t="s">
        <v>13</v>
      </c>
      <c r="E291" s="2" t="s">
        <v>14</v>
      </c>
      <c r="F291" s="2" t="s">
        <v>46</v>
      </c>
      <c r="G291" s="4">
        <v>72988</v>
      </c>
      <c r="H291" s="5" t="s">
        <v>39</v>
      </c>
      <c r="I291" s="4">
        <v>0</v>
      </c>
      <c r="J291" s="6">
        <v>44603</v>
      </c>
      <c r="K291" t="str">
        <f t="shared" si="8"/>
        <v>Q1 2022</v>
      </c>
      <c r="L291" t="str">
        <f t="shared" si="9"/>
        <v>Q1 2022</v>
      </c>
    </row>
    <row r="292" spans="1:12" ht="15.75" customHeight="1" x14ac:dyDescent="0.3">
      <c r="A292" s="2" t="s">
        <v>492</v>
      </c>
      <c r="B292" s="2" t="s">
        <v>11</v>
      </c>
      <c r="C292" s="2" t="s">
        <v>57</v>
      </c>
      <c r="D292" s="2" t="s">
        <v>13</v>
      </c>
      <c r="E292" s="2" t="s">
        <v>14</v>
      </c>
      <c r="F292" s="2" t="s">
        <v>46</v>
      </c>
      <c r="G292" s="4">
        <v>203733</v>
      </c>
      <c r="H292" s="6">
        <v>44867</v>
      </c>
      <c r="I292" s="4">
        <v>0</v>
      </c>
      <c r="J292" s="6">
        <v>44596</v>
      </c>
      <c r="K292" t="str">
        <f t="shared" si="8"/>
        <v>Q1 2022</v>
      </c>
      <c r="L292" t="str">
        <f t="shared" si="9"/>
        <v>Q1 2022</v>
      </c>
    </row>
    <row r="293" spans="1:12" ht="15.75" customHeight="1" x14ac:dyDescent="0.3">
      <c r="A293" s="2" t="s">
        <v>493</v>
      </c>
      <c r="B293" s="2" t="s">
        <v>11</v>
      </c>
      <c r="C293" s="2" t="s">
        <v>57</v>
      </c>
      <c r="D293" s="2" t="s">
        <v>13</v>
      </c>
      <c r="E293" s="2" t="s">
        <v>14</v>
      </c>
      <c r="F293" s="2" t="s">
        <v>494</v>
      </c>
      <c r="G293" s="4">
        <v>172921</v>
      </c>
      <c r="H293" s="5" t="s">
        <v>30</v>
      </c>
      <c r="I293" s="4">
        <v>0</v>
      </c>
      <c r="J293" s="6">
        <v>44603</v>
      </c>
      <c r="K293" t="str">
        <f t="shared" si="8"/>
        <v>Q1 2022</v>
      </c>
      <c r="L293" t="str">
        <f t="shared" si="9"/>
        <v>Q1 2022</v>
      </c>
    </row>
    <row r="294" spans="1:12" ht="15.75" customHeight="1" x14ac:dyDescent="0.3">
      <c r="A294" s="2" t="s">
        <v>495</v>
      </c>
      <c r="B294" s="2" t="s">
        <v>11</v>
      </c>
      <c r="C294" s="2" t="s">
        <v>57</v>
      </c>
      <c r="D294" s="2" t="s">
        <v>13</v>
      </c>
      <c r="E294" s="2" t="s">
        <v>14</v>
      </c>
      <c r="F294" s="2" t="s">
        <v>46</v>
      </c>
      <c r="G294" s="4">
        <v>56858</v>
      </c>
      <c r="H294" s="6">
        <v>44629</v>
      </c>
      <c r="I294" s="4">
        <v>0</v>
      </c>
      <c r="J294" s="6">
        <v>44603</v>
      </c>
      <c r="K294" t="str">
        <f t="shared" si="8"/>
        <v>Q1 2022</v>
      </c>
      <c r="L294" t="str">
        <f t="shared" si="9"/>
        <v>Q1 2022</v>
      </c>
    </row>
    <row r="295" spans="1:12" ht="15.75" customHeight="1" x14ac:dyDescent="0.3">
      <c r="A295" s="2" t="s">
        <v>496</v>
      </c>
      <c r="B295" s="2" t="s">
        <v>11</v>
      </c>
      <c r="C295" s="2" t="s">
        <v>12</v>
      </c>
      <c r="D295" s="2" t="s">
        <v>13</v>
      </c>
      <c r="E295" s="2" t="s">
        <v>14</v>
      </c>
      <c r="F295" s="2" t="s">
        <v>15</v>
      </c>
      <c r="G295" s="4">
        <v>76983</v>
      </c>
      <c r="H295" s="5" t="s">
        <v>25</v>
      </c>
      <c r="I295" s="4">
        <v>0</v>
      </c>
      <c r="J295" s="6">
        <v>44603</v>
      </c>
      <c r="K295" t="str">
        <f t="shared" si="8"/>
        <v>Q1 2022</v>
      </c>
      <c r="L295" t="str">
        <f t="shared" si="9"/>
        <v>Q1 2022</v>
      </c>
    </row>
    <row r="296" spans="1:12" ht="15.75" customHeight="1" x14ac:dyDescent="0.3">
      <c r="A296" s="2" t="s">
        <v>497</v>
      </c>
      <c r="B296" s="2" t="s">
        <v>11</v>
      </c>
      <c r="C296" s="2" t="s">
        <v>12</v>
      </c>
      <c r="D296" s="2" t="s">
        <v>13</v>
      </c>
      <c r="E296" s="2" t="s">
        <v>14</v>
      </c>
      <c r="F296" s="2" t="s">
        <v>498</v>
      </c>
      <c r="G296" s="4">
        <v>43881</v>
      </c>
      <c r="H296" s="5" t="s">
        <v>71</v>
      </c>
      <c r="I296" s="4">
        <v>0</v>
      </c>
      <c r="J296" s="6">
        <v>44603</v>
      </c>
      <c r="K296" t="str">
        <f t="shared" si="8"/>
        <v>Q1 2022</v>
      </c>
      <c r="L296" t="str">
        <f t="shared" si="9"/>
        <v>Q1 2022</v>
      </c>
    </row>
    <row r="297" spans="1:12" ht="15.75" customHeight="1" x14ac:dyDescent="0.3">
      <c r="A297" s="2" t="s">
        <v>499</v>
      </c>
      <c r="B297" s="2" t="s">
        <v>11</v>
      </c>
      <c r="C297" s="2" t="s">
        <v>12</v>
      </c>
      <c r="D297" s="2" t="s">
        <v>13</v>
      </c>
      <c r="E297" s="2" t="s">
        <v>14</v>
      </c>
      <c r="F297" s="2" t="s">
        <v>46</v>
      </c>
      <c r="G297" s="4">
        <v>88013</v>
      </c>
      <c r="H297" s="6">
        <v>44629</v>
      </c>
      <c r="I297" s="4">
        <v>0</v>
      </c>
      <c r="J297" s="6">
        <v>44603</v>
      </c>
      <c r="K297" t="str">
        <f t="shared" si="8"/>
        <v>Q1 2022</v>
      </c>
      <c r="L297" t="str">
        <f t="shared" si="9"/>
        <v>Q1 2022</v>
      </c>
    </row>
    <row r="298" spans="1:12" ht="15.75" customHeight="1" x14ac:dyDescent="0.3">
      <c r="A298" s="2" t="s">
        <v>500</v>
      </c>
      <c r="B298" s="2" t="s">
        <v>11</v>
      </c>
      <c r="C298" s="2" t="s">
        <v>12</v>
      </c>
      <c r="D298" s="2" t="s">
        <v>13</v>
      </c>
      <c r="E298" s="2" t="s">
        <v>80</v>
      </c>
      <c r="F298" s="2" t="s">
        <v>501</v>
      </c>
      <c r="G298" s="4">
        <v>92126</v>
      </c>
      <c r="H298" s="5" t="s">
        <v>142</v>
      </c>
      <c r="I298" s="4">
        <v>0</v>
      </c>
      <c r="J298" s="6">
        <v>44596</v>
      </c>
      <c r="K298" t="str">
        <f t="shared" si="8"/>
        <v>Q1 2022</v>
      </c>
      <c r="L298" t="str">
        <f t="shared" si="9"/>
        <v>Q1 2022</v>
      </c>
    </row>
    <row r="299" spans="1:12" ht="15.75" customHeight="1" x14ac:dyDescent="0.3">
      <c r="A299" s="2" t="s">
        <v>502</v>
      </c>
      <c r="B299" s="2" t="s">
        <v>11</v>
      </c>
      <c r="C299" s="2" t="s">
        <v>12</v>
      </c>
      <c r="D299" s="2" t="s">
        <v>13</v>
      </c>
      <c r="E299" s="2" t="s">
        <v>14</v>
      </c>
      <c r="F299" s="2" t="s">
        <v>503</v>
      </c>
      <c r="G299" s="4">
        <v>106692</v>
      </c>
      <c r="H299" s="6">
        <v>44624</v>
      </c>
      <c r="I299" s="4">
        <v>0</v>
      </c>
      <c r="J299" s="6">
        <v>44598</v>
      </c>
      <c r="K299" t="str">
        <f t="shared" si="8"/>
        <v>Q1 2022</v>
      </c>
      <c r="L299" t="str">
        <f t="shared" si="9"/>
        <v>Q1 2022</v>
      </c>
    </row>
    <row r="300" spans="1:12" ht="15.75" customHeight="1" x14ac:dyDescent="0.3">
      <c r="A300" s="2" t="s">
        <v>504</v>
      </c>
      <c r="B300" s="2" t="s">
        <v>11</v>
      </c>
      <c r="C300" s="2" t="s">
        <v>12</v>
      </c>
      <c r="D300" s="2" t="s">
        <v>13</v>
      </c>
      <c r="E300" s="2" t="s">
        <v>14</v>
      </c>
      <c r="F300" s="2" t="s">
        <v>27</v>
      </c>
      <c r="G300" s="4">
        <v>133858</v>
      </c>
      <c r="H300" s="6">
        <v>44621</v>
      </c>
      <c r="I300" s="4">
        <v>0</v>
      </c>
      <c r="J300" s="6">
        <v>44594</v>
      </c>
      <c r="K300" t="str">
        <f t="shared" si="8"/>
        <v>Q1 2022</v>
      </c>
      <c r="L300" t="str">
        <f t="shared" si="9"/>
        <v>Q1 2022</v>
      </c>
    </row>
    <row r="301" spans="1:12" ht="15.75" customHeight="1" x14ac:dyDescent="0.3">
      <c r="A301" s="2" t="s">
        <v>505</v>
      </c>
      <c r="B301" s="2" t="s">
        <v>11</v>
      </c>
      <c r="C301" s="2" t="s">
        <v>12</v>
      </c>
      <c r="D301" s="2" t="s">
        <v>13</v>
      </c>
      <c r="E301" s="2" t="s">
        <v>14</v>
      </c>
      <c r="F301" s="2" t="s">
        <v>506</v>
      </c>
      <c r="G301" s="4">
        <v>368455</v>
      </c>
      <c r="H301" s="5" t="s">
        <v>123</v>
      </c>
      <c r="I301" s="4">
        <v>0</v>
      </c>
      <c r="J301" s="6">
        <v>44594</v>
      </c>
      <c r="K301" t="str">
        <f t="shared" si="8"/>
        <v>Q1 2022</v>
      </c>
      <c r="L301" t="str">
        <f t="shared" si="9"/>
        <v>Q1 2022</v>
      </c>
    </row>
    <row r="302" spans="1:12" ht="15.75" customHeight="1" x14ac:dyDescent="0.3">
      <c r="A302" s="2" t="s">
        <v>507</v>
      </c>
      <c r="B302" s="2" t="s">
        <v>11</v>
      </c>
      <c r="C302" s="2" t="s">
        <v>12</v>
      </c>
      <c r="D302" s="2" t="s">
        <v>13</v>
      </c>
      <c r="E302" s="2" t="s">
        <v>14</v>
      </c>
      <c r="F302" s="2" t="s">
        <v>508</v>
      </c>
      <c r="G302" s="4">
        <v>107211</v>
      </c>
      <c r="H302" s="5" t="s">
        <v>30</v>
      </c>
      <c r="I302" s="4">
        <v>0</v>
      </c>
      <c r="J302" s="6">
        <v>44603</v>
      </c>
      <c r="K302" t="str">
        <f t="shared" si="8"/>
        <v>Q1 2022</v>
      </c>
      <c r="L302" t="str">
        <f t="shared" si="9"/>
        <v>Q1 2022</v>
      </c>
    </row>
    <row r="303" spans="1:12" ht="15.75" customHeight="1" x14ac:dyDescent="0.3">
      <c r="A303" s="2" t="s">
        <v>509</v>
      </c>
      <c r="B303" s="2" t="s">
        <v>11</v>
      </c>
      <c r="C303" s="2" t="s">
        <v>12</v>
      </c>
      <c r="D303" s="2" t="s">
        <v>13</v>
      </c>
      <c r="E303" s="2" t="s">
        <v>14</v>
      </c>
      <c r="F303" s="2" t="s">
        <v>15</v>
      </c>
      <c r="G303" s="4">
        <v>115087</v>
      </c>
      <c r="H303" s="5" t="s">
        <v>71</v>
      </c>
      <c r="I303" s="4">
        <v>0</v>
      </c>
      <c r="J303" s="6">
        <v>44603</v>
      </c>
      <c r="K303" t="str">
        <f t="shared" si="8"/>
        <v>Q1 2022</v>
      </c>
      <c r="L303" t="str">
        <f t="shared" si="9"/>
        <v>Q1 2022</v>
      </c>
    </row>
    <row r="304" spans="1:12" ht="15.75" customHeight="1" x14ac:dyDescent="0.3">
      <c r="A304" s="2" t="s">
        <v>510</v>
      </c>
      <c r="B304" s="2" t="s">
        <v>11</v>
      </c>
      <c r="C304" s="2" t="s">
        <v>12</v>
      </c>
      <c r="D304" s="2" t="s">
        <v>13</v>
      </c>
      <c r="E304" s="2" t="s">
        <v>14</v>
      </c>
      <c r="F304" s="2" t="s">
        <v>46</v>
      </c>
      <c r="G304" s="4">
        <v>104166</v>
      </c>
      <c r="H304" s="5" t="s">
        <v>309</v>
      </c>
      <c r="I304" s="4">
        <v>0</v>
      </c>
      <c r="J304" s="6">
        <v>44594</v>
      </c>
      <c r="K304" t="str">
        <f t="shared" si="8"/>
        <v>Q1 2022</v>
      </c>
      <c r="L304" t="str">
        <f t="shared" si="9"/>
        <v>Q1 2022</v>
      </c>
    </row>
    <row r="305" spans="1:12" ht="15.75" customHeight="1" x14ac:dyDescent="0.3">
      <c r="A305" s="2" t="s">
        <v>511</v>
      </c>
      <c r="B305" s="2" t="s">
        <v>11</v>
      </c>
      <c r="C305" s="2" t="s">
        <v>12</v>
      </c>
      <c r="D305" s="2" t="s">
        <v>13</v>
      </c>
      <c r="E305" s="2" t="s">
        <v>14</v>
      </c>
      <c r="F305" s="2" t="s">
        <v>27</v>
      </c>
      <c r="G305" s="4">
        <v>143497</v>
      </c>
      <c r="H305" s="5" t="s">
        <v>39</v>
      </c>
      <c r="I305" s="4">
        <v>0</v>
      </c>
      <c r="J305" s="6">
        <v>44603</v>
      </c>
      <c r="K305" t="str">
        <f t="shared" si="8"/>
        <v>Q1 2022</v>
      </c>
      <c r="L305" t="str">
        <f t="shared" si="9"/>
        <v>Q1 2022</v>
      </c>
    </row>
    <row r="306" spans="1:12" ht="15.75" customHeight="1" x14ac:dyDescent="0.3">
      <c r="A306" s="2" t="s">
        <v>512</v>
      </c>
      <c r="B306" s="2" t="s">
        <v>11</v>
      </c>
      <c r="C306" s="2" t="s">
        <v>12</v>
      </c>
      <c r="D306" s="2" t="s">
        <v>13</v>
      </c>
      <c r="E306" s="2" t="s">
        <v>14</v>
      </c>
      <c r="F306" s="2" t="s">
        <v>46</v>
      </c>
      <c r="G306" s="4">
        <v>127427</v>
      </c>
      <c r="H306" s="5" t="s">
        <v>513</v>
      </c>
      <c r="I306" s="4">
        <v>0</v>
      </c>
      <c r="J306" s="6">
        <v>44600</v>
      </c>
      <c r="K306" t="str">
        <f t="shared" si="8"/>
        <v>Q1 2022</v>
      </c>
      <c r="L306" t="str">
        <f t="shared" si="9"/>
        <v>Q1 2022</v>
      </c>
    </row>
    <row r="307" spans="1:12" ht="15.75" customHeight="1" x14ac:dyDescent="0.3">
      <c r="A307" s="2" t="s">
        <v>514</v>
      </c>
      <c r="B307" s="2" t="s">
        <v>11</v>
      </c>
      <c r="C307" s="2" t="s">
        <v>12</v>
      </c>
      <c r="D307" s="2" t="s">
        <v>13</v>
      </c>
      <c r="E307" s="2" t="s">
        <v>14</v>
      </c>
      <c r="F307" s="2" t="s">
        <v>46</v>
      </c>
      <c r="G307" s="4">
        <v>355370</v>
      </c>
      <c r="H307" s="5" t="s">
        <v>463</v>
      </c>
      <c r="I307" s="4">
        <v>0</v>
      </c>
      <c r="J307" s="6">
        <v>44599</v>
      </c>
      <c r="K307" t="str">
        <f t="shared" si="8"/>
        <v>Q1 2022</v>
      </c>
      <c r="L307" t="str">
        <f t="shared" si="9"/>
        <v>Q1 2022</v>
      </c>
    </row>
    <row r="308" spans="1:12" ht="15.75" customHeight="1" x14ac:dyDescent="0.3">
      <c r="A308" s="2" t="s">
        <v>515</v>
      </c>
      <c r="B308" s="2" t="s">
        <v>11</v>
      </c>
      <c r="C308" s="2" t="s">
        <v>12</v>
      </c>
      <c r="D308" s="2" t="s">
        <v>13</v>
      </c>
      <c r="E308" s="2" t="s">
        <v>14</v>
      </c>
      <c r="F308" s="2" t="s">
        <v>46</v>
      </c>
      <c r="G308" s="4">
        <v>191190</v>
      </c>
      <c r="H308" s="5" t="s">
        <v>42</v>
      </c>
      <c r="I308" s="4">
        <v>0</v>
      </c>
      <c r="J308" s="6">
        <v>44603</v>
      </c>
      <c r="K308" t="str">
        <f t="shared" si="8"/>
        <v>Q1 2022</v>
      </c>
      <c r="L308" t="str">
        <f t="shared" si="9"/>
        <v>Q1 2022</v>
      </c>
    </row>
    <row r="309" spans="1:12" ht="15.75" customHeight="1" x14ac:dyDescent="0.3">
      <c r="A309" s="2" t="s">
        <v>516</v>
      </c>
      <c r="B309" s="2" t="s">
        <v>11</v>
      </c>
      <c r="C309" s="2" t="s">
        <v>12</v>
      </c>
      <c r="D309" s="2" t="s">
        <v>13</v>
      </c>
      <c r="E309" s="2" t="s">
        <v>14</v>
      </c>
      <c r="F309" s="2" t="s">
        <v>46</v>
      </c>
      <c r="G309" s="4">
        <v>209817</v>
      </c>
      <c r="H309" s="5" t="s">
        <v>309</v>
      </c>
      <c r="I309" s="4">
        <v>0</v>
      </c>
      <c r="J309" s="6">
        <v>44594</v>
      </c>
      <c r="K309" t="str">
        <f t="shared" si="8"/>
        <v>Q1 2022</v>
      </c>
      <c r="L309" t="str">
        <f t="shared" si="9"/>
        <v>Q1 2022</v>
      </c>
    </row>
    <row r="310" spans="1:12" ht="15.75" customHeight="1" x14ac:dyDescent="0.3">
      <c r="A310" s="2" t="s">
        <v>517</v>
      </c>
      <c r="B310" s="2" t="s">
        <v>11</v>
      </c>
      <c r="C310" s="2" t="s">
        <v>12</v>
      </c>
      <c r="D310" s="2" t="s">
        <v>13</v>
      </c>
      <c r="E310" s="2" t="s">
        <v>22</v>
      </c>
      <c r="F310" s="2" t="s">
        <v>518</v>
      </c>
      <c r="G310" s="4">
        <v>49625</v>
      </c>
      <c r="H310" s="5" t="s">
        <v>82</v>
      </c>
      <c r="I310" s="4">
        <v>0</v>
      </c>
      <c r="J310" s="6">
        <v>44597</v>
      </c>
      <c r="K310" t="str">
        <f t="shared" si="8"/>
        <v>Q1 2022</v>
      </c>
      <c r="L310" t="str">
        <f t="shared" si="9"/>
        <v>Q1 2022</v>
      </c>
    </row>
    <row r="311" spans="1:12" ht="15.75" customHeight="1" x14ac:dyDescent="0.3">
      <c r="A311" s="2" t="s">
        <v>519</v>
      </c>
      <c r="B311" s="2" t="s">
        <v>11</v>
      </c>
      <c r="C311" s="2" t="s">
        <v>12</v>
      </c>
      <c r="D311" s="2" t="s">
        <v>13</v>
      </c>
      <c r="E311" s="2" t="s">
        <v>14</v>
      </c>
      <c r="F311" s="2" t="s">
        <v>46</v>
      </c>
      <c r="G311" s="4">
        <v>101488</v>
      </c>
      <c r="H311" s="5" t="s">
        <v>123</v>
      </c>
      <c r="I311" s="4">
        <v>0</v>
      </c>
      <c r="J311" s="6">
        <v>44594</v>
      </c>
      <c r="K311" t="str">
        <f t="shared" si="8"/>
        <v>Q1 2022</v>
      </c>
      <c r="L311" t="str">
        <f t="shared" si="9"/>
        <v>Q1 2022</v>
      </c>
    </row>
    <row r="312" spans="1:12" ht="15.75" customHeight="1" x14ac:dyDescent="0.3">
      <c r="A312" s="2" t="s">
        <v>520</v>
      </c>
      <c r="B312" s="2" t="s">
        <v>11</v>
      </c>
      <c r="C312" s="2" t="s">
        <v>12</v>
      </c>
      <c r="D312" s="2" t="s">
        <v>13</v>
      </c>
      <c r="E312" s="2" t="s">
        <v>14</v>
      </c>
      <c r="F312" s="2" t="s">
        <v>46</v>
      </c>
      <c r="G312" s="4">
        <v>101400</v>
      </c>
      <c r="H312" s="6">
        <v>44899</v>
      </c>
      <c r="I312" s="4">
        <v>0</v>
      </c>
      <c r="J312" s="6">
        <v>44597</v>
      </c>
      <c r="K312" t="str">
        <f t="shared" si="8"/>
        <v>Q1 2022</v>
      </c>
      <c r="L312" t="str">
        <f t="shared" si="9"/>
        <v>Q1 2022</v>
      </c>
    </row>
    <row r="313" spans="1:12" ht="15.75" customHeight="1" x14ac:dyDescent="0.3">
      <c r="A313" s="2" t="s">
        <v>521</v>
      </c>
      <c r="B313" s="2" t="s">
        <v>11</v>
      </c>
      <c r="C313" s="2" t="s">
        <v>12</v>
      </c>
      <c r="D313" s="2" t="s">
        <v>13</v>
      </c>
      <c r="E313" s="2" t="s">
        <v>14</v>
      </c>
      <c r="F313" s="2" t="s">
        <v>46</v>
      </c>
      <c r="G313" s="4">
        <v>67715</v>
      </c>
      <c r="H313" s="5" t="s">
        <v>179</v>
      </c>
      <c r="I313" s="4">
        <v>0</v>
      </c>
      <c r="J313" s="6">
        <v>44594</v>
      </c>
      <c r="K313" t="str">
        <f t="shared" si="8"/>
        <v>Q1 2022</v>
      </c>
      <c r="L313" t="str">
        <f t="shared" si="9"/>
        <v>Q1 2022</v>
      </c>
    </row>
    <row r="314" spans="1:12" ht="15.75" customHeight="1" x14ac:dyDescent="0.3">
      <c r="A314" s="2" t="s">
        <v>522</v>
      </c>
      <c r="B314" s="2" t="s">
        <v>11</v>
      </c>
      <c r="C314" s="2" t="s">
        <v>12</v>
      </c>
      <c r="D314" s="2" t="s">
        <v>13</v>
      </c>
      <c r="E314" s="2" t="s">
        <v>14</v>
      </c>
      <c r="F314" s="2" t="s">
        <v>59</v>
      </c>
      <c r="G314" s="4">
        <v>80523</v>
      </c>
      <c r="H314" s="5" t="s">
        <v>25</v>
      </c>
      <c r="I314" s="4">
        <v>0</v>
      </c>
      <c r="J314" s="6">
        <v>44603</v>
      </c>
      <c r="K314" t="str">
        <f t="shared" si="8"/>
        <v>Q1 2022</v>
      </c>
      <c r="L314" t="str">
        <f t="shared" si="9"/>
        <v>Q1 2022</v>
      </c>
    </row>
    <row r="315" spans="1:12" ht="15.75" customHeight="1" x14ac:dyDescent="0.3">
      <c r="A315" s="2" t="s">
        <v>523</v>
      </c>
      <c r="B315" s="2" t="s">
        <v>11</v>
      </c>
      <c r="C315" s="2" t="s">
        <v>12</v>
      </c>
      <c r="D315" s="2" t="s">
        <v>13</v>
      </c>
      <c r="E315" s="2" t="s">
        <v>14</v>
      </c>
      <c r="F315" s="2" t="s">
        <v>46</v>
      </c>
      <c r="G315" s="4">
        <v>67742</v>
      </c>
      <c r="H315" s="6">
        <v>44901</v>
      </c>
      <c r="I315" s="4">
        <v>0</v>
      </c>
      <c r="J315" s="6">
        <v>44599</v>
      </c>
      <c r="K315" t="str">
        <f t="shared" si="8"/>
        <v>Q1 2022</v>
      </c>
      <c r="L315" t="str">
        <f t="shared" si="9"/>
        <v>Q1 2022</v>
      </c>
    </row>
    <row r="316" spans="1:12" ht="15.75" customHeight="1" x14ac:dyDescent="0.3">
      <c r="A316" s="2" t="s">
        <v>524</v>
      </c>
      <c r="B316" s="2" t="s">
        <v>11</v>
      </c>
      <c r="C316" s="2" t="s">
        <v>12</v>
      </c>
      <c r="D316" s="2" t="s">
        <v>13</v>
      </c>
      <c r="E316" s="2" t="s">
        <v>14</v>
      </c>
      <c r="F316" s="2" t="s">
        <v>46</v>
      </c>
      <c r="G316" s="4">
        <v>96217</v>
      </c>
      <c r="H316" s="5" t="s">
        <v>463</v>
      </c>
      <c r="I316" s="4">
        <v>0</v>
      </c>
      <c r="J316" s="6">
        <v>44598</v>
      </c>
      <c r="K316" t="str">
        <f t="shared" si="8"/>
        <v>Q1 2022</v>
      </c>
      <c r="L316" t="str">
        <f t="shared" si="9"/>
        <v>Q1 2022</v>
      </c>
    </row>
    <row r="317" spans="1:12" ht="15.75" customHeight="1" x14ac:dyDescent="0.3">
      <c r="A317" s="2" t="s">
        <v>525</v>
      </c>
      <c r="B317" s="2" t="s">
        <v>11</v>
      </c>
      <c r="C317" s="2" t="s">
        <v>12</v>
      </c>
      <c r="D317" s="2" t="s">
        <v>13</v>
      </c>
      <c r="E317" s="2" t="s">
        <v>14</v>
      </c>
      <c r="F317" s="2" t="s">
        <v>46</v>
      </c>
      <c r="G317" s="4">
        <v>90293</v>
      </c>
      <c r="H317" s="5" t="s">
        <v>39</v>
      </c>
      <c r="I317" s="4">
        <v>0</v>
      </c>
      <c r="J317" s="6">
        <v>44603</v>
      </c>
      <c r="K317" t="str">
        <f t="shared" si="8"/>
        <v>Q1 2022</v>
      </c>
      <c r="L317" t="str">
        <f t="shared" si="9"/>
        <v>Q1 2022</v>
      </c>
    </row>
    <row r="318" spans="1:12" ht="15.75" customHeight="1" x14ac:dyDescent="0.3">
      <c r="A318" s="80" t="s">
        <v>526</v>
      </c>
      <c r="B318" s="2" t="s">
        <v>11</v>
      </c>
      <c r="C318" s="2" t="s">
        <v>12</v>
      </c>
      <c r="D318" s="2" t="s">
        <v>13</v>
      </c>
      <c r="E318" s="2" t="s">
        <v>14</v>
      </c>
      <c r="F318" s="2" t="s">
        <v>27</v>
      </c>
      <c r="G318" s="4">
        <v>270429</v>
      </c>
      <c r="H318" s="5" t="s">
        <v>25</v>
      </c>
      <c r="I318" s="4">
        <v>0</v>
      </c>
      <c r="J318" s="6">
        <v>44603</v>
      </c>
      <c r="K318" t="str">
        <f t="shared" si="8"/>
        <v>Q1 2022</v>
      </c>
      <c r="L318" t="str">
        <f t="shared" si="9"/>
        <v>Q1 2022</v>
      </c>
    </row>
    <row r="319" spans="1:12" ht="15.75" customHeight="1" x14ac:dyDescent="0.3">
      <c r="A319" s="2" t="s">
        <v>527</v>
      </c>
      <c r="B319" s="2" t="s">
        <v>11</v>
      </c>
      <c r="C319" s="2" t="s">
        <v>12</v>
      </c>
      <c r="D319" s="2" t="s">
        <v>13</v>
      </c>
      <c r="E319" s="2" t="s">
        <v>14</v>
      </c>
      <c r="F319" s="2" t="s">
        <v>27</v>
      </c>
      <c r="G319" s="4">
        <v>63020</v>
      </c>
      <c r="H319" s="6">
        <v>44623</v>
      </c>
      <c r="I319" s="4">
        <v>0</v>
      </c>
      <c r="J319" s="6">
        <v>44596</v>
      </c>
      <c r="K319" t="str">
        <f t="shared" si="8"/>
        <v>Q1 2022</v>
      </c>
      <c r="L319" t="str">
        <f t="shared" si="9"/>
        <v>Q1 2022</v>
      </c>
    </row>
    <row r="320" spans="1:12" ht="15.75" customHeight="1" x14ac:dyDescent="0.3">
      <c r="A320" s="2" t="s">
        <v>528</v>
      </c>
      <c r="B320" s="2" t="s">
        <v>11</v>
      </c>
      <c r="C320" s="2" t="s">
        <v>57</v>
      </c>
      <c r="D320" s="2" t="s">
        <v>13</v>
      </c>
      <c r="E320" s="2" t="s">
        <v>14</v>
      </c>
      <c r="F320" s="2" t="s">
        <v>529</v>
      </c>
      <c r="G320" s="4">
        <v>71125</v>
      </c>
      <c r="H320" s="5" t="s">
        <v>322</v>
      </c>
      <c r="I320" s="4">
        <v>0</v>
      </c>
      <c r="J320" s="6">
        <v>44594</v>
      </c>
      <c r="K320" t="str">
        <f t="shared" si="8"/>
        <v>Q1 2022</v>
      </c>
      <c r="L320" t="str">
        <f t="shared" si="9"/>
        <v>Q1 2022</v>
      </c>
    </row>
    <row r="321" spans="1:12" ht="15.75" customHeight="1" x14ac:dyDescent="0.3">
      <c r="A321" s="2" t="s">
        <v>530</v>
      </c>
      <c r="B321" s="2" t="s">
        <v>11</v>
      </c>
      <c r="C321" s="2" t="s">
        <v>12</v>
      </c>
      <c r="D321" s="2" t="s">
        <v>13</v>
      </c>
      <c r="E321" s="2" t="s">
        <v>14</v>
      </c>
      <c r="F321" s="2" t="s">
        <v>15</v>
      </c>
      <c r="G321" s="4">
        <v>48820</v>
      </c>
      <c r="H321" s="5" t="s">
        <v>30</v>
      </c>
      <c r="I321" s="4">
        <v>0</v>
      </c>
      <c r="J321" s="6">
        <v>44603</v>
      </c>
      <c r="K321" t="str">
        <f t="shared" si="8"/>
        <v>Q1 2022</v>
      </c>
      <c r="L321" t="str">
        <f t="shared" si="9"/>
        <v>Q1 2022</v>
      </c>
    </row>
    <row r="322" spans="1:12" ht="15.75" customHeight="1" x14ac:dyDescent="0.3">
      <c r="A322" s="2" t="s">
        <v>531</v>
      </c>
      <c r="B322" s="2" t="s">
        <v>11</v>
      </c>
      <c r="C322" s="2" t="s">
        <v>57</v>
      </c>
      <c r="D322" s="2" t="s">
        <v>13</v>
      </c>
      <c r="E322" s="2" t="s">
        <v>14</v>
      </c>
      <c r="F322" s="2" t="s">
        <v>532</v>
      </c>
      <c r="G322" s="4">
        <v>118761</v>
      </c>
      <c r="H322" s="6">
        <v>44629</v>
      </c>
      <c r="I322" s="4">
        <v>0</v>
      </c>
      <c r="J322" s="6">
        <v>44603</v>
      </c>
      <c r="K322" t="str">
        <f t="shared" ref="K322:K385" si="10">"Q" &amp; ROUNDUP(MONTH(J:J)/3,0) &amp; " " &amp; YEAR(J:J)</f>
        <v>Q1 2022</v>
      </c>
      <c r="L322" t="str">
        <f t="shared" ref="L322:L385" si="11">"Q" &amp; ROUNDUP(MONTH(J:J)/3,0) &amp; " " &amp; YEAR(J:J)</f>
        <v>Q1 2022</v>
      </c>
    </row>
    <row r="323" spans="1:12" ht="15.75" customHeight="1" x14ac:dyDescent="0.3">
      <c r="A323" s="2" t="s">
        <v>533</v>
      </c>
      <c r="B323" s="2" t="s">
        <v>11</v>
      </c>
      <c r="C323" s="2" t="s">
        <v>12</v>
      </c>
      <c r="D323" s="2" t="s">
        <v>13</v>
      </c>
      <c r="E323" s="2" t="s">
        <v>14</v>
      </c>
      <c r="F323" s="2" t="s">
        <v>85</v>
      </c>
      <c r="G323" s="4">
        <v>74208</v>
      </c>
      <c r="H323" s="5" t="s">
        <v>192</v>
      </c>
      <c r="I323" s="4">
        <v>0</v>
      </c>
      <c r="J323" s="6">
        <v>44595</v>
      </c>
      <c r="K323" t="str">
        <f t="shared" si="10"/>
        <v>Q1 2022</v>
      </c>
      <c r="L323" t="str">
        <f t="shared" si="11"/>
        <v>Q1 2022</v>
      </c>
    </row>
    <row r="324" spans="1:12" ht="15.75" customHeight="1" x14ac:dyDescent="0.3">
      <c r="A324" s="2" t="s">
        <v>534</v>
      </c>
      <c r="B324" s="2" t="s">
        <v>11</v>
      </c>
      <c r="C324" s="2" t="s">
        <v>12</v>
      </c>
      <c r="D324" s="2" t="s">
        <v>13</v>
      </c>
      <c r="E324" s="2" t="s">
        <v>14</v>
      </c>
      <c r="F324" s="2" t="s">
        <v>132</v>
      </c>
      <c r="G324" s="4">
        <v>62337</v>
      </c>
      <c r="H324" s="6">
        <v>44624</v>
      </c>
      <c r="I324" s="4">
        <v>0</v>
      </c>
      <c r="J324" s="6">
        <v>44598</v>
      </c>
      <c r="K324" t="str">
        <f t="shared" si="10"/>
        <v>Q1 2022</v>
      </c>
      <c r="L324" t="str">
        <f t="shared" si="11"/>
        <v>Q1 2022</v>
      </c>
    </row>
    <row r="325" spans="1:12" ht="15.75" customHeight="1" x14ac:dyDescent="0.3">
      <c r="A325" s="2" t="s">
        <v>535</v>
      </c>
      <c r="B325" s="2" t="s">
        <v>11</v>
      </c>
      <c r="C325" s="2" t="s">
        <v>12</v>
      </c>
      <c r="D325" s="2" t="s">
        <v>13</v>
      </c>
      <c r="E325" s="2" t="s">
        <v>14</v>
      </c>
      <c r="F325" s="2" t="s">
        <v>85</v>
      </c>
      <c r="G325" s="4">
        <v>106208</v>
      </c>
      <c r="H325" s="5" t="s">
        <v>39</v>
      </c>
      <c r="I325" s="4">
        <v>0</v>
      </c>
      <c r="J325" s="6">
        <v>44604</v>
      </c>
      <c r="K325" t="str">
        <f t="shared" si="10"/>
        <v>Q1 2022</v>
      </c>
      <c r="L325" t="str">
        <f t="shared" si="11"/>
        <v>Q1 2022</v>
      </c>
    </row>
    <row r="326" spans="1:12" ht="15.75" customHeight="1" x14ac:dyDescent="0.3">
      <c r="A326" s="2" t="s">
        <v>536</v>
      </c>
      <c r="B326" s="2" t="s">
        <v>11</v>
      </c>
      <c r="C326" s="2" t="s">
        <v>57</v>
      </c>
      <c r="D326" s="2" t="s">
        <v>13</v>
      </c>
      <c r="E326" s="2" t="s">
        <v>14</v>
      </c>
      <c r="F326" s="2" t="s">
        <v>15</v>
      </c>
      <c r="G326" s="4">
        <v>122068</v>
      </c>
      <c r="H326" s="5" t="s">
        <v>236</v>
      </c>
      <c r="I326" s="4">
        <v>0</v>
      </c>
      <c r="J326" s="6">
        <v>44596</v>
      </c>
      <c r="K326" t="str">
        <f t="shared" si="10"/>
        <v>Q1 2022</v>
      </c>
      <c r="L326" t="str">
        <f t="shared" si="11"/>
        <v>Q1 2022</v>
      </c>
    </row>
    <row r="327" spans="1:12" ht="15.75" customHeight="1" x14ac:dyDescent="0.3">
      <c r="A327" s="2" t="s">
        <v>537</v>
      </c>
      <c r="B327" s="2" t="s">
        <v>11</v>
      </c>
      <c r="C327" s="2" t="s">
        <v>12</v>
      </c>
      <c r="D327" s="2" t="s">
        <v>13</v>
      </c>
      <c r="E327" s="2" t="s">
        <v>14</v>
      </c>
      <c r="F327" s="2" t="s">
        <v>538</v>
      </c>
      <c r="G327" s="4">
        <v>112085</v>
      </c>
      <c r="H327" s="6">
        <v>44628</v>
      </c>
      <c r="I327" s="4">
        <v>0</v>
      </c>
      <c r="J327" s="6">
        <v>44601</v>
      </c>
      <c r="K327" t="str">
        <f t="shared" si="10"/>
        <v>Q1 2022</v>
      </c>
      <c r="L327" t="str">
        <f t="shared" si="11"/>
        <v>Q1 2022</v>
      </c>
    </row>
    <row r="328" spans="1:12" ht="15.75" customHeight="1" x14ac:dyDescent="0.3">
      <c r="A328" s="2" t="s">
        <v>539</v>
      </c>
      <c r="B328" s="2" t="s">
        <v>11</v>
      </c>
      <c r="C328" s="2" t="s">
        <v>12</v>
      </c>
      <c r="D328" s="2" t="s">
        <v>13</v>
      </c>
      <c r="E328" s="2" t="s">
        <v>14</v>
      </c>
      <c r="F328" s="2" t="s">
        <v>27</v>
      </c>
      <c r="G328" s="4">
        <v>189857</v>
      </c>
      <c r="H328" s="6">
        <v>44239</v>
      </c>
      <c r="I328" s="4">
        <v>0</v>
      </c>
      <c r="J328" s="6">
        <v>44562</v>
      </c>
      <c r="K328" t="str">
        <f t="shared" si="10"/>
        <v>Q1 2022</v>
      </c>
      <c r="L328" t="str">
        <f t="shared" si="11"/>
        <v>Q1 2022</v>
      </c>
    </row>
    <row r="329" spans="1:12" ht="15.75" customHeight="1" x14ac:dyDescent="0.3">
      <c r="A329" s="2" t="s">
        <v>540</v>
      </c>
      <c r="B329" s="2" t="s">
        <v>11</v>
      </c>
      <c r="C329" s="2" t="s">
        <v>12</v>
      </c>
      <c r="D329" s="2" t="s">
        <v>13</v>
      </c>
      <c r="E329" s="2" t="s">
        <v>14</v>
      </c>
      <c r="F329" s="2" t="s">
        <v>15</v>
      </c>
      <c r="G329" s="4">
        <v>120677</v>
      </c>
      <c r="H329" s="5" t="s">
        <v>123</v>
      </c>
      <c r="I329" s="4">
        <v>0</v>
      </c>
      <c r="J329" s="6">
        <v>44594</v>
      </c>
      <c r="K329" t="str">
        <f t="shared" si="10"/>
        <v>Q1 2022</v>
      </c>
      <c r="L329" t="str">
        <f t="shared" si="11"/>
        <v>Q1 2022</v>
      </c>
    </row>
    <row r="330" spans="1:12" ht="15.75" customHeight="1" x14ac:dyDescent="0.3">
      <c r="A330" s="2" t="s">
        <v>541</v>
      </c>
      <c r="B330" s="2" t="s">
        <v>20</v>
      </c>
      <c r="C330" s="2" t="s">
        <v>21</v>
      </c>
      <c r="D330" s="2" t="s">
        <v>13</v>
      </c>
      <c r="E330" s="2" t="s">
        <v>14</v>
      </c>
      <c r="F330" s="2" t="s">
        <v>46</v>
      </c>
      <c r="G330" s="4">
        <v>235793</v>
      </c>
      <c r="H330" s="5" t="s">
        <v>542</v>
      </c>
      <c r="I330" s="4">
        <v>39299</v>
      </c>
      <c r="J330" s="6">
        <v>44692</v>
      </c>
      <c r="K330" t="str">
        <f t="shared" si="10"/>
        <v>Q2 2022</v>
      </c>
      <c r="L330" t="str">
        <f t="shared" si="11"/>
        <v>Q2 2022</v>
      </c>
    </row>
    <row r="331" spans="1:12" ht="15.75" customHeight="1" x14ac:dyDescent="0.3">
      <c r="A331" s="2" t="s">
        <v>543</v>
      </c>
      <c r="B331" s="2" t="s">
        <v>11</v>
      </c>
      <c r="C331" s="2" t="s">
        <v>12</v>
      </c>
      <c r="D331" s="2" t="s">
        <v>13</v>
      </c>
      <c r="E331" s="2" t="s">
        <v>14</v>
      </c>
      <c r="F331" s="2" t="s">
        <v>85</v>
      </c>
      <c r="G331" s="4">
        <v>87037</v>
      </c>
      <c r="H331" s="5" t="s">
        <v>39</v>
      </c>
      <c r="I331" s="4">
        <v>0</v>
      </c>
      <c r="J331" s="6">
        <v>44603</v>
      </c>
      <c r="K331" t="str">
        <f t="shared" si="10"/>
        <v>Q1 2022</v>
      </c>
      <c r="L331" t="str">
        <f t="shared" si="11"/>
        <v>Q1 2022</v>
      </c>
    </row>
    <row r="332" spans="1:12" ht="15.75" customHeight="1" x14ac:dyDescent="0.3">
      <c r="A332" s="2" t="s">
        <v>544</v>
      </c>
      <c r="B332" s="2" t="s">
        <v>11</v>
      </c>
      <c r="C332" s="2" t="s">
        <v>57</v>
      </c>
      <c r="D332" s="2" t="s">
        <v>13</v>
      </c>
      <c r="E332" s="2" t="s">
        <v>14</v>
      </c>
      <c r="F332" s="2" t="s">
        <v>46</v>
      </c>
      <c r="G332" s="4">
        <v>138786</v>
      </c>
      <c r="H332" s="5" t="s">
        <v>30</v>
      </c>
      <c r="I332" s="4">
        <v>0</v>
      </c>
      <c r="J332" s="6">
        <v>44603</v>
      </c>
      <c r="K332" t="str">
        <f t="shared" si="10"/>
        <v>Q1 2022</v>
      </c>
      <c r="L332" t="str">
        <f t="shared" si="11"/>
        <v>Q1 2022</v>
      </c>
    </row>
    <row r="333" spans="1:12" ht="15.75" customHeight="1" x14ac:dyDescent="0.3">
      <c r="A333" s="2" t="s">
        <v>545</v>
      </c>
      <c r="B333" s="2" t="s">
        <v>11</v>
      </c>
      <c r="C333" s="2" t="s">
        <v>12</v>
      </c>
      <c r="D333" s="2" t="s">
        <v>13</v>
      </c>
      <c r="E333" s="2" t="s">
        <v>14</v>
      </c>
      <c r="F333" s="2" t="s">
        <v>15</v>
      </c>
      <c r="G333" s="4">
        <v>115160</v>
      </c>
      <c r="H333" s="5" t="s">
        <v>25</v>
      </c>
      <c r="I333" s="4">
        <v>0</v>
      </c>
      <c r="J333" s="6">
        <v>44603</v>
      </c>
      <c r="K333" t="str">
        <f t="shared" si="10"/>
        <v>Q1 2022</v>
      </c>
      <c r="L333" t="str">
        <f t="shared" si="11"/>
        <v>Q1 2022</v>
      </c>
    </row>
    <row r="334" spans="1:12" ht="15.75" customHeight="1" x14ac:dyDescent="0.3">
      <c r="A334" s="2" t="s">
        <v>546</v>
      </c>
      <c r="B334" s="2" t="s">
        <v>11</v>
      </c>
      <c r="C334" s="2" t="s">
        <v>12</v>
      </c>
      <c r="D334" s="2" t="s">
        <v>13</v>
      </c>
      <c r="E334" s="2" t="s">
        <v>14</v>
      </c>
      <c r="F334" s="2" t="s">
        <v>547</v>
      </c>
      <c r="G334" s="4">
        <v>169608</v>
      </c>
      <c r="H334" s="5" t="s">
        <v>25</v>
      </c>
      <c r="I334" s="4">
        <v>0</v>
      </c>
      <c r="J334" s="6">
        <v>44603</v>
      </c>
      <c r="K334" t="str">
        <f t="shared" si="10"/>
        <v>Q1 2022</v>
      </c>
      <c r="L334" t="str">
        <f t="shared" si="11"/>
        <v>Q1 2022</v>
      </c>
    </row>
    <row r="335" spans="1:12" ht="15.75" customHeight="1" x14ac:dyDescent="0.3">
      <c r="A335" s="2" t="s">
        <v>548</v>
      </c>
      <c r="B335" s="2" t="s">
        <v>11</v>
      </c>
      <c r="C335" s="2" t="s">
        <v>12</v>
      </c>
      <c r="D335" s="2" t="s">
        <v>13</v>
      </c>
      <c r="E335" s="2" t="s">
        <v>14</v>
      </c>
      <c r="F335" s="2" t="s">
        <v>549</v>
      </c>
      <c r="G335" s="4">
        <v>189835</v>
      </c>
      <c r="H335" s="5" t="s">
        <v>39</v>
      </c>
      <c r="I335" s="4">
        <v>0</v>
      </c>
      <c r="J335" s="6">
        <v>44603</v>
      </c>
      <c r="K335" t="str">
        <f t="shared" si="10"/>
        <v>Q1 2022</v>
      </c>
      <c r="L335" t="str">
        <f t="shared" si="11"/>
        <v>Q1 2022</v>
      </c>
    </row>
    <row r="336" spans="1:12" ht="15.75" customHeight="1" x14ac:dyDescent="0.3">
      <c r="A336" s="2" t="s">
        <v>550</v>
      </c>
      <c r="B336" s="2" t="s">
        <v>11</v>
      </c>
      <c r="C336" s="2" t="s">
        <v>12</v>
      </c>
      <c r="D336" s="2" t="s">
        <v>13</v>
      </c>
      <c r="E336" s="2" t="s">
        <v>14</v>
      </c>
      <c r="F336" s="2" t="s">
        <v>551</v>
      </c>
      <c r="G336" s="4">
        <v>219470</v>
      </c>
      <c r="H336" s="6">
        <v>44629</v>
      </c>
      <c r="I336" s="4">
        <v>0</v>
      </c>
      <c r="J336" s="6">
        <v>44603</v>
      </c>
      <c r="K336" t="str">
        <f t="shared" si="10"/>
        <v>Q1 2022</v>
      </c>
      <c r="L336" t="str">
        <f t="shared" si="11"/>
        <v>Q1 2022</v>
      </c>
    </row>
    <row r="337" spans="1:12" ht="15.75" customHeight="1" x14ac:dyDescent="0.3">
      <c r="A337" s="2" t="s">
        <v>552</v>
      </c>
      <c r="B337" s="2" t="s">
        <v>11</v>
      </c>
      <c r="C337" s="2" t="s">
        <v>57</v>
      </c>
      <c r="D337" s="2" t="s">
        <v>13</v>
      </c>
      <c r="E337" s="2" t="s">
        <v>14</v>
      </c>
      <c r="F337" s="2" t="s">
        <v>46</v>
      </c>
      <c r="G337" s="4">
        <v>134196</v>
      </c>
      <c r="H337" s="5" t="s">
        <v>30</v>
      </c>
      <c r="I337" s="4">
        <v>0</v>
      </c>
      <c r="J337" s="6">
        <v>44603</v>
      </c>
      <c r="K337" t="str">
        <f t="shared" si="10"/>
        <v>Q1 2022</v>
      </c>
      <c r="L337" t="str">
        <f t="shared" si="11"/>
        <v>Q1 2022</v>
      </c>
    </row>
    <row r="338" spans="1:12" ht="15.75" customHeight="1" x14ac:dyDescent="0.3">
      <c r="A338" s="2" t="s">
        <v>553</v>
      </c>
      <c r="B338" s="2" t="s">
        <v>11</v>
      </c>
      <c r="C338" s="2" t="s">
        <v>12</v>
      </c>
      <c r="D338" s="2" t="s">
        <v>13</v>
      </c>
      <c r="E338" s="2" t="s">
        <v>14</v>
      </c>
      <c r="F338" s="2" t="s">
        <v>27</v>
      </c>
      <c r="G338" s="4">
        <v>132539</v>
      </c>
      <c r="H338" s="6">
        <v>44630</v>
      </c>
      <c r="I338" s="4">
        <v>0</v>
      </c>
      <c r="J338" s="6">
        <v>44603</v>
      </c>
      <c r="K338" t="str">
        <f t="shared" si="10"/>
        <v>Q1 2022</v>
      </c>
      <c r="L338" t="str">
        <f t="shared" si="11"/>
        <v>Q1 2022</v>
      </c>
    </row>
    <row r="339" spans="1:12" ht="15.75" customHeight="1" x14ac:dyDescent="0.3">
      <c r="A339" s="2" t="s">
        <v>554</v>
      </c>
      <c r="B339" s="2" t="s">
        <v>11</v>
      </c>
      <c r="C339" s="2" t="s">
        <v>57</v>
      </c>
      <c r="D339" s="2" t="s">
        <v>13</v>
      </c>
      <c r="E339" s="2" t="s">
        <v>14</v>
      </c>
      <c r="F339" s="2" t="s">
        <v>46</v>
      </c>
      <c r="G339" s="4">
        <v>108925</v>
      </c>
      <c r="H339" s="5" t="s">
        <v>71</v>
      </c>
      <c r="I339" s="4">
        <v>0</v>
      </c>
      <c r="J339" s="6">
        <v>44603</v>
      </c>
      <c r="K339" t="str">
        <f t="shared" si="10"/>
        <v>Q1 2022</v>
      </c>
      <c r="L339" t="str">
        <f t="shared" si="11"/>
        <v>Q1 2022</v>
      </c>
    </row>
    <row r="340" spans="1:12" ht="15.75" customHeight="1" x14ac:dyDescent="0.3">
      <c r="A340" s="2" t="s">
        <v>555</v>
      </c>
      <c r="B340" s="2" t="s">
        <v>11</v>
      </c>
      <c r="C340" s="2" t="s">
        <v>12</v>
      </c>
      <c r="D340" s="2" t="s">
        <v>13</v>
      </c>
      <c r="E340" s="2" t="s">
        <v>14</v>
      </c>
      <c r="F340" s="2" t="s">
        <v>15</v>
      </c>
      <c r="G340" s="4">
        <v>142085</v>
      </c>
      <c r="H340" s="6">
        <v>44563</v>
      </c>
      <c r="I340" s="4">
        <v>0</v>
      </c>
      <c r="J340" s="6">
        <v>44596</v>
      </c>
      <c r="K340" t="str">
        <f t="shared" si="10"/>
        <v>Q1 2022</v>
      </c>
      <c r="L340" t="str">
        <f t="shared" si="11"/>
        <v>Q1 2022</v>
      </c>
    </row>
    <row r="341" spans="1:12" ht="15.75" customHeight="1" x14ac:dyDescent="0.3">
      <c r="A341" s="2" t="s">
        <v>556</v>
      </c>
      <c r="B341" s="2" t="s">
        <v>11</v>
      </c>
      <c r="C341" s="2" t="s">
        <v>12</v>
      </c>
      <c r="D341" s="2" t="s">
        <v>13</v>
      </c>
      <c r="E341" s="2" t="s">
        <v>14</v>
      </c>
      <c r="F341" s="2" t="s">
        <v>46</v>
      </c>
      <c r="G341" s="4">
        <v>115580</v>
      </c>
      <c r="H341" s="6">
        <v>44866</v>
      </c>
      <c r="I341" s="4">
        <v>0</v>
      </c>
      <c r="J341" s="6">
        <v>44595</v>
      </c>
      <c r="K341" t="str">
        <f t="shared" si="10"/>
        <v>Q1 2022</v>
      </c>
      <c r="L341" t="str">
        <f t="shared" si="11"/>
        <v>Q1 2022</v>
      </c>
    </row>
    <row r="342" spans="1:12" ht="15.75" customHeight="1" x14ac:dyDescent="0.3">
      <c r="A342" s="2" t="s">
        <v>557</v>
      </c>
      <c r="B342" s="2" t="s">
        <v>11</v>
      </c>
      <c r="C342" s="2" t="s">
        <v>57</v>
      </c>
      <c r="D342" s="2" t="s">
        <v>13</v>
      </c>
      <c r="E342" s="2" t="s">
        <v>14</v>
      </c>
      <c r="F342" s="2" t="s">
        <v>52</v>
      </c>
      <c r="G342" s="4">
        <v>32000</v>
      </c>
      <c r="H342" s="5" t="s">
        <v>30</v>
      </c>
      <c r="I342" s="4">
        <v>0</v>
      </c>
      <c r="J342" s="6">
        <v>44603</v>
      </c>
      <c r="K342" t="str">
        <f t="shared" si="10"/>
        <v>Q1 2022</v>
      </c>
      <c r="L342" t="str">
        <f t="shared" si="11"/>
        <v>Q1 2022</v>
      </c>
    </row>
    <row r="343" spans="1:12" ht="15.75" customHeight="1" x14ac:dyDescent="0.3">
      <c r="A343" s="2" t="s">
        <v>558</v>
      </c>
      <c r="B343" s="2" t="s">
        <v>11</v>
      </c>
      <c r="C343" s="2" t="s">
        <v>12</v>
      </c>
      <c r="D343" s="2" t="s">
        <v>13</v>
      </c>
      <c r="E343" s="2" t="s">
        <v>14</v>
      </c>
      <c r="F343" s="2" t="s">
        <v>85</v>
      </c>
      <c r="G343" s="4">
        <v>74045</v>
      </c>
      <c r="H343" s="5" t="s">
        <v>142</v>
      </c>
      <c r="I343" s="4">
        <v>0</v>
      </c>
      <c r="J343" s="6">
        <v>44597</v>
      </c>
      <c r="K343" t="str">
        <f t="shared" si="10"/>
        <v>Q1 2022</v>
      </c>
      <c r="L343" t="str">
        <f t="shared" si="11"/>
        <v>Q1 2022</v>
      </c>
    </row>
    <row r="344" spans="1:12" ht="15.75" customHeight="1" x14ac:dyDescent="0.3">
      <c r="A344" s="2" t="s">
        <v>559</v>
      </c>
      <c r="B344" s="2" t="s">
        <v>11</v>
      </c>
      <c r="C344" s="2" t="s">
        <v>12</v>
      </c>
      <c r="D344" s="2" t="s">
        <v>13</v>
      </c>
      <c r="E344" s="2" t="s">
        <v>14</v>
      </c>
      <c r="F344" s="2" t="s">
        <v>85</v>
      </c>
      <c r="G344" s="4">
        <v>104988</v>
      </c>
      <c r="H344" s="6">
        <v>44630</v>
      </c>
      <c r="I344" s="4">
        <v>0</v>
      </c>
      <c r="J344" s="6">
        <v>44603</v>
      </c>
      <c r="K344" t="str">
        <f t="shared" si="10"/>
        <v>Q1 2022</v>
      </c>
      <c r="L344" t="str">
        <f t="shared" si="11"/>
        <v>Q1 2022</v>
      </c>
    </row>
    <row r="345" spans="1:12" ht="15.75" customHeight="1" x14ac:dyDescent="0.3">
      <c r="A345" s="2" t="s">
        <v>560</v>
      </c>
      <c r="B345" s="2" t="s">
        <v>11</v>
      </c>
      <c r="C345" s="2" t="s">
        <v>12</v>
      </c>
      <c r="D345" s="2" t="s">
        <v>13</v>
      </c>
      <c r="E345" s="2" t="s">
        <v>14</v>
      </c>
      <c r="F345" s="2" t="s">
        <v>561</v>
      </c>
      <c r="G345" s="4">
        <v>235733</v>
      </c>
      <c r="H345" s="5" t="s">
        <v>39</v>
      </c>
      <c r="I345" s="4">
        <v>0</v>
      </c>
      <c r="J345" s="6">
        <v>44603</v>
      </c>
      <c r="K345" t="str">
        <f t="shared" si="10"/>
        <v>Q1 2022</v>
      </c>
      <c r="L345" t="str">
        <f t="shared" si="11"/>
        <v>Q1 2022</v>
      </c>
    </row>
    <row r="346" spans="1:12" ht="15.75" customHeight="1" x14ac:dyDescent="0.3">
      <c r="A346" s="2" t="s">
        <v>562</v>
      </c>
      <c r="B346" s="2" t="s">
        <v>11</v>
      </c>
      <c r="C346" s="2" t="s">
        <v>12</v>
      </c>
      <c r="D346" s="2" t="s">
        <v>13</v>
      </c>
      <c r="E346" s="2" t="s">
        <v>14</v>
      </c>
      <c r="F346" s="2" t="s">
        <v>85</v>
      </c>
      <c r="G346" s="4">
        <v>204921</v>
      </c>
      <c r="H346" s="5" t="s">
        <v>154</v>
      </c>
      <c r="I346" s="4">
        <v>0</v>
      </c>
      <c r="J346" s="6">
        <v>44600</v>
      </c>
      <c r="K346" t="str">
        <f t="shared" si="10"/>
        <v>Q1 2022</v>
      </c>
      <c r="L346" t="str">
        <f t="shared" si="11"/>
        <v>Q1 2022</v>
      </c>
    </row>
    <row r="347" spans="1:12" ht="15.75" customHeight="1" x14ac:dyDescent="0.3">
      <c r="A347" s="2" t="s">
        <v>563</v>
      </c>
      <c r="B347" s="2" t="s">
        <v>11</v>
      </c>
      <c r="C347" s="2" t="s">
        <v>12</v>
      </c>
      <c r="D347" s="2" t="s">
        <v>13</v>
      </c>
      <c r="E347" s="2" t="s">
        <v>14</v>
      </c>
      <c r="F347" s="2" t="s">
        <v>564</v>
      </c>
      <c r="G347" s="4">
        <v>88858</v>
      </c>
      <c r="H347" s="5" t="s">
        <v>93</v>
      </c>
      <c r="I347" s="4">
        <v>0</v>
      </c>
      <c r="J347" s="6">
        <v>44602</v>
      </c>
      <c r="K347" t="str">
        <f t="shared" si="10"/>
        <v>Q1 2022</v>
      </c>
      <c r="L347" t="str">
        <f t="shared" si="11"/>
        <v>Q1 2022</v>
      </c>
    </row>
    <row r="348" spans="1:12" ht="15.75" customHeight="1" x14ac:dyDescent="0.3">
      <c r="A348" s="2" t="s">
        <v>565</v>
      </c>
      <c r="B348" s="2" t="s">
        <v>11</v>
      </c>
      <c r="C348" s="2" t="s">
        <v>12</v>
      </c>
      <c r="D348" s="2" t="s">
        <v>13</v>
      </c>
      <c r="E348" s="2" t="s">
        <v>14</v>
      </c>
      <c r="F348" s="2" t="s">
        <v>227</v>
      </c>
      <c r="G348" s="4">
        <v>108983</v>
      </c>
      <c r="H348" s="5" t="s">
        <v>39</v>
      </c>
      <c r="I348" s="4">
        <v>0</v>
      </c>
      <c r="J348" s="6">
        <v>44603</v>
      </c>
      <c r="K348" t="str">
        <f t="shared" si="10"/>
        <v>Q1 2022</v>
      </c>
      <c r="L348" t="str">
        <f t="shared" si="11"/>
        <v>Q1 2022</v>
      </c>
    </row>
    <row r="349" spans="1:12" ht="15.75" customHeight="1" x14ac:dyDescent="0.3">
      <c r="A349" s="2" t="s">
        <v>566</v>
      </c>
      <c r="B349" s="2" t="s">
        <v>11</v>
      </c>
      <c r="C349" s="2" t="s">
        <v>12</v>
      </c>
      <c r="D349" s="2" t="s">
        <v>13</v>
      </c>
      <c r="E349" s="2" t="s">
        <v>14</v>
      </c>
      <c r="F349" s="2" t="s">
        <v>567</v>
      </c>
      <c r="G349" s="4">
        <v>75881</v>
      </c>
      <c r="H349" s="6">
        <v>44899</v>
      </c>
      <c r="I349" s="4">
        <v>0</v>
      </c>
      <c r="J349" s="6">
        <v>44597</v>
      </c>
      <c r="K349" t="str">
        <f t="shared" si="10"/>
        <v>Q1 2022</v>
      </c>
      <c r="L349" t="str">
        <f t="shared" si="11"/>
        <v>Q1 2022</v>
      </c>
    </row>
    <row r="350" spans="1:12" ht="15.75" customHeight="1" x14ac:dyDescent="0.3">
      <c r="A350" s="2" t="s">
        <v>568</v>
      </c>
      <c r="B350" s="2" t="s">
        <v>11</v>
      </c>
      <c r="C350" s="2" t="s">
        <v>12</v>
      </c>
      <c r="D350" s="2" t="s">
        <v>13</v>
      </c>
      <c r="E350" s="2" t="s">
        <v>14</v>
      </c>
      <c r="F350" s="2" t="s">
        <v>569</v>
      </c>
      <c r="G350" s="4">
        <v>120013</v>
      </c>
      <c r="H350" s="6">
        <v>44630</v>
      </c>
      <c r="I350" s="4">
        <v>0</v>
      </c>
      <c r="J350" s="6">
        <v>44603</v>
      </c>
      <c r="K350" t="str">
        <f t="shared" si="10"/>
        <v>Q1 2022</v>
      </c>
      <c r="L350" t="str">
        <f t="shared" si="11"/>
        <v>Q1 2022</v>
      </c>
    </row>
    <row r="351" spans="1:12" ht="15.75" customHeight="1" x14ac:dyDescent="0.3">
      <c r="A351" s="2" t="s">
        <v>570</v>
      </c>
      <c r="B351" s="2" t="s">
        <v>11</v>
      </c>
      <c r="C351" s="2" t="s">
        <v>12</v>
      </c>
      <c r="D351" s="2" t="s">
        <v>13</v>
      </c>
      <c r="E351" s="2" t="s">
        <v>14</v>
      </c>
      <c r="F351" s="2" t="s">
        <v>27</v>
      </c>
      <c r="G351" s="4">
        <v>124126</v>
      </c>
      <c r="H351" s="6">
        <v>44624</v>
      </c>
      <c r="I351" s="4">
        <v>0</v>
      </c>
      <c r="J351" s="6">
        <v>44625</v>
      </c>
      <c r="K351" t="str">
        <f t="shared" si="10"/>
        <v>Q1 2022</v>
      </c>
      <c r="L351" t="str">
        <f t="shared" si="11"/>
        <v>Q1 2022</v>
      </c>
    </row>
    <row r="352" spans="1:12" ht="15.75" customHeight="1" x14ac:dyDescent="0.3">
      <c r="A352" s="2" t="s">
        <v>571</v>
      </c>
      <c r="B352" s="2" t="s">
        <v>11</v>
      </c>
      <c r="C352" s="2" t="s">
        <v>12</v>
      </c>
      <c r="D352" s="2" t="s">
        <v>13</v>
      </c>
      <c r="E352" s="2" t="s">
        <v>14</v>
      </c>
      <c r="F352" s="2" t="s">
        <v>27</v>
      </c>
      <c r="G352" s="4">
        <v>138692</v>
      </c>
      <c r="H352" s="5" t="s">
        <v>71</v>
      </c>
      <c r="I352" s="4">
        <v>0</v>
      </c>
      <c r="J352" s="6">
        <v>44603</v>
      </c>
      <c r="K352" t="str">
        <f t="shared" si="10"/>
        <v>Q1 2022</v>
      </c>
      <c r="L352" t="str">
        <f t="shared" si="11"/>
        <v>Q1 2022</v>
      </c>
    </row>
    <row r="353" spans="1:12" ht="15.75" customHeight="1" x14ac:dyDescent="0.3">
      <c r="A353" s="2" t="s">
        <v>572</v>
      </c>
      <c r="B353" s="2" t="s">
        <v>11</v>
      </c>
      <c r="C353" s="2" t="s">
        <v>12</v>
      </c>
      <c r="D353" s="2" t="s">
        <v>13</v>
      </c>
      <c r="E353" s="2" t="s">
        <v>14</v>
      </c>
      <c r="F353" s="2" t="s">
        <v>573</v>
      </c>
      <c r="G353" s="4">
        <v>147362</v>
      </c>
      <c r="H353" s="5" t="s">
        <v>71</v>
      </c>
      <c r="I353" s="4">
        <v>0</v>
      </c>
      <c r="J353" s="6">
        <v>44603</v>
      </c>
      <c r="K353" t="str">
        <f t="shared" si="10"/>
        <v>Q1 2022</v>
      </c>
      <c r="L353" t="str">
        <f t="shared" si="11"/>
        <v>Q1 2022</v>
      </c>
    </row>
    <row r="354" spans="1:12" ht="15.75" customHeight="1" x14ac:dyDescent="0.3">
      <c r="A354" s="2" t="s">
        <v>574</v>
      </c>
      <c r="B354" s="2" t="s">
        <v>11</v>
      </c>
      <c r="C354" s="2" t="s">
        <v>12</v>
      </c>
      <c r="D354" s="2" t="s">
        <v>13</v>
      </c>
      <c r="E354" s="2" t="s">
        <v>14</v>
      </c>
      <c r="F354" s="2" t="s">
        <v>15</v>
      </c>
      <c r="G354" s="4">
        <v>106526</v>
      </c>
      <c r="H354" s="5" t="s">
        <v>30</v>
      </c>
      <c r="I354" s="4">
        <v>0</v>
      </c>
      <c r="J354" s="6">
        <v>44603</v>
      </c>
      <c r="K354" t="str">
        <f t="shared" si="10"/>
        <v>Q1 2022</v>
      </c>
      <c r="L354" t="str">
        <f t="shared" si="11"/>
        <v>Q1 2022</v>
      </c>
    </row>
    <row r="355" spans="1:12" ht="15.75" customHeight="1" x14ac:dyDescent="0.3">
      <c r="A355" s="2" t="s">
        <v>575</v>
      </c>
      <c r="B355" s="2" t="s">
        <v>11</v>
      </c>
      <c r="C355" s="2" t="s">
        <v>12</v>
      </c>
      <c r="D355" s="2" t="s">
        <v>13</v>
      </c>
      <c r="E355" s="2" t="s">
        <v>14</v>
      </c>
      <c r="F355" s="2" t="s">
        <v>576</v>
      </c>
      <c r="G355" s="4">
        <v>70969</v>
      </c>
      <c r="H355" s="5" t="s">
        <v>25</v>
      </c>
      <c r="I355" s="4">
        <v>0</v>
      </c>
      <c r="J355" s="6">
        <v>44603</v>
      </c>
      <c r="K355" t="str">
        <f t="shared" si="10"/>
        <v>Q1 2022</v>
      </c>
      <c r="L355" t="str">
        <f t="shared" si="11"/>
        <v>Q1 2022</v>
      </c>
    </row>
    <row r="356" spans="1:12" ht="15.75" customHeight="1" x14ac:dyDescent="0.3">
      <c r="A356" s="2" t="s">
        <v>577</v>
      </c>
      <c r="B356" s="2" t="s">
        <v>11</v>
      </c>
      <c r="C356" s="2" t="s">
        <v>12</v>
      </c>
      <c r="D356" s="2" t="s">
        <v>13</v>
      </c>
      <c r="E356" s="2" t="s">
        <v>14</v>
      </c>
      <c r="F356" s="2" t="s">
        <v>15</v>
      </c>
      <c r="G356" s="4">
        <v>100034</v>
      </c>
      <c r="H356" s="6">
        <v>44621</v>
      </c>
      <c r="I356" s="4">
        <v>0</v>
      </c>
      <c r="J356" s="6">
        <v>44594</v>
      </c>
      <c r="K356" t="str">
        <f t="shared" si="10"/>
        <v>Q1 2022</v>
      </c>
      <c r="L356" t="str">
        <f t="shared" si="11"/>
        <v>Q1 2022</v>
      </c>
    </row>
    <row r="357" spans="1:12" ht="15.75" customHeight="1" x14ac:dyDescent="0.3">
      <c r="A357" s="2" t="s">
        <v>578</v>
      </c>
      <c r="B357" s="2" t="s">
        <v>11</v>
      </c>
      <c r="C357" s="2" t="s">
        <v>12</v>
      </c>
      <c r="D357" s="2" t="s">
        <v>13</v>
      </c>
      <c r="E357" s="2" t="s">
        <v>14</v>
      </c>
      <c r="F357" s="2" t="s">
        <v>46</v>
      </c>
      <c r="G357" s="4">
        <v>101400</v>
      </c>
      <c r="H357" s="5" t="s">
        <v>130</v>
      </c>
      <c r="I357" s="4">
        <v>0</v>
      </c>
      <c r="J357" s="6">
        <v>44601</v>
      </c>
      <c r="K357" t="str">
        <f t="shared" si="10"/>
        <v>Q1 2022</v>
      </c>
      <c r="L357" t="str">
        <f t="shared" si="11"/>
        <v>Q1 2022</v>
      </c>
    </row>
    <row r="358" spans="1:12" ht="15.75" customHeight="1" x14ac:dyDescent="0.3">
      <c r="A358" s="2" t="s">
        <v>579</v>
      </c>
      <c r="B358" s="2" t="s">
        <v>11</v>
      </c>
      <c r="C358" s="2" t="s">
        <v>12</v>
      </c>
      <c r="D358" s="2" t="s">
        <v>13</v>
      </c>
      <c r="E358" s="2" t="s">
        <v>187</v>
      </c>
      <c r="F358" s="2" t="s">
        <v>580</v>
      </c>
      <c r="G358" s="4">
        <v>67715</v>
      </c>
      <c r="H358" s="5" t="s">
        <v>71</v>
      </c>
      <c r="I358" s="4">
        <v>0</v>
      </c>
      <c r="J358" s="6">
        <v>44603</v>
      </c>
      <c r="K358" t="str">
        <f t="shared" si="10"/>
        <v>Q1 2022</v>
      </c>
      <c r="L358" t="str">
        <f t="shared" si="11"/>
        <v>Q1 2022</v>
      </c>
    </row>
    <row r="359" spans="1:12" ht="15.75" customHeight="1" x14ac:dyDescent="0.3">
      <c r="A359" s="2" t="s">
        <v>581</v>
      </c>
      <c r="B359" s="2" t="s">
        <v>11</v>
      </c>
      <c r="C359" s="2" t="s">
        <v>12</v>
      </c>
      <c r="D359" s="2" t="s">
        <v>13</v>
      </c>
      <c r="E359" s="2" t="s">
        <v>14</v>
      </c>
      <c r="F359" s="2" t="s">
        <v>46</v>
      </c>
      <c r="G359" s="4">
        <v>80523</v>
      </c>
      <c r="H359" s="6">
        <v>44866</v>
      </c>
      <c r="I359" s="4">
        <v>0</v>
      </c>
      <c r="J359" s="6">
        <v>44595</v>
      </c>
      <c r="K359" t="str">
        <f t="shared" si="10"/>
        <v>Q1 2022</v>
      </c>
      <c r="L359" t="str">
        <f t="shared" si="11"/>
        <v>Q1 2022</v>
      </c>
    </row>
    <row r="360" spans="1:12" ht="15.75" customHeight="1" x14ac:dyDescent="0.3">
      <c r="A360" s="2" t="s">
        <v>582</v>
      </c>
      <c r="B360" s="2" t="s">
        <v>11</v>
      </c>
      <c r="C360" s="2" t="s">
        <v>12</v>
      </c>
      <c r="D360" s="2" t="s">
        <v>13</v>
      </c>
      <c r="E360" s="2" t="s">
        <v>14</v>
      </c>
      <c r="F360" s="2" t="s">
        <v>85</v>
      </c>
      <c r="G360" s="4">
        <v>67742</v>
      </c>
      <c r="H360" s="5" t="s">
        <v>25</v>
      </c>
      <c r="I360" s="4">
        <v>0</v>
      </c>
      <c r="J360" s="6">
        <v>44603</v>
      </c>
      <c r="K360" t="str">
        <f t="shared" si="10"/>
        <v>Q1 2022</v>
      </c>
      <c r="L360" t="str">
        <f t="shared" si="11"/>
        <v>Q1 2022</v>
      </c>
    </row>
    <row r="361" spans="1:12" ht="15.75" customHeight="1" x14ac:dyDescent="0.3">
      <c r="A361" s="2" t="s">
        <v>583</v>
      </c>
      <c r="B361" s="2" t="s">
        <v>11</v>
      </c>
      <c r="C361" s="2" t="s">
        <v>12</v>
      </c>
      <c r="D361" s="2" t="s">
        <v>13</v>
      </c>
      <c r="E361" s="2" t="s">
        <v>14</v>
      </c>
      <c r="F361" s="2" t="s">
        <v>46</v>
      </c>
      <c r="G361" s="4">
        <v>96217</v>
      </c>
      <c r="H361" s="5" t="s">
        <v>212</v>
      </c>
      <c r="I361" s="4">
        <v>0</v>
      </c>
      <c r="J361" s="6">
        <v>44597</v>
      </c>
      <c r="K361" t="str">
        <f t="shared" si="10"/>
        <v>Q1 2022</v>
      </c>
      <c r="L361" t="str">
        <f t="shared" si="11"/>
        <v>Q1 2022</v>
      </c>
    </row>
    <row r="362" spans="1:12" ht="15.75" customHeight="1" x14ac:dyDescent="0.3">
      <c r="A362" s="2" t="s">
        <v>584</v>
      </c>
      <c r="B362" s="2" t="s">
        <v>11</v>
      </c>
      <c r="C362" s="2" t="s">
        <v>12</v>
      </c>
      <c r="D362" s="2" t="s">
        <v>13</v>
      </c>
      <c r="E362" s="2" t="s">
        <v>14</v>
      </c>
      <c r="F362" s="2" t="s">
        <v>15</v>
      </c>
      <c r="G362" s="4">
        <v>90293</v>
      </c>
      <c r="H362" s="5" t="s">
        <v>585</v>
      </c>
      <c r="I362" s="4">
        <v>0</v>
      </c>
      <c r="J362" s="6">
        <v>44601</v>
      </c>
      <c r="K362" t="str">
        <f t="shared" si="10"/>
        <v>Q1 2022</v>
      </c>
      <c r="L362" t="str">
        <f t="shared" si="11"/>
        <v>Q1 2022</v>
      </c>
    </row>
    <row r="363" spans="1:12" ht="15.75" customHeight="1" x14ac:dyDescent="0.3">
      <c r="A363" s="2" t="s">
        <v>586</v>
      </c>
      <c r="B363" s="2" t="s">
        <v>11</v>
      </c>
      <c r="C363" s="2" t="s">
        <v>12</v>
      </c>
      <c r="D363" s="2" t="s">
        <v>13</v>
      </c>
      <c r="E363" s="2" t="s">
        <v>14</v>
      </c>
      <c r="F363" s="2" t="s">
        <v>587</v>
      </c>
      <c r="G363" s="4">
        <v>270429</v>
      </c>
      <c r="H363" s="5" t="s">
        <v>25</v>
      </c>
      <c r="I363" s="4">
        <v>0</v>
      </c>
      <c r="J363" s="6">
        <v>44603</v>
      </c>
      <c r="K363" t="str">
        <f t="shared" si="10"/>
        <v>Q1 2022</v>
      </c>
      <c r="L363" t="str">
        <f t="shared" si="11"/>
        <v>Q1 2022</v>
      </c>
    </row>
    <row r="364" spans="1:12" ht="15.75" customHeight="1" x14ac:dyDescent="0.3">
      <c r="A364" s="2" t="s">
        <v>588</v>
      </c>
      <c r="B364" s="2" t="s">
        <v>11</v>
      </c>
      <c r="C364" s="2" t="s">
        <v>12</v>
      </c>
      <c r="D364" s="2" t="s">
        <v>13</v>
      </c>
      <c r="E364" s="2" t="s">
        <v>14</v>
      </c>
      <c r="F364" s="2" t="s">
        <v>15</v>
      </c>
      <c r="G364" s="4">
        <v>63020</v>
      </c>
      <c r="H364" s="5" t="s">
        <v>282</v>
      </c>
      <c r="I364" s="4">
        <v>0</v>
      </c>
      <c r="J364" s="6">
        <v>44599</v>
      </c>
      <c r="K364" t="str">
        <f t="shared" si="10"/>
        <v>Q1 2022</v>
      </c>
      <c r="L364" t="str">
        <f t="shared" si="11"/>
        <v>Q1 2022</v>
      </c>
    </row>
    <row r="365" spans="1:12" ht="15.75" customHeight="1" x14ac:dyDescent="0.3">
      <c r="A365" s="2" t="s">
        <v>589</v>
      </c>
      <c r="B365" s="2" t="s">
        <v>11</v>
      </c>
      <c r="C365" s="2" t="s">
        <v>57</v>
      </c>
      <c r="D365" s="2" t="s">
        <v>13</v>
      </c>
      <c r="E365" s="2" t="s">
        <v>14</v>
      </c>
      <c r="F365" s="2" t="s">
        <v>27</v>
      </c>
      <c r="G365" s="4">
        <v>71125</v>
      </c>
      <c r="H365" s="5" t="s">
        <v>71</v>
      </c>
      <c r="I365" s="4">
        <v>0</v>
      </c>
      <c r="J365" s="6">
        <v>44603</v>
      </c>
      <c r="K365" t="str">
        <f t="shared" si="10"/>
        <v>Q1 2022</v>
      </c>
      <c r="L365" t="str">
        <f t="shared" si="11"/>
        <v>Q1 2022</v>
      </c>
    </row>
    <row r="366" spans="1:12" ht="15.75" customHeight="1" x14ac:dyDescent="0.3">
      <c r="A366" s="2" t="s">
        <v>590</v>
      </c>
      <c r="B366" s="2" t="s">
        <v>11</v>
      </c>
      <c r="C366" s="2" t="s">
        <v>12</v>
      </c>
      <c r="D366" s="2" t="s">
        <v>13</v>
      </c>
      <c r="E366" s="2" t="s">
        <v>14</v>
      </c>
      <c r="F366" s="2" t="s">
        <v>27</v>
      </c>
      <c r="G366" s="4">
        <v>48820</v>
      </c>
      <c r="H366" s="5" t="s">
        <v>282</v>
      </c>
      <c r="I366" s="4">
        <v>0</v>
      </c>
      <c r="J366" s="6">
        <v>44599</v>
      </c>
      <c r="K366" t="str">
        <f t="shared" si="10"/>
        <v>Q1 2022</v>
      </c>
      <c r="L366" t="str">
        <f t="shared" si="11"/>
        <v>Q1 2022</v>
      </c>
    </row>
    <row r="367" spans="1:12" ht="15.75" customHeight="1" x14ac:dyDescent="0.3">
      <c r="A367" s="2" t="s">
        <v>591</v>
      </c>
      <c r="B367" s="2" t="s">
        <v>11</v>
      </c>
      <c r="C367" s="2" t="s">
        <v>12</v>
      </c>
      <c r="D367" s="2" t="s">
        <v>13</v>
      </c>
      <c r="E367" s="2" t="s">
        <v>14</v>
      </c>
      <c r="F367" s="2" t="s">
        <v>27</v>
      </c>
      <c r="G367" s="4">
        <v>118761</v>
      </c>
      <c r="H367" s="6">
        <v>44630</v>
      </c>
      <c r="I367" s="4">
        <v>0</v>
      </c>
      <c r="J367" s="6">
        <v>44603</v>
      </c>
      <c r="K367" t="str">
        <f t="shared" si="10"/>
        <v>Q1 2022</v>
      </c>
      <c r="L367" t="str">
        <f t="shared" si="11"/>
        <v>Q1 2022</v>
      </c>
    </row>
    <row r="368" spans="1:12" ht="15.75" customHeight="1" x14ac:dyDescent="0.3">
      <c r="A368" s="2" t="s">
        <v>592</v>
      </c>
      <c r="B368" s="2" t="s">
        <v>11</v>
      </c>
      <c r="C368" s="2" t="s">
        <v>12</v>
      </c>
      <c r="D368" s="2" t="s">
        <v>13</v>
      </c>
      <c r="E368" s="2" t="s">
        <v>22</v>
      </c>
      <c r="F368" s="2" t="s">
        <v>296</v>
      </c>
      <c r="G368" s="4">
        <v>74208</v>
      </c>
      <c r="H368" s="5" t="s">
        <v>192</v>
      </c>
      <c r="I368" s="4">
        <v>0</v>
      </c>
      <c r="J368" s="6">
        <v>44595</v>
      </c>
      <c r="K368" t="str">
        <f t="shared" si="10"/>
        <v>Q1 2022</v>
      </c>
      <c r="L368" t="str">
        <f t="shared" si="11"/>
        <v>Q1 2022</v>
      </c>
    </row>
    <row r="369" spans="1:12" ht="15.75" customHeight="1" x14ac:dyDescent="0.3">
      <c r="A369" s="2" t="s">
        <v>593</v>
      </c>
      <c r="B369" s="2" t="s">
        <v>11</v>
      </c>
      <c r="C369" s="2" t="s">
        <v>12</v>
      </c>
      <c r="D369" s="2" t="s">
        <v>13</v>
      </c>
      <c r="E369" s="2" t="s">
        <v>22</v>
      </c>
      <c r="F369" s="2" t="s">
        <v>594</v>
      </c>
      <c r="G369" s="4">
        <v>62337</v>
      </c>
      <c r="H369" s="5" t="s">
        <v>30</v>
      </c>
      <c r="I369" s="4">
        <v>0</v>
      </c>
      <c r="J369" s="6">
        <v>44603</v>
      </c>
      <c r="K369" t="str">
        <f t="shared" si="10"/>
        <v>Q1 2022</v>
      </c>
      <c r="L369" t="str">
        <f t="shared" si="11"/>
        <v>Q1 2022</v>
      </c>
    </row>
    <row r="370" spans="1:12" ht="15.75" customHeight="1" x14ac:dyDescent="0.3">
      <c r="A370" s="2" t="s">
        <v>595</v>
      </c>
      <c r="B370" s="2" t="s">
        <v>11</v>
      </c>
      <c r="C370" s="2" t="s">
        <v>12</v>
      </c>
      <c r="D370" s="2" t="s">
        <v>13</v>
      </c>
      <c r="E370" s="2" t="s">
        <v>14</v>
      </c>
      <c r="F370" s="2" t="s">
        <v>44</v>
      </c>
      <c r="G370" s="4">
        <v>143588</v>
      </c>
      <c r="H370" s="5" t="s">
        <v>355</v>
      </c>
      <c r="I370" s="4">
        <v>0</v>
      </c>
      <c r="J370" s="6">
        <v>44205</v>
      </c>
      <c r="K370" t="str">
        <f t="shared" si="10"/>
        <v>Q1 2021</v>
      </c>
      <c r="L370" t="str">
        <f t="shared" si="11"/>
        <v>Q1 2021</v>
      </c>
    </row>
    <row r="371" spans="1:12" ht="15.75" customHeight="1" x14ac:dyDescent="0.3">
      <c r="A371" s="2" t="s">
        <v>596</v>
      </c>
      <c r="B371" s="2" t="s">
        <v>20</v>
      </c>
      <c r="C371" s="2" t="s">
        <v>57</v>
      </c>
      <c r="D371" s="2" t="s">
        <v>13</v>
      </c>
      <c r="E371" s="2" t="s">
        <v>14</v>
      </c>
      <c r="F371" s="2" t="s">
        <v>27</v>
      </c>
      <c r="G371" s="4">
        <v>61002</v>
      </c>
      <c r="H371" s="5" t="s">
        <v>597</v>
      </c>
      <c r="I371" s="4">
        <v>8715</v>
      </c>
      <c r="J371" s="6">
        <v>44689</v>
      </c>
      <c r="K371" t="str">
        <f t="shared" si="10"/>
        <v>Q2 2022</v>
      </c>
      <c r="L371" t="str">
        <f t="shared" si="11"/>
        <v>Q2 2022</v>
      </c>
    </row>
    <row r="372" spans="1:12" ht="15.75" customHeight="1" x14ac:dyDescent="0.3">
      <c r="A372" s="2" t="s">
        <v>598</v>
      </c>
      <c r="B372" s="2" t="s">
        <v>11</v>
      </c>
      <c r="C372" s="2" t="s">
        <v>12</v>
      </c>
      <c r="D372" s="2" t="s">
        <v>13</v>
      </c>
      <c r="E372" s="2" t="s">
        <v>14</v>
      </c>
      <c r="F372" s="2" t="s">
        <v>85</v>
      </c>
      <c r="G372" s="4">
        <v>109980</v>
      </c>
      <c r="H372" s="5" t="s">
        <v>71</v>
      </c>
      <c r="I372" s="4">
        <v>0</v>
      </c>
      <c r="J372" s="6">
        <v>44603</v>
      </c>
      <c r="K372" t="str">
        <f t="shared" si="10"/>
        <v>Q1 2022</v>
      </c>
      <c r="L372" t="str">
        <f t="shared" si="11"/>
        <v>Q1 2022</v>
      </c>
    </row>
    <row r="373" spans="1:12" ht="15.75" customHeight="1" x14ac:dyDescent="0.3">
      <c r="A373" s="2" t="s">
        <v>599</v>
      </c>
      <c r="B373" s="2" t="s">
        <v>11</v>
      </c>
      <c r="C373" s="2" t="s">
        <v>12</v>
      </c>
      <c r="D373" s="2" t="s">
        <v>13</v>
      </c>
      <c r="E373" s="2" t="s">
        <v>14</v>
      </c>
      <c r="F373" s="2" t="s">
        <v>46</v>
      </c>
      <c r="G373" s="4">
        <v>106526</v>
      </c>
      <c r="H373" s="5" t="s">
        <v>600</v>
      </c>
      <c r="I373" s="4">
        <v>0</v>
      </c>
      <c r="J373" s="6">
        <v>44600</v>
      </c>
      <c r="K373" t="str">
        <f t="shared" si="10"/>
        <v>Q1 2022</v>
      </c>
      <c r="L373" t="str">
        <f t="shared" si="11"/>
        <v>Q1 2022</v>
      </c>
    </row>
    <row r="374" spans="1:12" ht="15.75" customHeight="1" x14ac:dyDescent="0.3">
      <c r="A374" s="2" t="s">
        <v>601</v>
      </c>
      <c r="B374" s="2" t="s">
        <v>11</v>
      </c>
      <c r="C374" s="2" t="s">
        <v>12</v>
      </c>
      <c r="D374" s="2" t="s">
        <v>13</v>
      </c>
      <c r="E374" s="2" t="s">
        <v>14</v>
      </c>
      <c r="F374" s="2" t="s">
        <v>224</v>
      </c>
      <c r="G374" s="4">
        <v>70969</v>
      </c>
      <c r="H374" s="5" t="s">
        <v>30</v>
      </c>
      <c r="I374" s="4">
        <v>0</v>
      </c>
      <c r="J374" s="6">
        <v>44603</v>
      </c>
      <c r="K374" t="str">
        <f t="shared" si="10"/>
        <v>Q1 2022</v>
      </c>
      <c r="L374" t="str">
        <f t="shared" si="11"/>
        <v>Q1 2022</v>
      </c>
    </row>
    <row r="375" spans="1:12" ht="15.75" customHeight="1" x14ac:dyDescent="0.3">
      <c r="A375" s="2" t="s">
        <v>602</v>
      </c>
      <c r="B375" s="2" t="s">
        <v>20</v>
      </c>
      <c r="C375" s="2" t="s">
        <v>21</v>
      </c>
      <c r="D375" s="2" t="s">
        <v>13</v>
      </c>
      <c r="E375" s="2" t="s">
        <v>14</v>
      </c>
      <c r="F375" s="2" t="s">
        <v>603</v>
      </c>
      <c r="G375" s="4">
        <v>100034</v>
      </c>
      <c r="H375" s="5" t="s">
        <v>604</v>
      </c>
      <c r="I375" s="4">
        <v>20007</v>
      </c>
      <c r="J375" s="6">
        <v>44784</v>
      </c>
      <c r="K375" t="str">
        <f t="shared" si="10"/>
        <v>Q3 2022</v>
      </c>
      <c r="L375" t="str">
        <f t="shared" si="11"/>
        <v>Q3 2022</v>
      </c>
    </row>
    <row r="376" spans="1:12" ht="15.75" customHeight="1" x14ac:dyDescent="0.3">
      <c r="A376" s="2" t="s">
        <v>605</v>
      </c>
      <c r="B376" s="2" t="s">
        <v>11</v>
      </c>
      <c r="C376" s="2" t="s">
        <v>12</v>
      </c>
      <c r="D376" s="2" t="s">
        <v>13</v>
      </c>
      <c r="E376" s="2" t="s">
        <v>14</v>
      </c>
      <c r="F376" s="2" t="s">
        <v>178</v>
      </c>
      <c r="G376" s="4">
        <v>107069</v>
      </c>
      <c r="H376" s="5" t="s">
        <v>42</v>
      </c>
      <c r="I376" s="4">
        <v>0</v>
      </c>
      <c r="J376" s="6">
        <v>44603</v>
      </c>
      <c r="K376" t="str">
        <f t="shared" si="10"/>
        <v>Q1 2022</v>
      </c>
      <c r="L376" t="str">
        <f t="shared" si="11"/>
        <v>Q1 2022</v>
      </c>
    </row>
    <row r="377" spans="1:12" ht="15.75" customHeight="1" x14ac:dyDescent="0.3">
      <c r="A377" s="2" t="s">
        <v>606</v>
      </c>
      <c r="B377" s="2" t="s">
        <v>11</v>
      </c>
      <c r="C377" s="2" t="s">
        <v>12</v>
      </c>
      <c r="D377" s="2" t="s">
        <v>13</v>
      </c>
      <c r="E377" s="2" t="s">
        <v>14</v>
      </c>
      <c r="F377" s="2" t="s">
        <v>15</v>
      </c>
      <c r="G377" s="4">
        <v>143517</v>
      </c>
      <c r="H377" s="5" t="s">
        <v>39</v>
      </c>
      <c r="I377" s="4">
        <v>0</v>
      </c>
      <c r="J377" s="6">
        <v>44603</v>
      </c>
      <c r="K377" t="str">
        <f t="shared" si="10"/>
        <v>Q1 2022</v>
      </c>
      <c r="L377" t="str">
        <f t="shared" si="11"/>
        <v>Q1 2022</v>
      </c>
    </row>
    <row r="378" spans="1:12" ht="15.75" customHeight="1" x14ac:dyDescent="0.3">
      <c r="A378" s="2" t="s">
        <v>607</v>
      </c>
      <c r="B378" s="2" t="s">
        <v>11</v>
      </c>
      <c r="C378" s="2" t="s">
        <v>12</v>
      </c>
      <c r="D378" s="2" t="s">
        <v>13</v>
      </c>
      <c r="E378" s="2" t="s">
        <v>14</v>
      </c>
      <c r="F378" s="2" t="s">
        <v>27</v>
      </c>
      <c r="G378" s="4">
        <v>58504</v>
      </c>
      <c r="H378" s="5" t="s">
        <v>39</v>
      </c>
      <c r="I378" s="4">
        <v>0</v>
      </c>
      <c r="J378" s="6">
        <v>44603</v>
      </c>
      <c r="K378" t="str">
        <f t="shared" si="10"/>
        <v>Q1 2022</v>
      </c>
      <c r="L378" t="str">
        <f t="shared" si="11"/>
        <v>Q1 2022</v>
      </c>
    </row>
    <row r="379" spans="1:12" ht="15.75" customHeight="1" x14ac:dyDescent="0.3">
      <c r="A379" s="2" t="s">
        <v>608</v>
      </c>
      <c r="B379" s="2" t="s">
        <v>11</v>
      </c>
      <c r="C379" s="2" t="s">
        <v>12</v>
      </c>
      <c r="D379" s="2" t="s">
        <v>13</v>
      </c>
      <c r="E379" s="2" t="s">
        <v>14</v>
      </c>
      <c r="F379" s="2" t="s">
        <v>59</v>
      </c>
      <c r="G379" s="4">
        <v>95966</v>
      </c>
      <c r="H379" s="5" t="s">
        <v>30</v>
      </c>
      <c r="I379" s="4">
        <v>0</v>
      </c>
      <c r="J379" s="6">
        <v>44603</v>
      </c>
      <c r="K379" t="str">
        <f t="shared" si="10"/>
        <v>Q1 2022</v>
      </c>
      <c r="L379" t="str">
        <f t="shared" si="11"/>
        <v>Q1 2022</v>
      </c>
    </row>
    <row r="380" spans="1:12" ht="15.75" customHeight="1" x14ac:dyDescent="0.3">
      <c r="A380" s="2" t="s">
        <v>609</v>
      </c>
      <c r="B380" s="2" t="s">
        <v>11</v>
      </c>
      <c r="C380" s="2" t="s">
        <v>12</v>
      </c>
      <c r="D380" s="2" t="s">
        <v>13</v>
      </c>
      <c r="E380" s="2" t="s">
        <v>14</v>
      </c>
      <c r="F380" s="2" t="s">
        <v>46</v>
      </c>
      <c r="G380" s="4">
        <v>54725</v>
      </c>
      <c r="H380" s="6">
        <v>44630</v>
      </c>
      <c r="I380" s="4">
        <v>0</v>
      </c>
      <c r="J380" s="6">
        <v>44603</v>
      </c>
      <c r="K380" t="str">
        <f t="shared" si="10"/>
        <v>Q1 2022</v>
      </c>
      <c r="L380" t="str">
        <f t="shared" si="11"/>
        <v>Q1 2022</v>
      </c>
    </row>
    <row r="381" spans="1:12" ht="15.75" customHeight="1" x14ac:dyDescent="0.3">
      <c r="A381" s="2" t="s">
        <v>610</v>
      </c>
      <c r="B381" s="2" t="s">
        <v>11</v>
      </c>
      <c r="C381" s="2" t="s">
        <v>12</v>
      </c>
      <c r="D381" s="2" t="s">
        <v>13</v>
      </c>
      <c r="E381" s="2" t="s">
        <v>14</v>
      </c>
      <c r="F381" s="2" t="s">
        <v>46</v>
      </c>
      <c r="G381" s="4">
        <v>147868</v>
      </c>
      <c r="H381" s="5" t="s">
        <v>39</v>
      </c>
      <c r="I381" s="4">
        <v>0</v>
      </c>
      <c r="J381" s="6">
        <v>44603</v>
      </c>
      <c r="K381" t="str">
        <f t="shared" si="10"/>
        <v>Q1 2022</v>
      </c>
      <c r="L381" t="str">
        <f t="shared" si="11"/>
        <v>Q1 2022</v>
      </c>
    </row>
    <row r="382" spans="1:12" ht="15.75" customHeight="1" x14ac:dyDescent="0.3">
      <c r="A382" s="2" t="s">
        <v>611</v>
      </c>
      <c r="B382" s="2" t="s">
        <v>11</v>
      </c>
      <c r="C382" s="2" t="s">
        <v>12</v>
      </c>
      <c r="D382" s="2" t="s">
        <v>13</v>
      </c>
      <c r="E382" s="2" t="s">
        <v>14</v>
      </c>
      <c r="F382" s="2" t="s">
        <v>46</v>
      </c>
      <c r="G382" s="4">
        <v>112714</v>
      </c>
      <c r="H382" s="5" t="s">
        <v>137</v>
      </c>
      <c r="I382" s="4">
        <v>0</v>
      </c>
      <c r="J382" s="6">
        <v>44598</v>
      </c>
      <c r="K382" t="str">
        <f t="shared" si="10"/>
        <v>Q1 2022</v>
      </c>
      <c r="L382" t="str">
        <f t="shared" si="11"/>
        <v>Q1 2022</v>
      </c>
    </row>
    <row r="383" spans="1:12" ht="15.75" customHeight="1" x14ac:dyDescent="0.3">
      <c r="A383" s="2" t="s">
        <v>612</v>
      </c>
      <c r="B383" s="2" t="s">
        <v>11</v>
      </c>
      <c r="C383" s="2" t="s">
        <v>12</v>
      </c>
      <c r="D383" s="2" t="s">
        <v>13</v>
      </c>
      <c r="E383" s="2" t="s">
        <v>14</v>
      </c>
      <c r="F383" s="2" t="s">
        <v>46</v>
      </c>
      <c r="G383" s="4">
        <v>74208</v>
      </c>
      <c r="H383" s="5" t="s">
        <v>130</v>
      </c>
      <c r="I383" s="4">
        <v>0</v>
      </c>
      <c r="J383" s="6">
        <v>44601</v>
      </c>
      <c r="K383" t="str">
        <f t="shared" si="10"/>
        <v>Q1 2022</v>
      </c>
      <c r="L383" t="str">
        <f t="shared" si="11"/>
        <v>Q1 2022</v>
      </c>
    </row>
    <row r="384" spans="1:12" ht="15.75" customHeight="1" x14ac:dyDescent="0.3">
      <c r="A384" s="2" t="s">
        <v>613</v>
      </c>
      <c r="B384" s="2" t="s">
        <v>11</v>
      </c>
      <c r="C384" s="2" t="s">
        <v>12</v>
      </c>
      <c r="D384" s="2" t="s">
        <v>13</v>
      </c>
      <c r="E384" s="2" t="s">
        <v>14</v>
      </c>
      <c r="F384" s="2" t="s">
        <v>15</v>
      </c>
      <c r="G384" s="4">
        <v>90068</v>
      </c>
      <c r="H384" s="5" t="s">
        <v>25</v>
      </c>
      <c r="I384" s="4">
        <v>0</v>
      </c>
      <c r="J384" s="6">
        <v>44603</v>
      </c>
      <c r="K384" t="str">
        <f t="shared" si="10"/>
        <v>Q1 2022</v>
      </c>
      <c r="L384" t="str">
        <f t="shared" si="11"/>
        <v>Q1 2022</v>
      </c>
    </row>
    <row r="385" spans="1:12" ht="15.75" customHeight="1" x14ac:dyDescent="0.3">
      <c r="A385" s="2" t="s">
        <v>614</v>
      </c>
      <c r="B385" s="2" t="s">
        <v>11</v>
      </c>
      <c r="C385" s="2" t="s">
        <v>12</v>
      </c>
      <c r="D385" s="2" t="s">
        <v>13</v>
      </c>
      <c r="E385" s="2" t="s">
        <v>14</v>
      </c>
      <c r="F385" s="2" t="s">
        <v>46</v>
      </c>
      <c r="G385" s="4">
        <v>80085</v>
      </c>
      <c r="H385" s="5" t="s">
        <v>30</v>
      </c>
      <c r="I385" s="4">
        <v>0</v>
      </c>
      <c r="J385" s="6">
        <v>44603</v>
      </c>
      <c r="K385" t="str">
        <f t="shared" si="10"/>
        <v>Q1 2022</v>
      </c>
      <c r="L385" t="str">
        <f t="shared" si="11"/>
        <v>Q1 2022</v>
      </c>
    </row>
    <row r="386" spans="1:12" ht="15.75" customHeight="1" x14ac:dyDescent="0.3">
      <c r="A386" s="2" t="s">
        <v>615</v>
      </c>
      <c r="B386" s="2" t="s">
        <v>11</v>
      </c>
      <c r="C386" s="2" t="s">
        <v>57</v>
      </c>
      <c r="D386" s="2" t="s">
        <v>13</v>
      </c>
      <c r="E386" s="2" t="s">
        <v>22</v>
      </c>
      <c r="F386" s="2" t="s">
        <v>46</v>
      </c>
      <c r="G386" s="4">
        <v>157857</v>
      </c>
      <c r="H386" s="6">
        <v>44632</v>
      </c>
      <c r="I386" s="4">
        <v>0</v>
      </c>
      <c r="J386" s="6">
        <v>44958</v>
      </c>
      <c r="K386" t="str">
        <f t="shared" ref="K386:K449" si="12">"Q" &amp; ROUNDUP(MONTH(J:J)/3,0) &amp; " " &amp; YEAR(J:J)</f>
        <v>Q1 2023</v>
      </c>
      <c r="L386" t="str">
        <f t="shared" ref="L386:L449" si="13">"Q" &amp; ROUNDUP(MONTH(J:J)/3,0) &amp; " " &amp; YEAR(J:J)</f>
        <v>Q1 2023</v>
      </c>
    </row>
    <row r="387" spans="1:12" ht="15.75" customHeight="1" x14ac:dyDescent="0.3">
      <c r="A387" s="2" t="s">
        <v>616</v>
      </c>
      <c r="B387" s="2" t="s">
        <v>11</v>
      </c>
      <c r="C387" s="2" t="s">
        <v>12</v>
      </c>
      <c r="D387" s="2" t="s">
        <v>13</v>
      </c>
      <c r="E387" s="2" t="s">
        <v>14</v>
      </c>
      <c r="F387" s="2" t="s">
        <v>617</v>
      </c>
      <c r="G387" s="4">
        <v>88677</v>
      </c>
      <c r="H387" s="6">
        <v>44901</v>
      </c>
      <c r="I387" s="4">
        <v>0</v>
      </c>
      <c r="J387" s="6">
        <v>44599</v>
      </c>
      <c r="K387" t="str">
        <f t="shared" si="12"/>
        <v>Q1 2022</v>
      </c>
      <c r="L387" t="str">
        <f t="shared" si="13"/>
        <v>Q1 2022</v>
      </c>
    </row>
    <row r="388" spans="1:12" ht="15.75" customHeight="1" x14ac:dyDescent="0.3">
      <c r="A388" s="2" t="s">
        <v>618</v>
      </c>
      <c r="B388" s="2" t="s">
        <v>11</v>
      </c>
      <c r="C388" s="2" t="s">
        <v>12</v>
      </c>
      <c r="D388" s="2" t="s">
        <v>13</v>
      </c>
      <c r="E388" s="2" t="s">
        <v>14</v>
      </c>
      <c r="F388" s="2" t="s">
        <v>27</v>
      </c>
      <c r="G388" s="4">
        <v>203793</v>
      </c>
      <c r="H388" s="6">
        <v>44629</v>
      </c>
      <c r="I388" s="4">
        <v>0</v>
      </c>
      <c r="J388" s="6">
        <v>44603</v>
      </c>
      <c r="K388" t="str">
        <f t="shared" si="12"/>
        <v>Q1 2022</v>
      </c>
      <c r="L388" t="str">
        <f t="shared" si="13"/>
        <v>Q1 2022</v>
      </c>
    </row>
    <row r="389" spans="1:12" ht="15.75" customHeight="1" x14ac:dyDescent="0.3">
      <c r="A389" s="2" t="s">
        <v>619</v>
      </c>
      <c r="B389" s="2" t="s">
        <v>11</v>
      </c>
      <c r="C389" s="2" t="s">
        <v>12</v>
      </c>
      <c r="D389" s="2" t="s">
        <v>13</v>
      </c>
      <c r="E389" s="2" t="s">
        <v>14</v>
      </c>
      <c r="F389" s="2" t="s">
        <v>620</v>
      </c>
      <c r="G389" s="4">
        <v>55037</v>
      </c>
      <c r="H389" s="6">
        <v>44630</v>
      </c>
      <c r="I389" s="4">
        <v>0</v>
      </c>
      <c r="J389" s="6">
        <v>44603</v>
      </c>
      <c r="K389" t="str">
        <f t="shared" si="12"/>
        <v>Q1 2022</v>
      </c>
      <c r="L389" t="str">
        <f t="shared" si="13"/>
        <v>Q1 2022</v>
      </c>
    </row>
    <row r="390" spans="1:12" ht="15.75" customHeight="1" x14ac:dyDescent="0.3">
      <c r="A390" s="2" t="s">
        <v>621</v>
      </c>
      <c r="B390" s="2" t="s">
        <v>11</v>
      </c>
      <c r="C390" s="2" t="s">
        <v>12</v>
      </c>
      <c r="D390" s="2" t="s">
        <v>13</v>
      </c>
      <c r="E390" s="2" t="s">
        <v>14</v>
      </c>
      <c r="F390" s="2" t="s">
        <v>460</v>
      </c>
      <c r="G390" s="4">
        <v>106786</v>
      </c>
      <c r="H390" s="6">
        <v>44598</v>
      </c>
      <c r="I390" s="4">
        <v>0</v>
      </c>
      <c r="J390" s="6">
        <v>44599</v>
      </c>
      <c r="K390" t="str">
        <f t="shared" si="12"/>
        <v>Q1 2022</v>
      </c>
      <c r="L390" t="str">
        <f t="shared" si="13"/>
        <v>Q1 2022</v>
      </c>
    </row>
    <row r="391" spans="1:12" ht="15.75" customHeight="1" x14ac:dyDescent="0.3">
      <c r="A391" s="2" t="s">
        <v>622</v>
      </c>
      <c r="B391" s="2" t="s">
        <v>11</v>
      </c>
      <c r="C391" s="2" t="s">
        <v>12</v>
      </c>
      <c r="D391" s="2" t="s">
        <v>13</v>
      </c>
      <c r="E391" s="2" t="s">
        <v>14</v>
      </c>
      <c r="F391" s="2" t="s">
        <v>623</v>
      </c>
      <c r="G391" s="4">
        <v>83160</v>
      </c>
      <c r="H391" s="5" t="s">
        <v>154</v>
      </c>
      <c r="I391" s="4">
        <v>0</v>
      </c>
      <c r="J391" s="6">
        <v>44600</v>
      </c>
      <c r="K391" t="str">
        <f t="shared" si="12"/>
        <v>Q1 2022</v>
      </c>
      <c r="L391" t="str">
        <f t="shared" si="13"/>
        <v>Q1 2022</v>
      </c>
    </row>
    <row r="392" spans="1:12" ht="15.75" customHeight="1" x14ac:dyDescent="0.3">
      <c r="A392" s="80" t="s">
        <v>624</v>
      </c>
      <c r="B392" s="2" t="s">
        <v>11</v>
      </c>
      <c r="C392" s="2" t="s">
        <v>12</v>
      </c>
      <c r="D392" s="2" t="s">
        <v>13</v>
      </c>
      <c r="E392" s="2" t="s">
        <v>14</v>
      </c>
      <c r="F392" s="2" t="s">
        <v>46</v>
      </c>
      <c r="G392" s="4">
        <v>137608</v>
      </c>
      <c r="H392" s="5" t="s">
        <v>322</v>
      </c>
      <c r="I392" s="4">
        <v>0</v>
      </c>
      <c r="J392" s="6">
        <v>44594</v>
      </c>
      <c r="K392" t="str">
        <f t="shared" si="12"/>
        <v>Q1 2022</v>
      </c>
      <c r="L392" t="str">
        <f t="shared" si="13"/>
        <v>Q1 2022</v>
      </c>
    </row>
    <row r="393" spans="1:12" ht="15.75" customHeight="1" x14ac:dyDescent="0.3">
      <c r="A393" s="2" t="s">
        <v>625</v>
      </c>
      <c r="B393" s="2" t="s">
        <v>11</v>
      </c>
      <c r="C393" s="2" t="s">
        <v>12</v>
      </c>
      <c r="D393" s="2" t="s">
        <v>13</v>
      </c>
      <c r="E393" s="2" t="s">
        <v>14</v>
      </c>
      <c r="F393" s="2" t="s">
        <v>27</v>
      </c>
      <c r="G393" s="4">
        <v>157835</v>
      </c>
      <c r="H393" s="6">
        <v>44625</v>
      </c>
      <c r="I393" s="4">
        <v>0</v>
      </c>
      <c r="J393" s="6">
        <v>44599</v>
      </c>
      <c r="K393" t="str">
        <f t="shared" si="12"/>
        <v>Q1 2022</v>
      </c>
      <c r="L393" t="str">
        <f t="shared" si="13"/>
        <v>Q1 2022</v>
      </c>
    </row>
    <row r="394" spans="1:12" ht="15.75" customHeight="1" x14ac:dyDescent="0.3">
      <c r="A394" s="2" t="s">
        <v>626</v>
      </c>
      <c r="B394" s="2" t="s">
        <v>11</v>
      </c>
      <c r="C394" s="2" t="s">
        <v>12</v>
      </c>
      <c r="D394" s="2" t="s">
        <v>13</v>
      </c>
      <c r="E394" s="2" t="s">
        <v>14</v>
      </c>
      <c r="F394" s="2" t="s">
        <v>46</v>
      </c>
      <c r="G394" s="4">
        <v>187470</v>
      </c>
      <c r="H394" s="5" t="s">
        <v>123</v>
      </c>
      <c r="I394" s="4">
        <v>0</v>
      </c>
      <c r="J394" s="6">
        <v>44594</v>
      </c>
      <c r="K394" t="str">
        <f t="shared" si="12"/>
        <v>Q1 2022</v>
      </c>
      <c r="L394" t="str">
        <f t="shared" si="13"/>
        <v>Q1 2022</v>
      </c>
    </row>
    <row r="395" spans="1:12" ht="15.75" customHeight="1" x14ac:dyDescent="0.3">
      <c r="A395" s="2" t="s">
        <v>627</v>
      </c>
      <c r="B395" s="2" t="s">
        <v>11</v>
      </c>
      <c r="C395" s="2" t="s">
        <v>12</v>
      </c>
      <c r="D395" s="2" t="s">
        <v>13</v>
      </c>
      <c r="E395" s="2" t="s">
        <v>14</v>
      </c>
      <c r="F395" s="2" t="s">
        <v>628</v>
      </c>
      <c r="G395" s="4">
        <v>102196</v>
      </c>
      <c r="H395" s="5" t="s">
        <v>236</v>
      </c>
      <c r="I395" s="4">
        <v>0</v>
      </c>
      <c r="J395" s="6">
        <v>44596</v>
      </c>
      <c r="K395" t="str">
        <f t="shared" si="12"/>
        <v>Q1 2022</v>
      </c>
      <c r="L395" t="str">
        <f t="shared" si="13"/>
        <v>Q1 2022</v>
      </c>
    </row>
    <row r="396" spans="1:12" ht="15.75" customHeight="1" x14ac:dyDescent="0.3">
      <c r="A396" s="2" t="s">
        <v>629</v>
      </c>
      <c r="B396" s="2" t="s">
        <v>11</v>
      </c>
      <c r="C396" s="2" t="s">
        <v>12</v>
      </c>
      <c r="D396" s="2" t="s">
        <v>13</v>
      </c>
      <c r="E396" s="2" t="s">
        <v>14</v>
      </c>
      <c r="F396" s="2" t="s">
        <v>630</v>
      </c>
      <c r="G396" s="4">
        <v>100539</v>
      </c>
      <c r="H396" s="5" t="s">
        <v>42</v>
      </c>
      <c r="I396" s="4">
        <v>0</v>
      </c>
      <c r="J396" s="6">
        <v>44603</v>
      </c>
      <c r="K396" t="str">
        <f t="shared" si="12"/>
        <v>Q1 2022</v>
      </c>
      <c r="L396" t="str">
        <f t="shared" si="13"/>
        <v>Q1 2022</v>
      </c>
    </row>
    <row r="397" spans="1:12" ht="15.75" customHeight="1" x14ac:dyDescent="0.3">
      <c r="A397" s="80" t="s">
        <v>631</v>
      </c>
      <c r="B397" s="2" t="s">
        <v>11</v>
      </c>
      <c r="C397" s="2" t="s">
        <v>12</v>
      </c>
      <c r="D397" s="2" t="s">
        <v>13</v>
      </c>
      <c r="E397" s="2" t="s">
        <v>14</v>
      </c>
      <c r="F397" s="2" t="s">
        <v>498</v>
      </c>
      <c r="G397" s="4">
        <v>76925</v>
      </c>
      <c r="H397" s="5" t="s">
        <v>42</v>
      </c>
      <c r="I397" s="4">
        <v>0</v>
      </c>
      <c r="J397" s="6">
        <v>44603</v>
      </c>
      <c r="K397" t="str">
        <f t="shared" si="12"/>
        <v>Q1 2022</v>
      </c>
      <c r="L397" t="str">
        <f t="shared" si="13"/>
        <v>Q1 2022</v>
      </c>
    </row>
    <row r="398" spans="1:12" ht="15.75" customHeight="1" x14ac:dyDescent="0.3">
      <c r="A398" s="2" t="s">
        <v>632</v>
      </c>
      <c r="B398" s="2" t="s">
        <v>20</v>
      </c>
      <c r="C398" s="2" t="s">
        <v>21</v>
      </c>
      <c r="D398" s="2" t="s">
        <v>13</v>
      </c>
      <c r="E398" s="2" t="s">
        <v>22</v>
      </c>
      <c r="F398" s="2" t="s">
        <v>275</v>
      </c>
      <c r="G398" s="4">
        <v>110085</v>
      </c>
      <c r="H398" s="5" t="s">
        <v>633</v>
      </c>
      <c r="I398" s="4">
        <v>12232</v>
      </c>
      <c r="J398" s="6">
        <v>44688</v>
      </c>
      <c r="K398" t="str">
        <f t="shared" si="12"/>
        <v>Q2 2022</v>
      </c>
      <c r="L398" t="str">
        <f t="shared" si="13"/>
        <v>Q2 2022</v>
      </c>
    </row>
    <row r="399" spans="1:12" ht="15.75" customHeight="1" x14ac:dyDescent="0.3">
      <c r="A399" s="2" t="s">
        <v>634</v>
      </c>
      <c r="B399" s="2" t="s">
        <v>11</v>
      </c>
      <c r="C399" s="2" t="s">
        <v>12</v>
      </c>
      <c r="D399" s="2" t="s">
        <v>13</v>
      </c>
      <c r="E399" s="2" t="s">
        <v>14</v>
      </c>
      <c r="F399" s="2" t="s">
        <v>27</v>
      </c>
      <c r="G399" s="4">
        <v>83580</v>
      </c>
      <c r="H399" s="5" t="s">
        <v>322</v>
      </c>
      <c r="I399" s="4">
        <v>0</v>
      </c>
      <c r="J399" s="6">
        <v>44594</v>
      </c>
      <c r="K399" t="str">
        <f t="shared" si="12"/>
        <v>Q1 2022</v>
      </c>
      <c r="L399" t="str">
        <f t="shared" si="13"/>
        <v>Q1 2022</v>
      </c>
    </row>
    <row r="400" spans="1:12" ht="15.75" customHeight="1" x14ac:dyDescent="0.3">
      <c r="A400" s="2" t="s">
        <v>635</v>
      </c>
      <c r="B400" s="2" t="s">
        <v>11</v>
      </c>
      <c r="C400" s="2" t="s">
        <v>12</v>
      </c>
      <c r="D400" s="2" t="s">
        <v>13</v>
      </c>
      <c r="E400" s="2" t="s">
        <v>14</v>
      </c>
      <c r="F400" s="2" t="s">
        <v>46</v>
      </c>
      <c r="G400" s="2"/>
      <c r="H400" s="5" t="s">
        <v>39</v>
      </c>
      <c r="I400" s="4">
        <v>0</v>
      </c>
      <c r="J400" s="6">
        <v>44603</v>
      </c>
      <c r="K400" t="str">
        <f t="shared" si="12"/>
        <v>Q1 2022</v>
      </c>
      <c r="L400" t="str">
        <f t="shared" si="13"/>
        <v>Q1 2022</v>
      </c>
    </row>
    <row r="401" spans="1:12" ht="15.75" customHeight="1" x14ac:dyDescent="0.3">
      <c r="A401" s="2" t="s">
        <v>636</v>
      </c>
      <c r="B401" s="2" t="s">
        <v>11</v>
      </c>
      <c r="C401" s="2" t="s">
        <v>12</v>
      </c>
      <c r="D401" s="2" t="s">
        <v>13</v>
      </c>
      <c r="E401" s="2" t="s">
        <v>14</v>
      </c>
      <c r="F401" s="2" t="s">
        <v>637</v>
      </c>
      <c r="G401" s="4">
        <v>42045</v>
      </c>
      <c r="H401" s="6">
        <v>44625</v>
      </c>
      <c r="I401" s="4">
        <v>0</v>
      </c>
      <c r="J401" s="6">
        <v>44598</v>
      </c>
      <c r="K401" t="str">
        <f t="shared" si="12"/>
        <v>Q1 2022</v>
      </c>
      <c r="L401" t="str">
        <f t="shared" si="13"/>
        <v>Q1 2022</v>
      </c>
    </row>
    <row r="402" spans="1:12" ht="15.75" customHeight="1" x14ac:dyDescent="0.3">
      <c r="A402" s="2" t="s">
        <v>638</v>
      </c>
      <c r="B402" s="2" t="s">
        <v>11</v>
      </c>
      <c r="C402" s="2" t="s">
        <v>57</v>
      </c>
      <c r="D402" s="2" t="s">
        <v>13</v>
      </c>
      <c r="E402" s="2" t="s">
        <v>14</v>
      </c>
      <c r="F402" s="2" t="s">
        <v>178</v>
      </c>
      <c r="G402" s="4">
        <v>72988</v>
      </c>
      <c r="H402" s="5" t="s">
        <v>39</v>
      </c>
      <c r="I402" s="4">
        <v>0</v>
      </c>
      <c r="J402" s="6">
        <v>44603</v>
      </c>
      <c r="K402" t="str">
        <f t="shared" si="12"/>
        <v>Q1 2022</v>
      </c>
      <c r="L402" t="str">
        <f t="shared" si="13"/>
        <v>Q1 2022</v>
      </c>
    </row>
    <row r="403" spans="1:12" ht="15.75" customHeight="1" x14ac:dyDescent="0.3">
      <c r="A403" s="2" t="s">
        <v>639</v>
      </c>
      <c r="B403" s="2" t="s">
        <v>11</v>
      </c>
      <c r="C403" s="2" t="s">
        <v>12</v>
      </c>
      <c r="D403" s="2" t="s">
        <v>13</v>
      </c>
      <c r="E403" s="2" t="s">
        <v>14</v>
      </c>
      <c r="F403" s="2" t="s">
        <v>85</v>
      </c>
      <c r="G403" s="4">
        <v>203733</v>
      </c>
      <c r="H403" s="6">
        <v>44630</v>
      </c>
      <c r="I403" s="4">
        <v>0</v>
      </c>
      <c r="J403" s="6">
        <v>44603</v>
      </c>
      <c r="K403" t="str">
        <f t="shared" si="12"/>
        <v>Q1 2022</v>
      </c>
      <c r="L403" t="str">
        <f t="shared" si="13"/>
        <v>Q1 2022</v>
      </c>
    </row>
    <row r="404" spans="1:12" ht="15.75" customHeight="1" x14ac:dyDescent="0.3">
      <c r="A404" s="2" t="s">
        <v>640</v>
      </c>
      <c r="B404" s="2" t="s">
        <v>11</v>
      </c>
      <c r="C404" s="2" t="s">
        <v>12</v>
      </c>
      <c r="D404" s="2" t="s">
        <v>13</v>
      </c>
      <c r="E404" s="2" t="s">
        <v>80</v>
      </c>
      <c r="F404" s="2" t="s">
        <v>641</v>
      </c>
      <c r="G404" s="4">
        <v>172921</v>
      </c>
      <c r="H404" s="5" t="s">
        <v>154</v>
      </c>
      <c r="I404" s="4">
        <v>0</v>
      </c>
      <c r="J404" s="6">
        <v>44600</v>
      </c>
      <c r="K404" t="str">
        <f t="shared" si="12"/>
        <v>Q1 2022</v>
      </c>
      <c r="L404" t="str">
        <f t="shared" si="13"/>
        <v>Q1 2022</v>
      </c>
    </row>
    <row r="405" spans="1:12" ht="15.75" customHeight="1" x14ac:dyDescent="0.3">
      <c r="A405" s="2" t="s">
        <v>642</v>
      </c>
      <c r="B405" s="2" t="s">
        <v>11</v>
      </c>
      <c r="C405" s="2" t="s">
        <v>12</v>
      </c>
      <c r="D405" s="2" t="s">
        <v>13</v>
      </c>
      <c r="E405" s="2" t="s">
        <v>14</v>
      </c>
      <c r="F405" s="2" t="s">
        <v>27</v>
      </c>
      <c r="G405" s="4">
        <v>56858</v>
      </c>
      <c r="H405" s="6">
        <v>44625</v>
      </c>
      <c r="I405" s="4">
        <v>0</v>
      </c>
      <c r="J405" s="6">
        <v>44598</v>
      </c>
      <c r="K405" t="str">
        <f t="shared" si="12"/>
        <v>Q1 2022</v>
      </c>
      <c r="L405" t="str">
        <f t="shared" si="13"/>
        <v>Q1 2022</v>
      </c>
    </row>
    <row r="406" spans="1:12" ht="15.75" customHeight="1" x14ac:dyDescent="0.3">
      <c r="A406" s="2" t="s">
        <v>643</v>
      </c>
      <c r="B406" s="2" t="s">
        <v>11</v>
      </c>
      <c r="C406" s="2" t="s">
        <v>12</v>
      </c>
      <c r="D406" s="2" t="s">
        <v>13</v>
      </c>
      <c r="E406" s="2" t="s">
        <v>14</v>
      </c>
      <c r="F406" s="2" t="s">
        <v>46</v>
      </c>
      <c r="G406" s="4">
        <v>76983</v>
      </c>
      <c r="H406" s="5" t="s">
        <v>16</v>
      </c>
      <c r="I406" s="4">
        <v>0</v>
      </c>
      <c r="J406" s="6">
        <v>44596</v>
      </c>
      <c r="K406" t="str">
        <f t="shared" si="12"/>
        <v>Q1 2022</v>
      </c>
      <c r="L406" t="str">
        <f t="shared" si="13"/>
        <v>Q1 2022</v>
      </c>
    </row>
    <row r="407" spans="1:12" ht="15.75" customHeight="1" x14ac:dyDescent="0.3">
      <c r="A407" s="2" t="s">
        <v>644</v>
      </c>
      <c r="B407" s="2" t="s">
        <v>11</v>
      </c>
      <c r="C407" s="2" t="s">
        <v>12</v>
      </c>
      <c r="D407" s="2" t="s">
        <v>13</v>
      </c>
      <c r="E407" s="2" t="s">
        <v>14</v>
      </c>
      <c r="F407" s="2" t="s">
        <v>46</v>
      </c>
      <c r="G407" s="4">
        <v>43881</v>
      </c>
      <c r="H407" s="5" t="s">
        <v>123</v>
      </c>
      <c r="I407" s="4">
        <v>0</v>
      </c>
      <c r="J407" s="6">
        <v>44594</v>
      </c>
      <c r="K407" t="str">
        <f t="shared" si="12"/>
        <v>Q1 2022</v>
      </c>
      <c r="L407" t="str">
        <f t="shared" si="13"/>
        <v>Q1 2022</v>
      </c>
    </row>
    <row r="408" spans="1:12" ht="15.75" customHeight="1" x14ac:dyDescent="0.3">
      <c r="A408" s="2" t="s">
        <v>645</v>
      </c>
      <c r="B408" s="2" t="s">
        <v>11</v>
      </c>
      <c r="C408" s="2" t="s">
        <v>12</v>
      </c>
      <c r="D408" s="2" t="s">
        <v>13</v>
      </c>
      <c r="E408" s="2" t="s">
        <v>14</v>
      </c>
      <c r="F408" s="2" t="s">
        <v>70</v>
      </c>
      <c r="G408" s="4">
        <v>88013</v>
      </c>
      <c r="H408" s="5" t="s">
        <v>137</v>
      </c>
      <c r="I408" s="4">
        <v>0</v>
      </c>
      <c r="J408" s="6">
        <v>44598</v>
      </c>
      <c r="K408" t="str">
        <f t="shared" si="12"/>
        <v>Q1 2022</v>
      </c>
      <c r="L408" t="str">
        <f t="shared" si="13"/>
        <v>Q1 2022</v>
      </c>
    </row>
    <row r="409" spans="1:12" ht="15.75" customHeight="1" x14ac:dyDescent="0.3">
      <c r="A409" s="2" t="s">
        <v>646</v>
      </c>
      <c r="B409" s="2" t="s">
        <v>11</v>
      </c>
      <c r="C409" s="2" t="s">
        <v>12</v>
      </c>
      <c r="D409" s="2" t="s">
        <v>13</v>
      </c>
      <c r="E409" s="2" t="s">
        <v>14</v>
      </c>
      <c r="F409" s="2" t="s">
        <v>46</v>
      </c>
      <c r="G409" s="4">
        <v>92126</v>
      </c>
      <c r="H409" s="6">
        <v>44298</v>
      </c>
      <c r="I409" s="4">
        <v>0</v>
      </c>
      <c r="J409" s="6">
        <v>44594</v>
      </c>
      <c r="K409" t="str">
        <f t="shared" si="12"/>
        <v>Q1 2022</v>
      </c>
      <c r="L409" t="str">
        <f t="shared" si="13"/>
        <v>Q1 2022</v>
      </c>
    </row>
    <row r="410" spans="1:12" ht="15.75" customHeight="1" x14ac:dyDescent="0.3">
      <c r="A410" s="2" t="s">
        <v>647</v>
      </c>
      <c r="B410" s="2" t="s">
        <v>11</v>
      </c>
      <c r="C410" s="2" t="s">
        <v>12</v>
      </c>
      <c r="D410" s="2" t="s">
        <v>13</v>
      </c>
      <c r="E410" s="2" t="s">
        <v>14</v>
      </c>
      <c r="F410" s="2" t="s">
        <v>648</v>
      </c>
      <c r="G410" s="4">
        <v>106692</v>
      </c>
      <c r="H410" s="6">
        <v>44629</v>
      </c>
      <c r="I410" s="4">
        <v>0</v>
      </c>
      <c r="J410" s="6">
        <v>44603</v>
      </c>
      <c r="K410" t="str">
        <f t="shared" si="12"/>
        <v>Q1 2022</v>
      </c>
      <c r="L410" t="str">
        <f t="shared" si="13"/>
        <v>Q1 2022</v>
      </c>
    </row>
    <row r="411" spans="1:12" ht="15.75" customHeight="1" x14ac:dyDescent="0.3">
      <c r="A411" s="2" t="s">
        <v>649</v>
      </c>
      <c r="B411" s="2" t="s">
        <v>11</v>
      </c>
      <c r="C411" s="2" t="s">
        <v>12</v>
      </c>
      <c r="D411" s="2" t="s">
        <v>13</v>
      </c>
      <c r="E411" s="2" t="s">
        <v>14</v>
      </c>
      <c r="F411" s="2" t="s">
        <v>127</v>
      </c>
      <c r="G411" s="4">
        <v>133858</v>
      </c>
      <c r="H411" s="5" t="s">
        <v>25</v>
      </c>
      <c r="I411" s="4">
        <v>0</v>
      </c>
      <c r="J411" s="6">
        <v>44603</v>
      </c>
      <c r="K411" t="str">
        <f t="shared" si="12"/>
        <v>Q1 2022</v>
      </c>
      <c r="L411" t="str">
        <f t="shared" si="13"/>
        <v>Q1 2022</v>
      </c>
    </row>
    <row r="412" spans="1:12" ht="15.75" customHeight="1" x14ac:dyDescent="0.3">
      <c r="A412" s="2" t="s">
        <v>650</v>
      </c>
      <c r="B412" s="2" t="s">
        <v>11</v>
      </c>
      <c r="C412" s="2" t="s">
        <v>12</v>
      </c>
      <c r="D412" s="2" t="s">
        <v>13</v>
      </c>
      <c r="E412" s="2" t="s">
        <v>14</v>
      </c>
      <c r="F412" s="2" t="s">
        <v>651</v>
      </c>
      <c r="G412" s="4">
        <v>368455</v>
      </c>
      <c r="H412" s="6">
        <v>44596</v>
      </c>
      <c r="I412" s="4">
        <v>0</v>
      </c>
      <c r="J412" s="6">
        <v>44597</v>
      </c>
      <c r="K412" t="str">
        <f t="shared" si="12"/>
        <v>Q1 2022</v>
      </c>
      <c r="L412" t="str">
        <f t="shared" si="13"/>
        <v>Q1 2022</v>
      </c>
    </row>
    <row r="413" spans="1:12" ht="15.75" customHeight="1" x14ac:dyDescent="0.3">
      <c r="A413" s="2" t="s">
        <v>652</v>
      </c>
      <c r="B413" s="2" t="s">
        <v>11</v>
      </c>
      <c r="C413" s="2" t="s">
        <v>12</v>
      </c>
      <c r="D413" s="2" t="s">
        <v>13</v>
      </c>
      <c r="E413" s="2" t="s">
        <v>14</v>
      </c>
      <c r="F413" s="2" t="s">
        <v>46</v>
      </c>
      <c r="G413" s="4">
        <v>107211</v>
      </c>
      <c r="H413" s="5" t="s">
        <v>39</v>
      </c>
      <c r="I413" s="4">
        <v>0</v>
      </c>
      <c r="J413" s="6">
        <v>44603</v>
      </c>
      <c r="K413" t="str">
        <f t="shared" si="12"/>
        <v>Q1 2022</v>
      </c>
      <c r="L413" t="str">
        <f t="shared" si="13"/>
        <v>Q1 2022</v>
      </c>
    </row>
    <row r="414" spans="1:12" ht="15.75" customHeight="1" x14ac:dyDescent="0.3">
      <c r="A414" s="2" t="s">
        <v>653</v>
      </c>
      <c r="B414" s="2" t="s">
        <v>11</v>
      </c>
      <c r="C414" s="2" t="s">
        <v>12</v>
      </c>
      <c r="D414" s="2" t="s">
        <v>13</v>
      </c>
      <c r="E414" s="2" t="s">
        <v>14</v>
      </c>
      <c r="F414" s="2" t="s">
        <v>46</v>
      </c>
      <c r="G414" s="4">
        <v>115087</v>
      </c>
      <c r="H414" s="6">
        <v>44986</v>
      </c>
      <c r="I414" s="4">
        <v>0</v>
      </c>
      <c r="J414" s="6">
        <v>44959</v>
      </c>
      <c r="K414" t="str">
        <f t="shared" si="12"/>
        <v>Q1 2023</v>
      </c>
      <c r="L414" t="str">
        <f t="shared" si="13"/>
        <v>Q1 2023</v>
      </c>
    </row>
    <row r="415" spans="1:12" ht="15.75" customHeight="1" x14ac:dyDescent="0.3">
      <c r="A415" s="2" t="s">
        <v>654</v>
      </c>
      <c r="B415" s="2" t="s">
        <v>11</v>
      </c>
      <c r="C415" s="2" t="s">
        <v>12</v>
      </c>
      <c r="D415" s="2" t="s">
        <v>13</v>
      </c>
      <c r="E415" s="2" t="s">
        <v>14</v>
      </c>
      <c r="F415" s="2" t="s">
        <v>651</v>
      </c>
      <c r="G415" s="4">
        <v>104166</v>
      </c>
      <c r="H415" s="5" t="s">
        <v>39</v>
      </c>
      <c r="I415" s="4">
        <v>0</v>
      </c>
      <c r="J415" s="6">
        <v>44603</v>
      </c>
      <c r="K415" t="str">
        <f t="shared" si="12"/>
        <v>Q1 2022</v>
      </c>
      <c r="L415" t="str">
        <f t="shared" si="13"/>
        <v>Q1 2022</v>
      </c>
    </row>
    <row r="416" spans="1:12" ht="15.75" customHeight="1" x14ac:dyDescent="0.3">
      <c r="A416" s="2" t="s">
        <v>655</v>
      </c>
      <c r="B416" s="2" t="s">
        <v>11</v>
      </c>
      <c r="C416" s="2" t="s">
        <v>12</v>
      </c>
      <c r="D416" s="2" t="s">
        <v>13</v>
      </c>
      <c r="E416" s="2" t="s">
        <v>14</v>
      </c>
      <c r="F416" s="2" t="s">
        <v>564</v>
      </c>
      <c r="G416" s="4">
        <v>143497</v>
      </c>
      <c r="H416" s="6">
        <v>44630</v>
      </c>
      <c r="I416" s="4">
        <v>0</v>
      </c>
      <c r="J416" s="6">
        <v>44603</v>
      </c>
      <c r="K416" t="str">
        <f t="shared" si="12"/>
        <v>Q1 2022</v>
      </c>
      <c r="L416" t="str">
        <f t="shared" si="13"/>
        <v>Q1 2022</v>
      </c>
    </row>
    <row r="417" spans="1:12" ht="15.75" customHeight="1" x14ac:dyDescent="0.3">
      <c r="A417" s="2" t="s">
        <v>656</v>
      </c>
      <c r="B417" s="2" t="s">
        <v>11</v>
      </c>
      <c r="C417" s="2" t="s">
        <v>12</v>
      </c>
      <c r="D417" s="2" t="s">
        <v>13</v>
      </c>
      <c r="E417" s="2" t="s">
        <v>14</v>
      </c>
      <c r="F417" s="2" t="s">
        <v>15</v>
      </c>
      <c r="G417" s="4">
        <v>127427</v>
      </c>
      <c r="H417" s="5" t="s">
        <v>25</v>
      </c>
      <c r="I417" s="4">
        <v>0</v>
      </c>
      <c r="J417" s="6">
        <v>44603</v>
      </c>
      <c r="K417" t="str">
        <f t="shared" si="12"/>
        <v>Q1 2022</v>
      </c>
      <c r="L417" t="str">
        <f t="shared" si="13"/>
        <v>Q1 2022</v>
      </c>
    </row>
    <row r="418" spans="1:12" ht="15.75" customHeight="1" x14ac:dyDescent="0.3">
      <c r="A418" s="2" t="s">
        <v>657</v>
      </c>
      <c r="B418" s="2" t="s">
        <v>11</v>
      </c>
      <c r="C418" s="2" t="s">
        <v>57</v>
      </c>
      <c r="D418" s="2" t="s">
        <v>13</v>
      </c>
      <c r="E418" s="2" t="s">
        <v>14</v>
      </c>
      <c r="F418" s="2" t="s">
        <v>46</v>
      </c>
      <c r="G418" s="4">
        <v>355370</v>
      </c>
      <c r="H418" s="5" t="s">
        <v>30</v>
      </c>
      <c r="I418" s="4">
        <v>0</v>
      </c>
      <c r="J418" s="6">
        <v>44603</v>
      </c>
      <c r="K418" t="str">
        <f t="shared" si="12"/>
        <v>Q1 2022</v>
      </c>
      <c r="L418" t="str">
        <f t="shared" si="13"/>
        <v>Q1 2022</v>
      </c>
    </row>
    <row r="419" spans="1:12" ht="15.75" customHeight="1" x14ac:dyDescent="0.3">
      <c r="A419" s="2" t="s">
        <v>658</v>
      </c>
      <c r="B419" s="2" t="s">
        <v>11</v>
      </c>
      <c r="C419" s="2" t="s">
        <v>12</v>
      </c>
      <c r="D419" s="2" t="s">
        <v>13</v>
      </c>
      <c r="E419" s="2" t="s">
        <v>14</v>
      </c>
      <c r="F419" s="2" t="s">
        <v>494</v>
      </c>
      <c r="G419" s="4">
        <v>191190</v>
      </c>
      <c r="H419" s="6">
        <v>44563</v>
      </c>
      <c r="I419" s="4">
        <v>0</v>
      </c>
      <c r="J419" s="6">
        <v>44596</v>
      </c>
      <c r="K419" t="str">
        <f t="shared" si="12"/>
        <v>Q1 2022</v>
      </c>
      <c r="L419" t="str">
        <f t="shared" si="13"/>
        <v>Q1 2022</v>
      </c>
    </row>
    <row r="420" spans="1:12" ht="15.75" customHeight="1" x14ac:dyDescent="0.3">
      <c r="A420" s="2" t="s">
        <v>659</v>
      </c>
      <c r="B420" s="2" t="s">
        <v>11</v>
      </c>
      <c r="C420" s="2" t="s">
        <v>12</v>
      </c>
      <c r="D420" s="2" t="s">
        <v>13</v>
      </c>
      <c r="E420" s="2" t="s">
        <v>14</v>
      </c>
      <c r="F420" s="2" t="s">
        <v>350</v>
      </c>
      <c r="G420" s="4">
        <v>209817</v>
      </c>
      <c r="H420" s="5" t="s">
        <v>39</v>
      </c>
      <c r="I420" s="4">
        <v>0</v>
      </c>
      <c r="J420" s="6">
        <v>44603</v>
      </c>
      <c r="K420" t="str">
        <f t="shared" si="12"/>
        <v>Q1 2022</v>
      </c>
      <c r="L420" t="str">
        <f t="shared" si="13"/>
        <v>Q1 2022</v>
      </c>
    </row>
    <row r="421" spans="1:12" ht="15.75" customHeight="1" x14ac:dyDescent="0.3">
      <c r="A421" s="2" t="s">
        <v>660</v>
      </c>
      <c r="B421" s="2" t="s">
        <v>11</v>
      </c>
      <c r="C421" s="2" t="s">
        <v>12</v>
      </c>
      <c r="D421" s="2" t="s">
        <v>13</v>
      </c>
      <c r="E421" s="2" t="s">
        <v>14</v>
      </c>
      <c r="F421" s="2" t="s">
        <v>623</v>
      </c>
      <c r="G421" s="4">
        <v>49625</v>
      </c>
      <c r="H421" s="5" t="s">
        <v>42</v>
      </c>
      <c r="I421" s="4">
        <v>0</v>
      </c>
      <c r="J421" s="6">
        <v>44603</v>
      </c>
      <c r="K421" t="str">
        <f t="shared" si="12"/>
        <v>Q1 2022</v>
      </c>
      <c r="L421" t="str">
        <f t="shared" si="13"/>
        <v>Q1 2022</v>
      </c>
    </row>
    <row r="422" spans="1:12" ht="15.75" customHeight="1" x14ac:dyDescent="0.3">
      <c r="A422" s="80" t="s">
        <v>661</v>
      </c>
      <c r="B422" s="2" t="s">
        <v>11</v>
      </c>
      <c r="C422" s="2" t="s">
        <v>12</v>
      </c>
      <c r="D422" s="2" t="s">
        <v>13</v>
      </c>
      <c r="E422" s="2" t="s">
        <v>14</v>
      </c>
      <c r="F422" s="2" t="s">
        <v>15</v>
      </c>
      <c r="G422" s="4">
        <v>101488</v>
      </c>
      <c r="H422" s="6">
        <v>44630</v>
      </c>
      <c r="I422" s="4">
        <v>0</v>
      </c>
      <c r="J422" s="6">
        <v>44603</v>
      </c>
      <c r="K422" t="str">
        <f t="shared" si="12"/>
        <v>Q1 2022</v>
      </c>
      <c r="L422" t="str">
        <f t="shared" si="13"/>
        <v>Q1 2022</v>
      </c>
    </row>
    <row r="423" spans="1:12" ht="15.75" customHeight="1" x14ac:dyDescent="0.3">
      <c r="A423" s="2" t="s">
        <v>662</v>
      </c>
      <c r="B423" s="2" t="s">
        <v>11</v>
      </c>
      <c r="C423" s="2" t="s">
        <v>12</v>
      </c>
      <c r="D423" s="2" t="s">
        <v>13</v>
      </c>
      <c r="E423" s="2" t="s">
        <v>14</v>
      </c>
      <c r="F423" s="2" t="s">
        <v>663</v>
      </c>
      <c r="G423" s="4">
        <v>101400</v>
      </c>
      <c r="H423" s="5" t="s">
        <v>71</v>
      </c>
      <c r="I423" s="4">
        <v>0</v>
      </c>
      <c r="J423" s="6">
        <v>44603</v>
      </c>
      <c r="K423" t="str">
        <f t="shared" si="12"/>
        <v>Q1 2022</v>
      </c>
      <c r="L423" t="str">
        <f t="shared" si="13"/>
        <v>Q1 2022</v>
      </c>
    </row>
    <row r="424" spans="1:12" ht="15.75" customHeight="1" x14ac:dyDescent="0.3">
      <c r="A424" s="2" t="s">
        <v>664</v>
      </c>
      <c r="B424" s="2" t="s">
        <v>11</v>
      </c>
      <c r="C424" s="2" t="s">
        <v>12</v>
      </c>
      <c r="D424" s="2" t="s">
        <v>13</v>
      </c>
      <c r="E424" s="2" t="s">
        <v>14</v>
      </c>
      <c r="F424" s="2" t="s">
        <v>498</v>
      </c>
      <c r="G424" s="4">
        <v>67715</v>
      </c>
      <c r="H424" s="5" t="s">
        <v>82</v>
      </c>
      <c r="I424" s="4">
        <v>0</v>
      </c>
      <c r="J424" s="6">
        <v>44597</v>
      </c>
      <c r="K424" t="str">
        <f t="shared" si="12"/>
        <v>Q1 2022</v>
      </c>
      <c r="L424" t="str">
        <f t="shared" si="13"/>
        <v>Q1 2022</v>
      </c>
    </row>
    <row r="425" spans="1:12" ht="15.75" customHeight="1" x14ac:dyDescent="0.3">
      <c r="A425" s="2" t="s">
        <v>665</v>
      </c>
      <c r="B425" s="2" t="s">
        <v>11</v>
      </c>
      <c r="C425" s="2" t="s">
        <v>12</v>
      </c>
      <c r="D425" s="2" t="s">
        <v>13</v>
      </c>
      <c r="E425" s="2" t="s">
        <v>14</v>
      </c>
      <c r="F425" s="2" t="s">
        <v>46</v>
      </c>
      <c r="G425" s="4">
        <v>80523</v>
      </c>
      <c r="H425" s="5" t="s">
        <v>189</v>
      </c>
      <c r="I425" s="4">
        <v>0</v>
      </c>
      <c r="J425" s="6">
        <v>44602</v>
      </c>
      <c r="K425" t="str">
        <f t="shared" si="12"/>
        <v>Q1 2022</v>
      </c>
      <c r="L425" t="str">
        <f t="shared" si="13"/>
        <v>Q1 2022</v>
      </c>
    </row>
    <row r="426" spans="1:12" ht="15.75" customHeight="1" x14ac:dyDescent="0.3">
      <c r="A426" s="2" t="s">
        <v>666</v>
      </c>
      <c r="B426" s="2" t="s">
        <v>11</v>
      </c>
      <c r="C426" s="2" t="s">
        <v>12</v>
      </c>
      <c r="D426" s="2" t="s">
        <v>13</v>
      </c>
      <c r="E426" s="2" t="s">
        <v>14</v>
      </c>
      <c r="F426" s="2" t="s">
        <v>27</v>
      </c>
      <c r="G426" s="4">
        <v>67742</v>
      </c>
      <c r="H426" s="5" t="s">
        <v>142</v>
      </c>
      <c r="I426" s="4">
        <v>0</v>
      </c>
      <c r="J426" s="6">
        <v>44597</v>
      </c>
      <c r="K426" t="str">
        <f t="shared" si="12"/>
        <v>Q1 2022</v>
      </c>
      <c r="L426" t="str">
        <f t="shared" si="13"/>
        <v>Q1 2022</v>
      </c>
    </row>
    <row r="427" spans="1:12" ht="15.75" customHeight="1" x14ac:dyDescent="0.3">
      <c r="A427" s="2" t="s">
        <v>667</v>
      </c>
      <c r="B427" s="2" t="s">
        <v>11</v>
      </c>
      <c r="C427" s="2" t="s">
        <v>12</v>
      </c>
      <c r="D427" s="2" t="s">
        <v>13</v>
      </c>
      <c r="E427" s="2" t="s">
        <v>22</v>
      </c>
      <c r="F427" s="2" t="s">
        <v>22</v>
      </c>
      <c r="G427" s="4">
        <v>96217</v>
      </c>
      <c r="H427" s="6">
        <v>44904</v>
      </c>
      <c r="I427" s="4">
        <v>0</v>
      </c>
      <c r="J427" s="6">
        <v>44602</v>
      </c>
      <c r="K427" t="str">
        <f t="shared" si="12"/>
        <v>Q1 2022</v>
      </c>
      <c r="L427" t="str">
        <f t="shared" si="13"/>
        <v>Q1 2022</v>
      </c>
    </row>
    <row r="428" spans="1:12" ht="15.75" customHeight="1" x14ac:dyDescent="0.3">
      <c r="A428" s="2" t="s">
        <v>668</v>
      </c>
      <c r="B428" s="2" t="s">
        <v>11</v>
      </c>
      <c r="C428" s="2" t="s">
        <v>12</v>
      </c>
      <c r="D428" s="2" t="s">
        <v>13</v>
      </c>
      <c r="E428" s="2" t="s">
        <v>14</v>
      </c>
      <c r="F428" s="2" t="s">
        <v>46</v>
      </c>
      <c r="G428" s="4">
        <v>90293</v>
      </c>
      <c r="H428" s="7">
        <v>44906</v>
      </c>
      <c r="I428" s="4">
        <v>0</v>
      </c>
      <c r="J428" s="6">
        <v>44604</v>
      </c>
      <c r="K428" t="str">
        <f t="shared" si="12"/>
        <v>Q1 2022</v>
      </c>
      <c r="L428" t="str">
        <f t="shared" si="13"/>
        <v>Q1 2022</v>
      </c>
    </row>
    <row r="429" spans="1:12" ht="15.75" customHeight="1" x14ac:dyDescent="0.3">
      <c r="A429" s="2" t="s">
        <v>669</v>
      </c>
      <c r="B429" s="2" t="s">
        <v>11</v>
      </c>
      <c r="C429" s="2" t="s">
        <v>12</v>
      </c>
      <c r="D429" s="2" t="s">
        <v>13</v>
      </c>
      <c r="E429" s="2" t="s">
        <v>14</v>
      </c>
      <c r="F429" s="2" t="s">
        <v>670</v>
      </c>
      <c r="G429" s="4">
        <v>270429</v>
      </c>
      <c r="H429" s="5" t="s">
        <v>42</v>
      </c>
      <c r="I429" s="4">
        <v>0</v>
      </c>
      <c r="J429" s="6">
        <v>44603</v>
      </c>
      <c r="K429" t="str">
        <f t="shared" si="12"/>
        <v>Q1 2022</v>
      </c>
      <c r="L429" t="str">
        <f t="shared" si="13"/>
        <v>Q1 2022</v>
      </c>
    </row>
    <row r="430" spans="1:12" ht="15.75" customHeight="1" x14ac:dyDescent="0.3">
      <c r="A430" s="2" t="s">
        <v>671</v>
      </c>
      <c r="B430" s="2" t="s">
        <v>11</v>
      </c>
      <c r="C430" s="2" t="s">
        <v>57</v>
      </c>
      <c r="D430" s="2" t="s">
        <v>13</v>
      </c>
      <c r="E430" s="2" t="s">
        <v>14</v>
      </c>
      <c r="F430" s="2" t="s">
        <v>46</v>
      </c>
      <c r="G430" s="4">
        <v>63020</v>
      </c>
      <c r="H430" s="6">
        <v>44629</v>
      </c>
      <c r="I430" s="4">
        <v>0</v>
      </c>
      <c r="J430" s="6">
        <v>44603</v>
      </c>
      <c r="K430" t="str">
        <f t="shared" si="12"/>
        <v>Q1 2022</v>
      </c>
      <c r="L430" t="str">
        <f t="shared" si="13"/>
        <v>Q1 2022</v>
      </c>
    </row>
    <row r="431" spans="1:12" ht="15.75" customHeight="1" x14ac:dyDescent="0.3">
      <c r="A431" s="2" t="s">
        <v>672</v>
      </c>
      <c r="B431" s="2" t="s">
        <v>11</v>
      </c>
      <c r="C431" s="2" t="s">
        <v>12</v>
      </c>
      <c r="D431" s="2" t="s">
        <v>13</v>
      </c>
      <c r="E431" s="2" t="s">
        <v>14</v>
      </c>
      <c r="F431" s="2" t="s">
        <v>46</v>
      </c>
      <c r="G431" s="4">
        <v>71125</v>
      </c>
      <c r="H431" s="5" t="s">
        <v>25</v>
      </c>
      <c r="I431" s="4">
        <v>0</v>
      </c>
      <c r="J431" s="6">
        <v>44603</v>
      </c>
      <c r="K431" t="str">
        <f t="shared" si="12"/>
        <v>Q1 2022</v>
      </c>
      <c r="L431" t="str">
        <f t="shared" si="13"/>
        <v>Q1 2022</v>
      </c>
    </row>
    <row r="432" spans="1:12" ht="15.75" customHeight="1" x14ac:dyDescent="0.3">
      <c r="A432" s="2" t="s">
        <v>673</v>
      </c>
      <c r="B432" s="2" t="s">
        <v>11</v>
      </c>
      <c r="C432" s="2" t="s">
        <v>12</v>
      </c>
      <c r="D432" s="2" t="s">
        <v>13</v>
      </c>
      <c r="E432" s="2" t="s">
        <v>14</v>
      </c>
      <c r="F432" s="2" t="s">
        <v>15</v>
      </c>
      <c r="G432" s="4">
        <v>48820</v>
      </c>
      <c r="H432" s="6">
        <v>44866</v>
      </c>
      <c r="I432" s="4">
        <v>0</v>
      </c>
      <c r="J432" s="6">
        <v>44595</v>
      </c>
      <c r="K432" t="str">
        <f t="shared" si="12"/>
        <v>Q1 2022</v>
      </c>
      <c r="L432" t="str">
        <f t="shared" si="13"/>
        <v>Q1 2022</v>
      </c>
    </row>
    <row r="433" spans="1:12" ht="15.75" customHeight="1" x14ac:dyDescent="0.3">
      <c r="A433" s="2" t="s">
        <v>674</v>
      </c>
      <c r="B433" s="2" t="s">
        <v>11</v>
      </c>
      <c r="C433" s="2" t="s">
        <v>12</v>
      </c>
      <c r="D433" s="2" t="s">
        <v>13</v>
      </c>
      <c r="E433" s="2" t="s">
        <v>14</v>
      </c>
      <c r="F433" s="2" t="s">
        <v>675</v>
      </c>
      <c r="G433" s="4">
        <v>118761</v>
      </c>
      <c r="H433" s="5" t="s">
        <v>179</v>
      </c>
      <c r="I433" s="4">
        <v>0</v>
      </c>
      <c r="J433" s="6">
        <v>44594</v>
      </c>
      <c r="K433" t="str">
        <f t="shared" si="12"/>
        <v>Q1 2022</v>
      </c>
      <c r="L433" t="str">
        <f t="shared" si="13"/>
        <v>Q1 2022</v>
      </c>
    </row>
    <row r="434" spans="1:12" ht="15.75" customHeight="1" x14ac:dyDescent="0.3">
      <c r="A434" s="2" t="s">
        <v>676</v>
      </c>
      <c r="B434" s="2" t="s">
        <v>11</v>
      </c>
      <c r="C434" s="2" t="s">
        <v>12</v>
      </c>
      <c r="D434" s="2" t="s">
        <v>13</v>
      </c>
      <c r="E434" s="2" t="s">
        <v>22</v>
      </c>
      <c r="F434" s="2" t="s">
        <v>677</v>
      </c>
      <c r="G434" s="4">
        <v>74208</v>
      </c>
      <c r="H434" s="6">
        <v>44624</v>
      </c>
      <c r="I434" s="4">
        <v>0</v>
      </c>
      <c r="J434" s="6">
        <v>44598</v>
      </c>
      <c r="K434" t="str">
        <f t="shared" si="12"/>
        <v>Q1 2022</v>
      </c>
      <c r="L434" t="str">
        <f t="shared" si="13"/>
        <v>Q1 2022</v>
      </c>
    </row>
    <row r="435" spans="1:12" ht="15.75" customHeight="1" x14ac:dyDescent="0.3">
      <c r="A435" s="2" t="s">
        <v>678</v>
      </c>
      <c r="B435" s="2" t="s">
        <v>11</v>
      </c>
      <c r="C435" s="2" t="s">
        <v>12</v>
      </c>
      <c r="D435" s="2" t="s">
        <v>13</v>
      </c>
      <c r="E435" s="2" t="s">
        <v>80</v>
      </c>
      <c r="F435" s="2" t="s">
        <v>679</v>
      </c>
      <c r="G435" s="4">
        <v>62337</v>
      </c>
      <c r="H435" s="6">
        <v>44901</v>
      </c>
      <c r="I435" s="4">
        <v>0</v>
      </c>
      <c r="J435" s="6">
        <v>44599</v>
      </c>
      <c r="K435" t="str">
        <f t="shared" si="12"/>
        <v>Q1 2022</v>
      </c>
      <c r="L435" t="str">
        <f t="shared" si="13"/>
        <v>Q1 2022</v>
      </c>
    </row>
    <row r="436" spans="1:12" ht="15.75" customHeight="1" x14ac:dyDescent="0.3">
      <c r="A436" s="2" t="s">
        <v>680</v>
      </c>
      <c r="B436" s="2" t="s">
        <v>11</v>
      </c>
      <c r="C436" s="2" t="s">
        <v>12</v>
      </c>
      <c r="D436" s="2" t="s">
        <v>13</v>
      </c>
      <c r="E436" s="2" t="s">
        <v>14</v>
      </c>
      <c r="F436" s="2" t="s">
        <v>675</v>
      </c>
      <c r="G436" s="4">
        <v>106208</v>
      </c>
      <c r="H436" s="5" t="s">
        <v>39</v>
      </c>
      <c r="I436" s="4">
        <v>0</v>
      </c>
      <c r="J436" s="6">
        <v>44603</v>
      </c>
      <c r="K436" t="str">
        <f t="shared" si="12"/>
        <v>Q1 2022</v>
      </c>
      <c r="L436" t="str">
        <f t="shared" si="13"/>
        <v>Q1 2022</v>
      </c>
    </row>
    <row r="437" spans="1:12" ht="15.75" customHeight="1" x14ac:dyDescent="0.3">
      <c r="A437" s="2" t="s">
        <v>681</v>
      </c>
      <c r="B437" s="2" t="s">
        <v>11</v>
      </c>
      <c r="C437" s="2" t="s">
        <v>12</v>
      </c>
      <c r="D437" s="2" t="s">
        <v>13</v>
      </c>
      <c r="E437" s="2" t="s">
        <v>14</v>
      </c>
      <c r="F437" s="2" t="s">
        <v>46</v>
      </c>
      <c r="G437" s="4">
        <v>122068</v>
      </c>
      <c r="H437" s="5" t="s">
        <v>130</v>
      </c>
      <c r="I437" s="4">
        <v>0</v>
      </c>
      <c r="J437" s="6">
        <v>44601</v>
      </c>
      <c r="K437" t="str">
        <f t="shared" si="12"/>
        <v>Q1 2022</v>
      </c>
      <c r="L437" t="str">
        <f t="shared" si="13"/>
        <v>Q1 2022</v>
      </c>
    </row>
    <row r="438" spans="1:12" ht="15.75" customHeight="1" x14ac:dyDescent="0.3">
      <c r="A438" s="2" t="s">
        <v>682</v>
      </c>
      <c r="B438" s="2" t="s">
        <v>11</v>
      </c>
      <c r="C438" s="2" t="s">
        <v>57</v>
      </c>
      <c r="D438" s="2" t="s">
        <v>13</v>
      </c>
      <c r="E438" s="2" t="s">
        <v>14</v>
      </c>
      <c r="F438" s="2" t="s">
        <v>46</v>
      </c>
      <c r="G438" s="4">
        <v>112085</v>
      </c>
      <c r="H438" s="6">
        <v>44623</v>
      </c>
      <c r="I438" s="4">
        <v>0</v>
      </c>
      <c r="J438" s="6">
        <v>44596</v>
      </c>
      <c r="K438" t="str">
        <f t="shared" si="12"/>
        <v>Q1 2022</v>
      </c>
      <c r="L438" t="str">
        <f t="shared" si="13"/>
        <v>Q1 2022</v>
      </c>
    </row>
    <row r="439" spans="1:12" ht="15.75" customHeight="1" x14ac:dyDescent="0.3">
      <c r="A439" s="2" t="s">
        <v>683</v>
      </c>
      <c r="B439" s="2" t="s">
        <v>11</v>
      </c>
      <c r="C439" s="2" t="s">
        <v>12</v>
      </c>
      <c r="D439" s="2" t="s">
        <v>13</v>
      </c>
      <c r="E439" s="2" t="s">
        <v>14</v>
      </c>
      <c r="F439" s="2" t="s">
        <v>684</v>
      </c>
      <c r="G439" s="4">
        <v>189857</v>
      </c>
      <c r="H439" s="5" t="s">
        <v>93</v>
      </c>
      <c r="I439" s="4">
        <v>0</v>
      </c>
      <c r="J439" s="6">
        <v>44602</v>
      </c>
      <c r="K439" t="str">
        <f t="shared" si="12"/>
        <v>Q1 2022</v>
      </c>
      <c r="L439" t="str">
        <f t="shared" si="13"/>
        <v>Q1 2022</v>
      </c>
    </row>
    <row r="440" spans="1:12" ht="15.75" customHeight="1" x14ac:dyDescent="0.3">
      <c r="A440" s="2" t="s">
        <v>685</v>
      </c>
      <c r="B440" s="2" t="s">
        <v>11</v>
      </c>
      <c r="C440" s="2" t="s">
        <v>12</v>
      </c>
      <c r="D440" s="2" t="s">
        <v>13</v>
      </c>
      <c r="E440" s="2" t="s">
        <v>14</v>
      </c>
      <c r="F440" s="2" t="s">
        <v>686</v>
      </c>
      <c r="G440" s="4">
        <v>120677</v>
      </c>
      <c r="H440" s="5" t="s">
        <v>322</v>
      </c>
      <c r="I440" s="4">
        <v>0</v>
      </c>
      <c r="J440" s="6">
        <v>44594</v>
      </c>
      <c r="K440" t="str">
        <f t="shared" si="12"/>
        <v>Q1 2022</v>
      </c>
      <c r="L440" t="str">
        <f t="shared" si="13"/>
        <v>Q1 2022</v>
      </c>
    </row>
    <row r="441" spans="1:12" ht="15.75" customHeight="1" x14ac:dyDescent="0.3">
      <c r="A441" s="2" t="s">
        <v>687</v>
      </c>
      <c r="B441" s="2" t="s">
        <v>11</v>
      </c>
      <c r="C441" s="2" t="s">
        <v>12</v>
      </c>
      <c r="D441" s="2" t="s">
        <v>13</v>
      </c>
      <c r="E441" s="2" t="s">
        <v>14</v>
      </c>
      <c r="F441" s="2" t="s">
        <v>688</v>
      </c>
      <c r="G441" s="4">
        <v>235793</v>
      </c>
      <c r="H441" s="5" t="s">
        <v>39</v>
      </c>
      <c r="I441" s="4">
        <v>0</v>
      </c>
      <c r="J441" s="6">
        <v>44603</v>
      </c>
      <c r="K441" t="str">
        <f t="shared" si="12"/>
        <v>Q1 2022</v>
      </c>
      <c r="L441" t="str">
        <f t="shared" si="13"/>
        <v>Q1 2022</v>
      </c>
    </row>
    <row r="442" spans="1:12" ht="15.75" customHeight="1" x14ac:dyDescent="0.3">
      <c r="A442" s="2" t="s">
        <v>689</v>
      </c>
      <c r="B442" s="2" t="s">
        <v>11</v>
      </c>
      <c r="C442" s="2" t="s">
        <v>12</v>
      </c>
      <c r="D442" s="2" t="s">
        <v>13</v>
      </c>
      <c r="E442" s="2" t="s">
        <v>14</v>
      </c>
      <c r="F442" s="2" t="s">
        <v>690</v>
      </c>
      <c r="G442" s="4">
        <v>87037</v>
      </c>
      <c r="H442" s="5" t="s">
        <v>322</v>
      </c>
      <c r="I442" s="4">
        <v>0</v>
      </c>
      <c r="J442" s="6">
        <v>44594</v>
      </c>
      <c r="K442" t="str">
        <f t="shared" si="12"/>
        <v>Q1 2022</v>
      </c>
      <c r="L442" t="str">
        <f t="shared" si="13"/>
        <v>Q1 2022</v>
      </c>
    </row>
    <row r="443" spans="1:12" ht="15.75" customHeight="1" x14ac:dyDescent="0.3">
      <c r="A443" s="2" t="s">
        <v>691</v>
      </c>
      <c r="B443" s="2" t="s">
        <v>11</v>
      </c>
      <c r="C443" s="2" t="s">
        <v>12</v>
      </c>
      <c r="D443" s="2" t="s">
        <v>13</v>
      </c>
      <c r="E443" s="2" t="s">
        <v>14</v>
      </c>
      <c r="F443" s="2" t="s">
        <v>46</v>
      </c>
      <c r="G443" s="4">
        <v>138786</v>
      </c>
      <c r="H443" s="6">
        <v>44629</v>
      </c>
      <c r="I443" s="4">
        <v>0</v>
      </c>
      <c r="J443" s="6">
        <v>44603</v>
      </c>
      <c r="K443" t="str">
        <f t="shared" si="12"/>
        <v>Q1 2022</v>
      </c>
      <c r="L443" t="str">
        <f t="shared" si="13"/>
        <v>Q1 2022</v>
      </c>
    </row>
    <row r="444" spans="1:12" ht="15.75" customHeight="1" x14ac:dyDescent="0.3">
      <c r="A444" s="2" t="s">
        <v>692</v>
      </c>
      <c r="B444" s="2" t="s">
        <v>11</v>
      </c>
      <c r="C444" s="2" t="s">
        <v>12</v>
      </c>
      <c r="D444" s="2" t="s">
        <v>13</v>
      </c>
      <c r="E444" s="2" t="s">
        <v>14</v>
      </c>
      <c r="F444" s="2" t="s">
        <v>693</v>
      </c>
      <c r="G444" s="4">
        <v>115160</v>
      </c>
      <c r="H444" s="6">
        <v>44621</v>
      </c>
      <c r="I444" s="4">
        <v>0</v>
      </c>
      <c r="J444" s="6">
        <v>44594</v>
      </c>
      <c r="K444" t="str">
        <f t="shared" si="12"/>
        <v>Q1 2022</v>
      </c>
      <c r="L444" t="str">
        <f t="shared" si="13"/>
        <v>Q1 2022</v>
      </c>
    </row>
    <row r="445" spans="1:12" ht="15.75" customHeight="1" x14ac:dyDescent="0.3">
      <c r="A445" s="2" t="s">
        <v>694</v>
      </c>
      <c r="B445" s="2" t="s">
        <v>11</v>
      </c>
      <c r="C445" s="2" t="s">
        <v>12</v>
      </c>
      <c r="D445" s="2" t="s">
        <v>13</v>
      </c>
      <c r="E445" s="2" t="s">
        <v>14</v>
      </c>
      <c r="F445" s="2" t="s">
        <v>695</v>
      </c>
      <c r="G445" s="4">
        <v>169608</v>
      </c>
      <c r="H445" s="5" t="s">
        <v>97</v>
      </c>
      <c r="I445" s="4">
        <v>0</v>
      </c>
      <c r="J445" s="6">
        <v>44958</v>
      </c>
      <c r="K445" t="str">
        <f t="shared" si="12"/>
        <v>Q1 2023</v>
      </c>
      <c r="L445" t="str">
        <f t="shared" si="13"/>
        <v>Q1 2023</v>
      </c>
    </row>
    <row r="446" spans="1:12" ht="15.75" customHeight="1" x14ac:dyDescent="0.3">
      <c r="A446" s="80" t="s">
        <v>696</v>
      </c>
      <c r="B446" s="2" t="s">
        <v>11</v>
      </c>
      <c r="C446" s="2" t="s">
        <v>12</v>
      </c>
      <c r="D446" s="2" t="s">
        <v>13</v>
      </c>
      <c r="E446" s="2" t="s">
        <v>14</v>
      </c>
      <c r="F446" s="2" t="s">
        <v>46</v>
      </c>
      <c r="G446" s="4">
        <v>189835</v>
      </c>
      <c r="H446" s="6">
        <v>44298</v>
      </c>
      <c r="I446" s="4">
        <v>0</v>
      </c>
      <c r="J446" s="6">
        <v>44594</v>
      </c>
      <c r="K446" t="str">
        <f t="shared" si="12"/>
        <v>Q1 2022</v>
      </c>
      <c r="L446" t="str">
        <f t="shared" si="13"/>
        <v>Q1 2022</v>
      </c>
    </row>
    <row r="447" spans="1:12" ht="15.75" customHeight="1" x14ac:dyDescent="0.3">
      <c r="A447" s="2" t="s">
        <v>697</v>
      </c>
      <c r="B447" s="2" t="s">
        <v>11</v>
      </c>
      <c r="C447" s="2" t="s">
        <v>12</v>
      </c>
      <c r="D447" s="2" t="s">
        <v>13</v>
      </c>
      <c r="E447" s="2" t="s">
        <v>14</v>
      </c>
      <c r="F447" s="2" t="s">
        <v>698</v>
      </c>
      <c r="G447" s="4">
        <v>219470</v>
      </c>
      <c r="H447" s="6">
        <v>44596</v>
      </c>
      <c r="I447" s="4">
        <v>0</v>
      </c>
      <c r="J447" s="6">
        <v>44597</v>
      </c>
      <c r="K447" t="str">
        <f t="shared" si="12"/>
        <v>Q1 2022</v>
      </c>
      <c r="L447" t="str">
        <f t="shared" si="13"/>
        <v>Q1 2022</v>
      </c>
    </row>
    <row r="448" spans="1:12" ht="15.75" customHeight="1" x14ac:dyDescent="0.3">
      <c r="A448" s="2" t="s">
        <v>699</v>
      </c>
      <c r="B448" s="2" t="s">
        <v>11</v>
      </c>
      <c r="C448" s="2" t="s">
        <v>12</v>
      </c>
      <c r="D448" s="2" t="s">
        <v>13</v>
      </c>
      <c r="E448" s="2" t="s">
        <v>14</v>
      </c>
      <c r="F448" s="2" t="s">
        <v>700</v>
      </c>
      <c r="G448" s="4">
        <v>134196</v>
      </c>
      <c r="H448" s="5" t="s">
        <v>42</v>
      </c>
      <c r="I448" s="4">
        <v>0</v>
      </c>
      <c r="J448" s="6">
        <v>44603</v>
      </c>
      <c r="K448" t="str">
        <f t="shared" si="12"/>
        <v>Q1 2022</v>
      </c>
      <c r="L448" t="str">
        <f t="shared" si="13"/>
        <v>Q1 2022</v>
      </c>
    </row>
    <row r="449" spans="1:12" ht="15.75" customHeight="1" x14ac:dyDescent="0.3">
      <c r="A449" s="2" t="s">
        <v>701</v>
      </c>
      <c r="B449" s="2" t="s">
        <v>11</v>
      </c>
      <c r="C449" s="2" t="s">
        <v>12</v>
      </c>
      <c r="D449" s="2" t="s">
        <v>13</v>
      </c>
      <c r="E449" s="2" t="s">
        <v>14</v>
      </c>
      <c r="F449" s="2" t="s">
        <v>59</v>
      </c>
      <c r="G449" s="4">
        <v>132539</v>
      </c>
      <c r="H449" s="5" t="s">
        <v>42</v>
      </c>
      <c r="I449" s="4">
        <v>0</v>
      </c>
      <c r="J449" s="6">
        <v>44603</v>
      </c>
      <c r="K449" t="str">
        <f t="shared" si="12"/>
        <v>Q1 2022</v>
      </c>
      <c r="L449" t="str">
        <f t="shared" si="13"/>
        <v>Q1 2022</v>
      </c>
    </row>
    <row r="450" spans="1:12" ht="15.75" customHeight="1" x14ac:dyDescent="0.3">
      <c r="A450" s="2" t="s">
        <v>702</v>
      </c>
      <c r="B450" s="2" t="s">
        <v>11</v>
      </c>
      <c r="C450" s="2" t="s">
        <v>12</v>
      </c>
      <c r="D450" s="2" t="s">
        <v>13</v>
      </c>
      <c r="E450" s="2" t="s">
        <v>14</v>
      </c>
      <c r="F450" s="2" t="s">
        <v>44</v>
      </c>
      <c r="G450" s="4">
        <v>108925</v>
      </c>
      <c r="H450" s="6">
        <v>44623</v>
      </c>
      <c r="I450" s="4">
        <v>0</v>
      </c>
      <c r="J450" s="6">
        <v>44597</v>
      </c>
      <c r="K450" t="str">
        <f t="shared" ref="K450:K513" si="14">"Q" &amp; ROUNDUP(MONTH(J:J)/3,0) &amp; " " &amp; YEAR(J:J)</f>
        <v>Q1 2022</v>
      </c>
      <c r="L450" t="str">
        <f t="shared" ref="L450:L513" si="15">"Q" &amp; ROUNDUP(MONTH(J:J)/3,0) &amp; " " &amp; YEAR(J:J)</f>
        <v>Q1 2022</v>
      </c>
    </row>
    <row r="451" spans="1:12" ht="15.75" customHeight="1" x14ac:dyDescent="0.3">
      <c r="A451" s="2" t="s">
        <v>703</v>
      </c>
      <c r="B451" s="2" t="s">
        <v>11</v>
      </c>
      <c r="C451" s="2" t="s">
        <v>12</v>
      </c>
      <c r="D451" s="2" t="s">
        <v>13</v>
      </c>
      <c r="E451" s="2" t="s">
        <v>14</v>
      </c>
      <c r="F451" s="2" t="s">
        <v>704</v>
      </c>
      <c r="G451" s="4">
        <v>142085</v>
      </c>
      <c r="H451" s="6">
        <v>44601</v>
      </c>
      <c r="I451" s="4">
        <v>0</v>
      </c>
      <c r="J451" s="6">
        <v>44602</v>
      </c>
      <c r="K451" t="str">
        <f t="shared" si="14"/>
        <v>Q1 2022</v>
      </c>
      <c r="L451" t="str">
        <f t="shared" si="15"/>
        <v>Q1 2022</v>
      </c>
    </row>
    <row r="452" spans="1:12" ht="15.75" customHeight="1" x14ac:dyDescent="0.3">
      <c r="A452" s="2" t="s">
        <v>705</v>
      </c>
      <c r="B452" s="2" t="s">
        <v>11</v>
      </c>
      <c r="C452" s="2" t="s">
        <v>12</v>
      </c>
      <c r="D452" s="2" t="s">
        <v>13</v>
      </c>
      <c r="E452" s="2" t="s">
        <v>14</v>
      </c>
      <c r="F452" s="2" t="s">
        <v>27</v>
      </c>
      <c r="G452" s="4">
        <v>115580</v>
      </c>
      <c r="H452" s="6">
        <v>44630</v>
      </c>
      <c r="I452" s="4">
        <v>0</v>
      </c>
      <c r="J452" s="6">
        <v>44603</v>
      </c>
      <c r="K452" t="str">
        <f t="shared" si="14"/>
        <v>Q1 2022</v>
      </c>
      <c r="L452" t="str">
        <f t="shared" si="15"/>
        <v>Q1 2022</v>
      </c>
    </row>
    <row r="453" spans="1:12" ht="15.75" customHeight="1" x14ac:dyDescent="0.3">
      <c r="A453" s="2" t="s">
        <v>706</v>
      </c>
      <c r="B453" s="2" t="s">
        <v>11</v>
      </c>
      <c r="C453" s="2" t="s">
        <v>12</v>
      </c>
      <c r="D453" s="2" t="s">
        <v>13</v>
      </c>
      <c r="E453" s="2" t="s">
        <v>14</v>
      </c>
      <c r="F453" s="2" t="s">
        <v>688</v>
      </c>
      <c r="G453" s="4">
        <v>32000</v>
      </c>
      <c r="H453" s="6">
        <v>44630</v>
      </c>
      <c r="I453" s="4">
        <v>0</v>
      </c>
      <c r="J453" s="6">
        <v>44603</v>
      </c>
      <c r="K453" t="str">
        <f t="shared" si="14"/>
        <v>Q1 2022</v>
      </c>
      <c r="L453" t="str">
        <f t="shared" si="15"/>
        <v>Q1 2022</v>
      </c>
    </row>
    <row r="454" spans="1:12" ht="15.75" customHeight="1" x14ac:dyDescent="0.3">
      <c r="A454" s="2" t="s">
        <v>707</v>
      </c>
      <c r="B454" s="2" t="s">
        <v>11</v>
      </c>
      <c r="C454" s="2" t="s">
        <v>12</v>
      </c>
      <c r="D454" s="2" t="s">
        <v>13</v>
      </c>
      <c r="E454" s="2" t="s">
        <v>14</v>
      </c>
      <c r="F454" s="2" t="s">
        <v>469</v>
      </c>
      <c r="G454" s="4">
        <v>74045</v>
      </c>
      <c r="H454" s="5" t="s">
        <v>42</v>
      </c>
      <c r="I454" s="4">
        <v>0</v>
      </c>
      <c r="J454" s="6">
        <v>44603</v>
      </c>
      <c r="K454" t="str">
        <f t="shared" si="14"/>
        <v>Q1 2022</v>
      </c>
      <c r="L454" t="str">
        <f t="shared" si="15"/>
        <v>Q1 2022</v>
      </c>
    </row>
    <row r="455" spans="1:12" ht="15.75" customHeight="1" x14ac:dyDescent="0.3">
      <c r="A455" s="2" t="s">
        <v>708</v>
      </c>
      <c r="B455" s="2" t="s">
        <v>11</v>
      </c>
      <c r="C455" s="2" t="s">
        <v>12</v>
      </c>
      <c r="D455" s="2" t="s">
        <v>13</v>
      </c>
      <c r="E455" s="2" t="s">
        <v>14</v>
      </c>
      <c r="F455" s="2" t="s">
        <v>44</v>
      </c>
      <c r="G455" s="4">
        <v>104988</v>
      </c>
      <c r="H455" s="5" t="s">
        <v>39</v>
      </c>
      <c r="I455" s="4">
        <v>0</v>
      </c>
      <c r="J455" s="6">
        <v>44603</v>
      </c>
      <c r="K455" t="str">
        <f t="shared" si="14"/>
        <v>Q1 2022</v>
      </c>
      <c r="L455" t="str">
        <f t="shared" si="15"/>
        <v>Q1 2022</v>
      </c>
    </row>
    <row r="456" spans="1:12" ht="15.75" customHeight="1" x14ac:dyDescent="0.3">
      <c r="A456" s="2" t="s">
        <v>709</v>
      </c>
      <c r="B456" s="2" t="s">
        <v>11</v>
      </c>
      <c r="C456" s="2" t="s">
        <v>12</v>
      </c>
      <c r="D456" s="2" t="s">
        <v>13</v>
      </c>
      <c r="E456" s="2" t="s">
        <v>14</v>
      </c>
      <c r="F456" s="2" t="s">
        <v>46</v>
      </c>
      <c r="G456" s="4">
        <v>235733</v>
      </c>
      <c r="H456" s="5" t="s">
        <v>93</v>
      </c>
      <c r="I456" s="4">
        <v>0</v>
      </c>
      <c r="J456" s="6">
        <v>44602</v>
      </c>
      <c r="K456" t="str">
        <f t="shared" si="14"/>
        <v>Q1 2022</v>
      </c>
      <c r="L456" t="str">
        <f t="shared" si="15"/>
        <v>Q1 2022</v>
      </c>
    </row>
    <row r="457" spans="1:12" ht="15.75" customHeight="1" x14ac:dyDescent="0.3">
      <c r="A457" s="2" t="s">
        <v>710</v>
      </c>
      <c r="B457" s="2" t="s">
        <v>11</v>
      </c>
      <c r="C457" s="2" t="s">
        <v>12</v>
      </c>
      <c r="D457" s="2" t="s">
        <v>13</v>
      </c>
      <c r="E457" s="2" t="s">
        <v>14</v>
      </c>
      <c r="F457" s="2" t="s">
        <v>46</v>
      </c>
      <c r="G457" s="4">
        <v>204921</v>
      </c>
      <c r="H457" s="5" t="s">
        <v>71</v>
      </c>
      <c r="I457" s="4">
        <v>0</v>
      </c>
      <c r="J457" s="6">
        <v>44603</v>
      </c>
      <c r="K457" t="str">
        <f t="shared" si="14"/>
        <v>Q1 2022</v>
      </c>
      <c r="L457" t="str">
        <f t="shared" si="15"/>
        <v>Q1 2022</v>
      </c>
    </row>
    <row r="458" spans="1:12" ht="15.75" customHeight="1" x14ac:dyDescent="0.3">
      <c r="A458" s="2" t="s">
        <v>711</v>
      </c>
      <c r="B458" s="2" t="s">
        <v>11</v>
      </c>
      <c r="C458" s="2" t="s">
        <v>12</v>
      </c>
      <c r="D458" s="2" t="s">
        <v>13</v>
      </c>
      <c r="E458" s="2" t="s">
        <v>14</v>
      </c>
      <c r="F458" s="2" t="s">
        <v>712</v>
      </c>
      <c r="G458" s="4">
        <v>88858</v>
      </c>
      <c r="H458" s="5" t="s">
        <v>439</v>
      </c>
      <c r="I458" s="4">
        <v>0</v>
      </c>
      <c r="J458" s="6">
        <v>44598</v>
      </c>
      <c r="K458" t="str">
        <f t="shared" si="14"/>
        <v>Q1 2022</v>
      </c>
      <c r="L458" t="str">
        <f t="shared" si="15"/>
        <v>Q1 2022</v>
      </c>
    </row>
    <row r="459" spans="1:12" ht="15.75" customHeight="1" x14ac:dyDescent="0.3">
      <c r="A459" s="2" t="s">
        <v>713</v>
      </c>
      <c r="B459" s="2" t="s">
        <v>11</v>
      </c>
      <c r="C459" s="2" t="s">
        <v>12</v>
      </c>
      <c r="D459" s="2" t="s">
        <v>13</v>
      </c>
      <c r="E459" s="2" t="s">
        <v>14</v>
      </c>
      <c r="F459" s="2" t="s">
        <v>239</v>
      </c>
      <c r="G459" s="4">
        <v>108983</v>
      </c>
      <c r="H459" s="5" t="s">
        <v>39</v>
      </c>
      <c r="I459" s="4">
        <v>0</v>
      </c>
      <c r="J459" s="6">
        <v>44603</v>
      </c>
      <c r="K459" t="str">
        <f t="shared" si="14"/>
        <v>Q1 2022</v>
      </c>
      <c r="L459" t="str">
        <f t="shared" si="15"/>
        <v>Q1 2022</v>
      </c>
    </row>
    <row r="460" spans="1:12" ht="15.75" customHeight="1" x14ac:dyDescent="0.3">
      <c r="A460" s="80" t="s">
        <v>714</v>
      </c>
      <c r="B460" s="2" t="s">
        <v>11</v>
      </c>
      <c r="C460" s="2" t="s">
        <v>12</v>
      </c>
      <c r="D460" s="2" t="s">
        <v>13</v>
      </c>
      <c r="E460" s="2" t="s">
        <v>14</v>
      </c>
      <c r="F460" s="2" t="s">
        <v>59</v>
      </c>
      <c r="G460" s="4">
        <v>75881</v>
      </c>
      <c r="H460" s="5" t="s">
        <v>42</v>
      </c>
      <c r="I460" s="4">
        <v>0</v>
      </c>
      <c r="J460" s="6">
        <v>44603</v>
      </c>
      <c r="K460" t="str">
        <f t="shared" si="14"/>
        <v>Q1 2022</v>
      </c>
      <c r="L460" t="str">
        <f t="shared" si="15"/>
        <v>Q1 2022</v>
      </c>
    </row>
    <row r="461" spans="1:12" ht="15.75" customHeight="1" x14ac:dyDescent="0.3">
      <c r="A461" s="2" t="s">
        <v>715</v>
      </c>
      <c r="B461" s="2" t="s">
        <v>20</v>
      </c>
      <c r="C461" s="2" t="s">
        <v>21</v>
      </c>
      <c r="D461" s="2" t="s">
        <v>13</v>
      </c>
      <c r="E461" s="2" t="s">
        <v>14</v>
      </c>
      <c r="F461" s="2" t="s">
        <v>716</v>
      </c>
      <c r="G461" s="4">
        <v>120013</v>
      </c>
      <c r="H461" s="5" t="s">
        <v>717</v>
      </c>
      <c r="I461" s="4">
        <v>10910</v>
      </c>
      <c r="J461" s="7">
        <v>44876</v>
      </c>
      <c r="K461" t="str">
        <f t="shared" si="14"/>
        <v>Q4 2022</v>
      </c>
      <c r="L461" t="str">
        <f t="shared" si="15"/>
        <v>Q4 2022</v>
      </c>
    </row>
    <row r="462" spans="1:12" ht="15.75" customHeight="1" x14ac:dyDescent="0.3">
      <c r="A462" s="2" t="s">
        <v>718</v>
      </c>
      <c r="B462" s="2" t="s">
        <v>11</v>
      </c>
      <c r="C462" s="2" t="s">
        <v>12</v>
      </c>
      <c r="D462" s="2" t="s">
        <v>13</v>
      </c>
      <c r="E462" s="2" t="s">
        <v>14</v>
      </c>
      <c r="F462" s="2" t="s">
        <v>719</v>
      </c>
      <c r="G462" s="4">
        <v>124126</v>
      </c>
      <c r="H462" s="6">
        <v>44625</v>
      </c>
      <c r="I462" s="4">
        <v>0</v>
      </c>
      <c r="J462" s="6">
        <v>44598</v>
      </c>
      <c r="K462" t="str">
        <f t="shared" si="14"/>
        <v>Q1 2022</v>
      </c>
      <c r="L462" t="str">
        <f t="shared" si="15"/>
        <v>Q1 2022</v>
      </c>
    </row>
    <row r="463" spans="1:12" ht="15.75" customHeight="1" x14ac:dyDescent="0.3">
      <c r="A463" s="2" t="s">
        <v>720</v>
      </c>
      <c r="B463" s="2" t="s">
        <v>11</v>
      </c>
      <c r="C463" s="2" t="s">
        <v>12</v>
      </c>
      <c r="D463" s="2" t="s">
        <v>13</v>
      </c>
      <c r="E463" s="2" t="s">
        <v>22</v>
      </c>
      <c r="F463" s="2" t="s">
        <v>296</v>
      </c>
      <c r="G463" s="4">
        <v>138692</v>
      </c>
      <c r="H463" s="6">
        <v>44630</v>
      </c>
      <c r="I463" s="4">
        <v>0</v>
      </c>
      <c r="J463" s="6">
        <v>44603</v>
      </c>
      <c r="K463" t="str">
        <f t="shared" si="14"/>
        <v>Q1 2022</v>
      </c>
      <c r="L463" t="str">
        <f t="shared" si="15"/>
        <v>Q1 2022</v>
      </c>
    </row>
    <row r="464" spans="1:12" ht="15.75" customHeight="1" x14ac:dyDescent="0.3">
      <c r="A464" s="2" t="s">
        <v>721</v>
      </c>
      <c r="B464" s="2" t="s">
        <v>11</v>
      </c>
      <c r="C464" s="2" t="s">
        <v>12</v>
      </c>
      <c r="D464" s="2" t="s">
        <v>13</v>
      </c>
      <c r="E464" s="2" t="s">
        <v>14</v>
      </c>
      <c r="F464" s="2" t="s">
        <v>46</v>
      </c>
      <c r="G464" s="4">
        <v>147362</v>
      </c>
      <c r="H464" s="5" t="s">
        <v>42</v>
      </c>
      <c r="I464" s="4">
        <v>0</v>
      </c>
      <c r="J464" s="6">
        <v>44603</v>
      </c>
      <c r="K464" t="str">
        <f t="shared" si="14"/>
        <v>Q1 2022</v>
      </c>
      <c r="L464" t="str">
        <f t="shared" si="15"/>
        <v>Q1 2022</v>
      </c>
    </row>
    <row r="465" spans="1:12" ht="15.75" customHeight="1" x14ac:dyDescent="0.3">
      <c r="A465" s="2" t="s">
        <v>722</v>
      </c>
      <c r="B465" s="2" t="s">
        <v>11</v>
      </c>
      <c r="C465" s="2" t="s">
        <v>12</v>
      </c>
      <c r="D465" s="2" t="s">
        <v>13</v>
      </c>
      <c r="E465" s="2" t="s">
        <v>14</v>
      </c>
      <c r="F465" s="2" t="s">
        <v>46</v>
      </c>
      <c r="G465" s="4">
        <v>106526</v>
      </c>
      <c r="H465" s="6">
        <v>44621</v>
      </c>
      <c r="I465" s="4">
        <v>0</v>
      </c>
      <c r="J465" s="6">
        <v>44594</v>
      </c>
      <c r="K465" t="str">
        <f t="shared" si="14"/>
        <v>Q1 2022</v>
      </c>
      <c r="L465" t="str">
        <f t="shared" si="15"/>
        <v>Q1 2022</v>
      </c>
    </row>
    <row r="466" spans="1:12" ht="15.75" customHeight="1" x14ac:dyDescent="0.3">
      <c r="A466" s="2" t="s">
        <v>723</v>
      </c>
      <c r="B466" s="2" t="s">
        <v>11</v>
      </c>
      <c r="C466" s="2" t="s">
        <v>12</v>
      </c>
      <c r="D466" s="2" t="s">
        <v>13</v>
      </c>
      <c r="E466" s="2" t="s">
        <v>14</v>
      </c>
      <c r="F466" s="2" t="s">
        <v>46</v>
      </c>
      <c r="G466" s="4">
        <v>70969</v>
      </c>
      <c r="H466" s="6">
        <v>44630</v>
      </c>
      <c r="I466" s="4">
        <v>0</v>
      </c>
      <c r="J466" s="6">
        <v>44604</v>
      </c>
      <c r="K466" t="str">
        <f t="shared" si="14"/>
        <v>Q1 2022</v>
      </c>
      <c r="L466" t="str">
        <f t="shared" si="15"/>
        <v>Q1 2022</v>
      </c>
    </row>
    <row r="467" spans="1:12" ht="15.75" customHeight="1" x14ac:dyDescent="0.3">
      <c r="A467" s="2" t="s">
        <v>724</v>
      </c>
      <c r="B467" s="2" t="s">
        <v>11</v>
      </c>
      <c r="C467" s="2" t="s">
        <v>12</v>
      </c>
      <c r="D467" s="2" t="s">
        <v>13</v>
      </c>
      <c r="E467" s="2" t="s">
        <v>14</v>
      </c>
      <c r="F467" s="2" t="s">
        <v>725</v>
      </c>
      <c r="G467" s="4">
        <v>100034</v>
      </c>
      <c r="H467" s="6">
        <v>44629</v>
      </c>
      <c r="I467" s="4">
        <v>0</v>
      </c>
      <c r="J467" s="6">
        <v>44603</v>
      </c>
      <c r="K467" t="str">
        <f t="shared" si="14"/>
        <v>Q1 2022</v>
      </c>
      <c r="L467" t="str">
        <f t="shared" si="15"/>
        <v>Q1 2022</v>
      </c>
    </row>
    <row r="468" spans="1:12" ht="15.75" customHeight="1" x14ac:dyDescent="0.3">
      <c r="A468" s="2" t="s">
        <v>726</v>
      </c>
      <c r="B468" s="2" t="s">
        <v>11</v>
      </c>
      <c r="C468" s="2" t="s">
        <v>12</v>
      </c>
      <c r="D468" s="2" t="s">
        <v>13</v>
      </c>
      <c r="E468" s="2" t="s">
        <v>14</v>
      </c>
      <c r="F468" s="2" t="s">
        <v>27</v>
      </c>
      <c r="G468" s="4">
        <v>101400</v>
      </c>
      <c r="H468" s="5" t="s">
        <v>71</v>
      </c>
      <c r="I468" s="4">
        <v>0</v>
      </c>
      <c r="J468" s="6">
        <v>44603</v>
      </c>
      <c r="K468" t="str">
        <f t="shared" si="14"/>
        <v>Q1 2022</v>
      </c>
      <c r="L468" t="str">
        <f t="shared" si="15"/>
        <v>Q1 2022</v>
      </c>
    </row>
    <row r="469" spans="1:12" ht="15.75" customHeight="1" x14ac:dyDescent="0.3">
      <c r="A469" s="2" t="s">
        <v>727</v>
      </c>
      <c r="B469" s="2" t="s">
        <v>11</v>
      </c>
      <c r="C469" s="2" t="s">
        <v>12</v>
      </c>
      <c r="D469" s="2" t="s">
        <v>13</v>
      </c>
      <c r="E469" s="2" t="s">
        <v>14</v>
      </c>
      <c r="F469" s="2" t="s">
        <v>46</v>
      </c>
      <c r="G469" s="4">
        <v>67715</v>
      </c>
      <c r="H469" s="5" t="s">
        <v>728</v>
      </c>
      <c r="I469" s="4">
        <v>0</v>
      </c>
      <c r="J469" s="6">
        <v>44600</v>
      </c>
      <c r="K469" t="str">
        <f t="shared" si="14"/>
        <v>Q1 2022</v>
      </c>
      <c r="L469" t="str">
        <f t="shared" si="15"/>
        <v>Q1 2022</v>
      </c>
    </row>
    <row r="470" spans="1:12" ht="15.75" customHeight="1" x14ac:dyDescent="0.3">
      <c r="A470" s="2" t="s">
        <v>729</v>
      </c>
      <c r="B470" s="2" t="s">
        <v>11</v>
      </c>
      <c r="C470" s="2" t="s">
        <v>12</v>
      </c>
      <c r="D470" s="2" t="s">
        <v>13</v>
      </c>
      <c r="E470" s="2" t="s">
        <v>14</v>
      </c>
      <c r="F470" s="2" t="s">
        <v>730</v>
      </c>
      <c r="G470" s="4">
        <v>80523</v>
      </c>
      <c r="H470" s="6">
        <v>44630</v>
      </c>
      <c r="I470" s="4">
        <v>0</v>
      </c>
      <c r="J470" s="6">
        <v>44603</v>
      </c>
      <c r="K470" t="str">
        <f t="shared" si="14"/>
        <v>Q1 2022</v>
      </c>
      <c r="L470" t="str">
        <f t="shared" si="15"/>
        <v>Q1 2022</v>
      </c>
    </row>
    <row r="471" spans="1:12" ht="15.75" customHeight="1" x14ac:dyDescent="0.3">
      <c r="A471" s="2" t="s">
        <v>731</v>
      </c>
      <c r="B471" s="2" t="s">
        <v>11</v>
      </c>
      <c r="C471" s="2" t="s">
        <v>12</v>
      </c>
      <c r="D471" s="2" t="s">
        <v>13</v>
      </c>
      <c r="E471" s="2" t="s">
        <v>14</v>
      </c>
      <c r="F471" s="2" t="s">
        <v>46</v>
      </c>
      <c r="G471" s="4">
        <v>67742</v>
      </c>
      <c r="H471" s="5" t="s">
        <v>25</v>
      </c>
      <c r="I471" s="4">
        <v>0</v>
      </c>
      <c r="J471" s="6">
        <v>44603</v>
      </c>
      <c r="K471" t="str">
        <f t="shared" si="14"/>
        <v>Q1 2022</v>
      </c>
      <c r="L471" t="str">
        <f t="shared" si="15"/>
        <v>Q1 2022</v>
      </c>
    </row>
    <row r="472" spans="1:12" ht="15.75" customHeight="1" x14ac:dyDescent="0.3">
      <c r="A472" s="2" t="s">
        <v>732</v>
      </c>
      <c r="B472" s="2" t="s">
        <v>11</v>
      </c>
      <c r="C472" s="2" t="s">
        <v>12</v>
      </c>
      <c r="D472" s="2" t="s">
        <v>13</v>
      </c>
      <c r="E472" s="2" t="s">
        <v>22</v>
      </c>
      <c r="F472" s="2" t="s">
        <v>296</v>
      </c>
      <c r="G472" s="4">
        <v>96217</v>
      </c>
      <c r="H472" s="6">
        <v>44630</v>
      </c>
      <c r="I472" s="4">
        <v>0</v>
      </c>
      <c r="J472" s="6">
        <v>44603</v>
      </c>
      <c r="K472" t="str">
        <f t="shared" si="14"/>
        <v>Q1 2022</v>
      </c>
      <c r="L472" t="str">
        <f t="shared" si="15"/>
        <v>Q1 2022</v>
      </c>
    </row>
    <row r="473" spans="1:12" ht="15.75" customHeight="1" x14ac:dyDescent="0.3">
      <c r="A473" s="2" t="s">
        <v>733</v>
      </c>
      <c r="B473" s="2" t="s">
        <v>11</v>
      </c>
      <c r="C473" s="2" t="s">
        <v>12</v>
      </c>
      <c r="D473" s="2" t="s">
        <v>13</v>
      </c>
      <c r="E473" s="2" t="s">
        <v>14</v>
      </c>
      <c r="F473" s="2" t="s">
        <v>96</v>
      </c>
      <c r="G473" s="4">
        <v>90293</v>
      </c>
      <c r="H473" s="5" t="s">
        <v>600</v>
      </c>
      <c r="I473" s="4">
        <v>0</v>
      </c>
      <c r="J473" s="6">
        <v>44600</v>
      </c>
      <c r="K473" t="str">
        <f t="shared" si="14"/>
        <v>Q1 2022</v>
      </c>
      <c r="L473" t="str">
        <f t="shared" si="15"/>
        <v>Q1 2022</v>
      </c>
    </row>
    <row r="474" spans="1:12" ht="15.75" customHeight="1" x14ac:dyDescent="0.3">
      <c r="A474" s="2" t="s">
        <v>734</v>
      </c>
      <c r="B474" s="2" t="s">
        <v>11</v>
      </c>
      <c r="C474" s="2" t="s">
        <v>12</v>
      </c>
      <c r="D474" s="2" t="s">
        <v>13</v>
      </c>
      <c r="E474" s="2" t="s">
        <v>14</v>
      </c>
      <c r="F474" s="2" t="s">
        <v>735</v>
      </c>
      <c r="G474" s="4">
        <v>270429</v>
      </c>
      <c r="H474" s="6">
        <v>44630</v>
      </c>
      <c r="I474" s="4">
        <v>0</v>
      </c>
      <c r="J474" s="6">
        <v>44603</v>
      </c>
      <c r="K474" t="str">
        <f t="shared" si="14"/>
        <v>Q1 2022</v>
      </c>
      <c r="L474" t="str">
        <f t="shared" si="15"/>
        <v>Q1 2022</v>
      </c>
    </row>
    <row r="475" spans="1:12" ht="15.75" customHeight="1" x14ac:dyDescent="0.3">
      <c r="A475" s="2" t="s">
        <v>736</v>
      </c>
      <c r="B475" s="2" t="s">
        <v>11</v>
      </c>
      <c r="C475" s="2" t="s">
        <v>12</v>
      </c>
      <c r="D475" s="2" t="s">
        <v>13</v>
      </c>
      <c r="E475" s="2" t="s">
        <v>14</v>
      </c>
      <c r="F475" s="2" t="s">
        <v>27</v>
      </c>
      <c r="G475" s="4">
        <v>63020</v>
      </c>
      <c r="H475" s="5" t="s">
        <v>123</v>
      </c>
      <c r="I475" s="4">
        <v>0</v>
      </c>
      <c r="J475" s="6">
        <v>44594</v>
      </c>
      <c r="K475" t="str">
        <f t="shared" si="14"/>
        <v>Q1 2022</v>
      </c>
      <c r="L475" t="str">
        <f t="shared" si="15"/>
        <v>Q1 2022</v>
      </c>
    </row>
    <row r="476" spans="1:12" ht="15.75" customHeight="1" x14ac:dyDescent="0.3">
      <c r="A476" s="2" t="s">
        <v>737</v>
      </c>
      <c r="B476" s="2" t="s">
        <v>11</v>
      </c>
      <c r="C476" s="2" t="s">
        <v>12</v>
      </c>
      <c r="D476" s="2" t="s">
        <v>13</v>
      </c>
      <c r="E476" s="2" t="s">
        <v>14</v>
      </c>
      <c r="F476" s="2" t="s">
        <v>738</v>
      </c>
      <c r="G476" s="4">
        <v>71125</v>
      </c>
      <c r="H476" s="5" t="s">
        <v>197</v>
      </c>
      <c r="I476" s="4">
        <v>0</v>
      </c>
      <c r="J476" s="6">
        <v>44602</v>
      </c>
      <c r="K476" t="str">
        <f t="shared" si="14"/>
        <v>Q1 2022</v>
      </c>
      <c r="L476" t="str">
        <f t="shared" si="15"/>
        <v>Q1 2022</v>
      </c>
    </row>
    <row r="477" spans="1:12" ht="15.75" customHeight="1" x14ac:dyDescent="0.3">
      <c r="A477" s="2" t="s">
        <v>739</v>
      </c>
      <c r="B477" s="2" t="s">
        <v>11</v>
      </c>
      <c r="C477" s="2" t="s">
        <v>12</v>
      </c>
      <c r="D477" s="2" t="s">
        <v>13</v>
      </c>
      <c r="E477" s="2" t="s">
        <v>14</v>
      </c>
      <c r="F477" s="2" t="s">
        <v>15</v>
      </c>
      <c r="G477" s="4">
        <v>48820</v>
      </c>
      <c r="H477" s="5" t="s">
        <v>130</v>
      </c>
      <c r="I477" s="4">
        <v>0</v>
      </c>
      <c r="J477" s="6">
        <v>44601</v>
      </c>
      <c r="K477" t="str">
        <f t="shared" si="14"/>
        <v>Q1 2022</v>
      </c>
      <c r="L477" t="str">
        <f t="shared" si="15"/>
        <v>Q1 2022</v>
      </c>
    </row>
    <row r="478" spans="1:12" ht="15.75" customHeight="1" x14ac:dyDescent="0.3">
      <c r="A478" s="2" t="s">
        <v>740</v>
      </c>
      <c r="B478" s="2" t="s">
        <v>11</v>
      </c>
      <c r="C478" s="2" t="s">
        <v>12</v>
      </c>
      <c r="D478" s="2" t="s">
        <v>13</v>
      </c>
      <c r="E478" s="2" t="s">
        <v>14</v>
      </c>
      <c r="F478" s="2" t="s">
        <v>15</v>
      </c>
      <c r="G478" s="4">
        <v>118761</v>
      </c>
      <c r="H478" s="5" t="s">
        <v>154</v>
      </c>
      <c r="I478" s="4">
        <v>0</v>
      </c>
      <c r="J478" s="6">
        <v>44600</v>
      </c>
      <c r="K478" t="str">
        <f t="shared" si="14"/>
        <v>Q1 2022</v>
      </c>
      <c r="L478" t="str">
        <f t="shared" si="15"/>
        <v>Q1 2022</v>
      </c>
    </row>
    <row r="479" spans="1:12" ht="15.75" customHeight="1" x14ac:dyDescent="0.3">
      <c r="A479" s="80" t="s">
        <v>741</v>
      </c>
      <c r="B479" s="2" t="s">
        <v>11</v>
      </c>
      <c r="C479" s="2" t="s">
        <v>12</v>
      </c>
      <c r="D479" s="2" t="s">
        <v>13</v>
      </c>
      <c r="E479" s="2" t="s">
        <v>14</v>
      </c>
      <c r="F479" s="2" t="s">
        <v>174</v>
      </c>
      <c r="G479" s="4">
        <v>74208</v>
      </c>
      <c r="H479" s="6">
        <v>44866</v>
      </c>
      <c r="I479" s="4">
        <v>0</v>
      </c>
      <c r="J479" s="6">
        <v>44595</v>
      </c>
      <c r="K479" t="str">
        <f t="shared" si="14"/>
        <v>Q1 2022</v>
      </c>
      <c r="L479" t="str">
        <f t="shared" si="15"/>
        <v>Q1 2022</v>
      </c>
    </row>
    <row r="480" spans="1:12" ht="15.75" customHeight="1" x14ac:dyDescent="0.3">
      <c r="A480" s="2" t="s">
        <v>742</v>
      </c>
      <c r="B480" s="2" t="s">
        <v>11</v>
      </c>
      <c r="C480" s="2" t="s">
        <v>12</v>
      </c>
      <c r="D480" s="2" t="s">
        <v>13</v>
      </c>
      <c r="E480" s="2" t="s">
        <v>14</v>
      </c>
      <c r="F480" s="2" t="s">
        <v>46</v>
      </c>
      <c r="G480" s="4">
        <v>62337</v>
      </c>
      <c r="H480" s="6">
        <v>44629</v>
      </c>
      <c r="I480" s="4">
        <v>0</v>
      </c>
      <c r="J480" s="6">
        <v>44603</v>
      </c>
      <c r="K480" t="str">
        <f t="shared" si="14"/>
        <v>Q1 2022</v>
      </c>
      <c r="L480" t="str">
        <f t="shared" si="15"/>
        <v>Q1 2022</v>
      </c>
    </row>
    <row r="481" spans="1:12" ht="15.75" customHeight="1" x14ac:dyDescent="0.3">
      <c r="A481" s="2" t="s">
        <v>743</v>
      </c>
      <c r="B481" s="2" t="s">
        <v>11</v>
      </c>
      <c r="C481" s="2" t="s">
        <v>12</v>
      </c>
      <c r="D481" s="2" t="s">
        <v>13</v>
      </c>
      <c r="E481" s="2" t="s">
        <v>14</v>
      </c>
      <c r="F481" s="2" t="s">
        <v>46</v>
      </c>
      <c r="G481" s="4">
        <v>143588</v>
      </c>
      <c r="H481" s="6">
        <v>44596</v>
      </c>
      <c r="I481" s="4">
        <v>0</v>
      </c>
      <c r="J481" s="6">
        <v>44597</v>
      </c>
      <c r="K481" t="str">
        <f t="shared" si="14"/>
        <v>Q1 2022</v>
      </c>
      <c r="L481" t="str">
        <f t="shared" si="15"/>
        <v>Q1 2022</v>
      </c>
    </row>
    <row r="482" spans="1:12" ht="15.75" customHeight="1" x14ac:dyDescent="0.3">
      <c r="A482" s="2" t="s">
        <v>744</v>
      </c>
      <c r="B482" s="2" t="s">
        <v>11</v>
      </c>
      <c r="C482" s="2" t="s">
        <v>12</v>
      </c>
      <c r="D482" s="2" t="s">
        <v>13</v>
      </c>
      <c r="E482" s="2" t="s">
        <v>14</v>
      </c>
      <c r="F482" s="2" t="s">
        <v>15</v>
      </c>
      <c r="G482" s="4">
        <v>61002</v>
      </c>
      <c r="H482" s="5" t="s">
        <v>71</v>
      </c>
      <c r="I482" s="4">
        <v>0</v>
      </c>
      <c r="J482" s="6">
        <v>44603</v>
      </c>
      <c r="K482" t="str">
        <f t="shared" si="14"/>
        <v>Q1 2022</v>
      </c>
      <c r="L482" t="str">
        <f t="shared" si="15"/>
        <v>Q1 2022</v>
      </c>
    </row>
    <row r="483" spans="1:12" ht="15.75" customHeight="1" x14ac:dyDescent="0.3">
      <c r="A483" s="2" t="s">
        <v>745</v>
      </c>
      <c r="B483" s="2" t="s">
        <v>11</v>
      </c>
      <c r="C483" s="2" t="s">
        <v>12</v>
      </c>
      <c r="D483" s="2" t="s">
        <v>13</v>
      </c>
      <c r="E483" s="2" t="s">
        <v>14</v>
      </c>
      <c r="F483" s="2" t="s">
        <v>46</v>
      </c>
      <c r="G483" s="4">
        <v>109980</v>
      </c>
      <c r="H483" s="5" t="s">
        <v>71</v>
      </c>
      <c r="I483" s="4">
        <v>0</v>
      </c>
      <c r="J483" s="6">
        <v>44603</v>
      </c>
      <c r="K483" t="str">
        <f t="shared" si="14"/>
        <v>Q1 2022</v>
      </c>
      <c r="L483" t="str">
        <f t="shared" si="15"/>
        <v>Q1 2022</v>
      </c>
    </row>
    <row r="484" spans="1:12" ht="15.75" customHeight="1" x14ac:dyDescent="0.3">
      <c r="A484" s="2" t="s">
        <v>746</v>
      </c>
      <c r="B484" s="2" t="s">
        <v>11</v>
      </c>
      <c r="C484" s="2" t="s">
        <v>12</v>
      </c>
      <c r="D484" s="2" t="s">
        <v>13</v>
      </c>
      <c r="E484" s="2" t="s">
        <v>14</v>
      </c>
      <c r="F484" s="2" t="s">
        <v>46</v>
      </c>
      <c r="G484" s="4">
        <v>106526</v>
      </c>
      <c r="H484" s="6">
        <v>44298</v>
      </c>
      <c r="I484" s="4">
        <v>0</v>
      </c>
      <c r="J484" s="6">
        <v>44594</v>
      </c>
      <c r="K484" t="str">
        <f t="shared" si="14"/>
        <v>Q1 2022</v>
      </c>
      <c r="L484" t="str">
        <f t="shared" si="15"/>
        <v>Q1 2022</v>
      </c>
    </row>
    <row r="485" spans="1:12" ht="15.75" customHeight="1" x14ac:dyDescent="0.3">
      <c r="A485" s="2" t="s">
        <v>747</v>
      </c>
      <c r="B485" s="2" t="s">
        <v>11</v>
      </c>
      <c r="C485" s="2" t="s">
        <v>12</v>
      </c>
      <c r="D485" s="2" t="s">
        <v>13</v>
      </c>
      <c r="E485" s="2" t="s">
        <v>14</v>
      </c>
      <c r="F485" s="2" t="s">
        <v>59</v>
      </c>
      <c r="G485" s="4">
        <v>70969</v>
      </c>
      <c r="H485" s="6">
        <v>44630</v>
      </c>
      <c r="I485" s="4">
        <v>0</v>
      </c>
      <c r="J485" s="6">
        <v>44603</v>
      </c>
      <c r="K485" t="str">
        <f t="shared" si="14"/>
        <v>Q1 2022</v>
      </c>
      <c r="L485" t="str">
        <f t="shared" si="15"/>
        <v>Q1 2022</v>
      </c>
    </row>
    <row r="486" spans="1:12" ht="15.75" customHeight="1" x14ac:dyDescent="0.3">
      <c r="A486" s="2" t="s">
        <v>748</v>
      </c>
      <c r="B486" s="2" t="s">
        <v>11</v>
      </c>
      <c r="C486" s="2" t="s">
        <v>12</v>
      </c>
      <c r="D486" s="2" t="s">
        <v>13</v>
      </c>
      <c r="E486" s="2" t="s">
        <v>14</v>
      </c>
      <c r="F486" s="2" t="s">
        <v>15</v>
      </c>
      <c r="G486" s="4">
        <v>100034</v>
      </c>
      <c r="H486" s="6">
        <v>44629</v>
      </c>
      <c r="I486" s="4">
        <v>0</v>
      </c>
      <c r="J486" s="6">
        <v>44603</v>
      </c>
      <c r="K486" t="str">
        <f t="shared" si="14"/>
        <v>Q1 2022</v>
      </c>
      <c r="L486" t="str">
        <f t="shared" si="15"/>
        <v>Q1 2022</v>
      </c>
    </row>
    <row r="487" spans="1:12" ht="15.75" customHeight="1" x14ac:dyDescent="0.3">
      <c r="A487" s="2" t="s">
        <v>749</v>
      </c>
      <c r="B487" s="2" t="s">
        <v>11</v>
      </c>
      <c r="C487" s="2" t="s">
        <v>12</v>
      </c>
      <c r="D487" s="2" t="s">
        <v>13</v>
      </c>
      <c r="E487" s="2" t="s">
        <v>14</v>
      </c>
      <c r="F487" s="2" t="s">
        <v>150</v>
      </c>
      <c r="G487" s="4">
        <v>107069</v>
      </c>
      <c r="H487" s="5" t="s">
        <v>455</v>
      </c>
      <c r="I487" s="4">
        <v>0</v>
      </c>
      <c r="J487" s="6">
        <v>44600</v>
      </c>
      <c r="K487" t="str">
        <f t="shared" si="14"/>
        <v>Q1 2022</v>
      </c>
      <c r="L487" t="str">
        <f t="shared" si="15"/>
        <v>Q1 2022</v>
      </c>
    </row>
    <row r="488" spans="1:12" ht="15.75" customHeight="1" x14ac:dyDescent="0.3">
      <c r="A488" s="2" t="s">
        <v>750</v>
      </c>
      <c r="B488" s="2" t="s">
        <v>11</v>
      </c>
      <c r="C488" s="2" t="s">
        <v>12</v>
      </c>
      <c r="D488" s="2" t="s">
        <v>13</v>
      </c>
      <c r="E488" s="2" t="s">
        <v>14</v>
      </c>
      <c r="F488" s="2" t="s">
        <v>44</v>
      </c>
      <c r="G488" s="4">
        <v>143517</v>
      </c>
      <c r="H488" s="6">
        <v>44899</v>
      </c>
      <c r="I488" s="4">
        <v>0</v>
      </c>
      <c r="J488" s="6">
        <v>44597</v>
      </c>
      <c r="K488" t="str">
        <f t="shared" si="14"/>
        <v>Q1 2022</v>
      </c>
      <c r="L488" t="str">
        <f t="shared" si="15"/>
        <v>Q1 2022</v>
      </c>
    </row>
    <row r="489" spans="1:12" ht="15.75" customHeight="1" x14ac:dyDescent="0.3">
      <c r="A489" s="2" t="s">
        <v>751</v>
      </c>
      <c r="B489" s="2" t="s">
        <v>11</v>
      </c>
      <c r="C489" s="2" t="s">
        <v>12</v>
      </c>
      <c r="D489" s="2" t="s">
        <v>13</v>
      </c>
      <c r="E489" s="2" t="s">
        <v>14</v>
      </c>
      <c r="F489" s="2" t="s">
        <v>752</v>
      </c>
      <c r="G489" s="4">
        <v>58504</v>
      </c>
      <c r="H489" s="6">
        <v>44629</v>
      </c>
      <c r="I489" s="4">
        <v>0</v>
      </c>
      <c r="J489" s="6">
        <v>44603</v>
      </c>
      <c r="K489" t="str">
        <f t="shared" si="14"/>
        <v>Q1 2022</v>
      </c>
      <c r="L489" t="str">
        <f t="shared" si="15"/>
        <v>Q1 2022</v>
      </c>
    </row>
    <row r="490" spans="1:12" ht="15.75" customHeight="1" x14ac:dyDescent="0.3">
      <c r="A490" s="2" t="s">
        <v>753</v>
      </c>
      <c r="B490" s="2" t="s">
        <v>11</v>
      </c>
      <c r="C490" s="2" t="s">
        <v>12</v>
      </c>
      <c r="D490" s="2" t="s">
        <v>13</v>
      </c>
      <c r="E490" s="2" t="s">
        <v>14</v>
      </c>
      <c r="F490" s="2" t="s">
        <v>46</v>
      </c>
      <c r="G490" s="4">
        <v>95966</v>
      </c>
      <c r="H490" s="5" t="s">
        <v>137</v>
      </c>
      <c r="I490" s="4">
        <v>0</v>
      </c>
      <c r="J490" s="6">
        <v>44598</v>
      </c>
      <c r="K490" t="str">
        <f t="shared" si="14"/>
        <v>Q1 2022</v>
      </c>
      <c r="L490" t="str">
        <f t="shared" si="15"/>
        <v>Q1 2022</v>
      </c>
    </row>
    <row r="491" spans="1:12" ht="15.75" customHeight="1" x14ac:dyDescent="0.3">
      <c r="A491" s="2" t="s">
        <v>754</v>
      </c>
      <c r="B491" s="2" t="s">
        <v>11</v>
      </c>
      <c r="C491" s="2" t="s">
        <v>12</v>
      </c>
      <c r="D491" s="2" t="s">
        <v>13</v>
      </c>
      <c r="E491" s="2" t="s">
        <v>14</v>
      </c>
      <c r="F491" s="2" t="s">
        <v>85</v>
      </c>
      <c r="G491" s="4">
        <v>54725</v>
      </c>
      <c r="H491" s="5" t="s">
        <v>71</v>
      </c>
      <c r="I491" s="4">
        <v>0</v>
      </c>
      <c r="J491" s="6">
        <v>44603</v>
      </c>
      <c r="K491" t="str">
        <f t="shared" si="14"/>
        <v>Q1 2022</v>
      </c>
      <c r="L491" t="str">
        <f t="shared" si="15"/>
        <v>Q1 2022</v>
      </c>
    </row>
    <row r="492" spans="1:12" ht="15.75" customHeight="1" x14ac:dyDescent="0.3">
      <c r="A492" s="2" t="s">
        <v>755</v>
      </c>
      <c r="B492" s="2" t="s">
        <v>11</v>
      </c>
      <c r="C492" s="2" t="s">
        <v>12</v>
      </c>
      <c r="D492" s="2" t="s">
        <v>13</v>
      </c>
      <c r="E492" s="2" t="s">
        <v>14</v>
      </c>
      <c r="F492" s="2" t="s">
        <v>27</v>
      </c>
      <c r="G492" s="4">
        <v>147868</v>
      </c>
      <c r="H492" s="6">
        <v>44630</v>
      </c>
      <c r="I492" s="4">
        <v>0</v>
      </c>
      <c r="J492" s="6">
        <v>44603</v>
      </c>
      <c r="K492" t="str">
        <f t="shared" si="14"/>
        <v>Q1 2022</v>
      </c>
      <c r="L492" t="str">
        <f t="shared" si="15"/>
        <v>Q1 2022</v>
      </c>
    </row>
    <row r="493" spans="1:12" ht="15.75" customHeight="1" x14ac:dyDescent="0.3">
      <c r="A493" s="2" t="s">
        <v>756</v>
      </c>
      <c r="B493" s="2" t="s">
        <v>11</v>
      </c>
      <c r="C493" s="2" t="s">
        <v>12</v>
      </c>
      <c r="D493" s="2" t="s">
        <v>13</v>
      </c>
      <c r="E493" s="2" t="s">
        <v>14</v>
      </c>
      <c r="F493" s="2" t="s">
        <v>46</v>
      </c>
      <c r="G493" s="4">
        <v>112714</v>
      </c>
      <c r="H493" s="5" t="s">
        <v>71</v>
      </c>
      <c r="I493" s="4">
        <v>0</v>
      </c>
      <c r="J493" s="6">
        <v>44603</v>
      </c>
      <c r="K493" t="str">
        <f t="shared" si="14"/>
        <v>Q1 2022</v>
      </c>
      <c r="L493" t="str">
        <f t="shared" si="15"/>
        <v>Q1 2022</v>
      </c>
    </row>
    <row r="494" spans="1:12" ht="15.75" customHeight="1" x14ac:dyDescent="0.3">
      <c r="A494" s="2" t="s">
        <v>757</v>
      </c>
      <c r="B494" s="2" t="s">
        <v>11</v>
      </c>
      <c r="C494" s="2" t="s">
        <v>12</v>
      </c>
      <c r="D494" s="2" t="s">
        <v>13</v>
      </c>
      <c r="E494" s="2" t="s">
        <v>14</v>
      </c>
      <c r="F494" s="2" t="s">
        <v>46</v>
      </c>
      <c r="G494" s="4">
        <v>74208</v>
      </c>
      <c r="H494" s="6">
        <v>44630</v>
      </c>
      <c r="I494" s="4">
        <v>0</v>
      </c>
      <c r="J494" s="6">
        <v>44603</v>
      </c>
      <c r="K494" t="str">
        <f t="shared" si="14"/>
        <v>Q1 2022</v>
      </c>
      <c r="L494" t="str">
        <f t="shared" si="15"/>
        <v>Q1 2022</v>
      </c>
    </row>
    <row r="495" spans="1:12" ht="15.75" customHeight="1" x14ac:dyDescent="0.3">
      <c r="A495" s="2" t="s">
        <v>758</v>
      </c>
      <c r="B495" s="2" t="s">
        <v>11</v>
      </c>
      <c r="C495" s="2" t="s">
        <v>12</v>
      </c>
      <c r="D495" s="2" t="s">
        <v>13</v>
      </c>
      <c r="E495" s="2" t="s">
        <v>14</v>
      </c>
      <c r="F495" s="2" t="s">
        <v>46</v>
      </c>
      <c r="G495" s="4">
        <v>90068</v>
      </c>
      <c r="H495" s="5" t="s">
        <v>137</v>
      </c>
      <c r="I495" s="4">
        <v>0</v>
      </c>
      <c r="J495" s="6">
        <v>44598</v>
      </c>
      <c r="K495" t="str">
        <f t="shared" si="14"/>
        <v>Q1 2022</v>
      </c>
      <c r="L495" t="str">
        <f t="shared" si="15"/>
        <v>Q1 2022</v>
      </c>
    </row>
    <row r="496" spans="1:12" ht="15.75" customHeight="1" x14ac:dyDescent="0.3">
      <c r="A496" s="2" t="s">
        <v>759</v>
      </c>
      <c r="B496" s="2" t="s">
        <v>11</v>
      </c>
      <c r="C496" s="2" t="s">
        <v>12</v>
      </c>
      <c r="D496" s="2" t="s">
        <v>13</v>
      </c>
      <c r="E496" s="2" t="s">
        <v>14</v>
      </c>
      <c r="F496" s="2" t="s">
        <v>27</v>
      </c>
      <c r="G496" s="4">
        <v>80085</v>
      </c>
      <c r="H496" s="5" t="s">
        <v>760</v>
      </c>
      <c r="I496" s="4">
        <v>0</v>
      </c>
      <c r="J496" s="6">
        <v>44961</v>
      </c>
      <c r="K496" t="str">
        <f t="shared" si="14"/>
        <v>Q1 2023</v>
      </c>
      <c r="L496" t="str">
        <f t="shared" si="15"/>
        <v>Q1 2023</v>
      </c>
    </row>
    <row r="497" spans="1:12" ht="15.75" customHeight="1" x14ac:dyDescent="0.3">
      <c r="A497" s="2" t="s">
        <v>761</v>
      </c>
      <c r="B497" s="2" t="s">
        <v>11</v>
      </c>
      <c r="C497" s="2" t="s">
        <v>12</v>
      </c>
      <c r="D497" s="2" t="s">
        <v>13</v>
      </c>
      <c r="E497" s="2" t="s">
        <v>14</v>
      </c>
      <c r="F497" s="2" t="s">
        <v>27</v>
      </c>
      <c r="G497" s="4">
        <v>157857</v>
      </c>
      <c r="H497" s="5" t="s">
        <v>42</v>
      </c>
      <c r="I497" s="4">
        <v>0</v>
      </c>
      <c r="J497" s="6">
        <v>44603</v>
      </c>
      <c r="K497" t="str">
        <f t="shared" si="14"/>
        <v>Q1 2022</v>
      </c>
      <c r="L497" t="str">
        <f t="shared" si="15"/>
        <v>Q1 2022</v>
      </c>
    </row>
    <row r="498" spans="1:12" ht="15.75" customHeight="1" x14ac:dyDescent="0.3">
      <c r="A498" s="2" t="s">
        <v>762</v>
      </c>
      <c r="B498" s="2" t="s">
        <v>11</v>
      </c>
      <c r="C498" s="2" t="s">
        <v>12</v>
      </c>
      <c r="D498" s="2" t="s">
        <v>13</v>
      </c>
      <c r="E498" s="2" t="s">
        <v>14</v>
      </c>
      <c r="F498" s="2" t="s">
        <v>15</v>
      </c>
      <c r="G498" s="4">
        <v>88677</v>
      </c>
      <c r="H498" s="5" t="s">
        <v>42</v>
      </c>
      <c r="I498" s="4">
        <v>0</v>
      </c>
      <c r="J498" s="6">
        <v>44603</v>
      </c>
      <c r="K498" t="str">
        <f t="shared" si="14"/>
        <v>Q1 2022</v>
      </c>
      <c r="L498" t="str">
        <f t="shared" si="15"/>
        <v>Q1 2022</v>
      </c>
    </row>
    <row r="499" spans="1:12" ht="15.75" customHeight="1" x14ac:dyDescent="0.3">
      <c r="A499" s="2" t="s">
        <v>763</v>
      </c>
      <c r="B499" s="2" t="s">
        <v>11</v>
      </c>
      <c r="C499" s="2" t="s">
        <v>12</v>
      </c>
      <c r="D499" s="2" t="s">
        <v>13</v>
      </c>
      <c r="E499" s="2" t="s">
        <v>14</v>
      </c>
      <c r="F499" s="2" t="s">
        <v>46</v>
      </c>
      <c r="G499" s="4">
        <v>203793</v>
      </c>
      <c r="H499" s="5" t="s">
        <v>82</v>
      </c>
      <c r="I499" s="4">
        <v>0</v>
      </c>
      <c r="J499" s="6">
        <v>44597</v>
      </c>
      <c r="K499" t="str">
        <f t="shared" si="14"/>
        <v>Q1 2022</v>
      </c>
      <c r="L499" t="str">
        <f t="shared" si="15"/>
        <v>Q1 2022</v>
      </c>
    </row>
    <row r="500" spans="1:12" ht="15.75" customHeight="1" x14ac:dyDescent="0.3">
      <c r="A500" s="2" t="s">
        <v>764</v>
      </c>
      <c r="B500" s="2" t="s">
        <v>11</v>
      </c>
      <c r="C500" s="2" t="s">
        <v>12</v>
      </c>
      <c r="D500" s="2" t="s">
        <v>13</v>
      </c>
      <c r="E500" s="2" t="s">
        <v>14</v>
      </c>
      <c r="F500" s="2" t="s">
        <v>765</v>
      </c>
      <c r="G500" s="4">
        <v>55037</v>
      </c>
      <c r="H500" s="5" t="s">
        <v>30</v>
      </c>
      <c r="I500" s="4">
        <v>0</v>
      </c>
      <c r="J500" s="6">
        <v>44603</v>
      </c>
      <c r="K500" t="str">
        <f t="shared" si="14"/>
        <v>Q1 2022</v>
      </c>
      <c r="L500" t="str">
        <f t="shared" si="15"/>
        <v>Q1 2022</v>
      </c>
    </row>
    <row r="501" spans="1:12" ht="15.75" customHeight="1" x14ac:dyDescent="0.3">
      <c r="A501" s="2" t="s">
        <v>766</v>
      </c>
      <c r="B501" s="2" t="s">
        <v>11</v>
      </c>
      <c r="C501" s="2" t="s">
        <v>12</v>
      </c>
      <c r="D501" s="2" t="s">
        <v>13</v>
      </c>
      <c r="E501" s="2" t="s">
        <v>14</v>
      </c>
      <c r="F501" s="2" t="s">
        <v>623</v>
      </c>
      <c r="G501" s="4">
        <v>106786</v>
      </c>
      <c r="H501" s="6">
        <v>44623</v>
      </c>
      <c r="I501" s="4">
        <v>0</v>
      </c>
      <c r="J501" s="6">
        <v>44597</v>
      </c>
      <c r="K501" t="str">
        <f t="shared" si="14"/>
        <v>Q1 2022</v>
      </c>
      <c r="L501" t="str">
        <f t="shared" si="15"/>
        <v>Q1 2022</v>
      </c>
    </row>
    <row r="502" spans="1:12" ht="15.75" customHeight="1" x14ac:dyDescent="0.3">
      <c r="A502" s="2" t="s">
        <v>767</v>
      </c>
      <c r="B502" s="2" t="s">
        <v>20</v>
      </c>
      <c r="C502" s="2" t="s">
        <v>21</v>
      </c>
      <c r="D502" s="2" t="s">
        <v>13</v>
      </c>
      <c r="E502" s="2" t="s">
        <v>14</v>
      </c>
      <c r="F502" s="2" t="s">
        <v>768</v>
      </c>
      <c r="G502" s="4">
        <v>83160</v>
      </c>
      <c r="H502" s="5" t="s">
        <v>769</v>
      </c>
      <c r="I502" s="4">
        <v>41580</v>
      </c>
      <c r="J502" s="5" t="s">
        <v>36</v>
      </c>
      <c r="K502" t="str">
        <f t="shared" si="14"/>
        <v>Q4 2022</v>
      </c>
      <c r="L502" t="str">
        <f t="shared" si="15"/>
        <v>Q4 2022</v>
      </c>
    </row>
    <row r="503" spans="1:12" ht="15.75" customHeight="1" x14ac:dyDescent="0.3">
      <c r="A503" s="80" t="s">
        <v>770</v>
      </c>
      <c r="B503" s="2" t="s">
        <v>11</v>
      </c>
      <c r="C503" s="2" t="s">
        <v>12</v>
      </c>
      <c r="D503" s="2" t="s">
        <v>13</v>
      </c>
      <c r="E503" s="2" t="s">
        <v>14</v>
      </c>
      <c r="F503" s="2" t="s">
        <v>85</v>
      </c>
      <c r="G503" s="4">
        <v>137608</v>
      </c>
      <c r="H503" s="5" t="s">
        <v>71</v>
      </c>
      <c r="I503" s="4">
        <v>0</v>
      </c>
      <c r="J503" s="6">
        <v>44603</v>
      </c>
      <c r="K503" t="str">
        <f t="shared" si="14"/>
        <v>Q1 2022</v>
      </c>
      <c r="L503" t="str">
        <f t="shared" si="15"/>
        <v>Q1 2022</v>
      </c>
    </row>
    <row r="504" spans="1:12" ht="15.75" customHeight="1" x14ac:dyDescent="0.3">
      <c r="A504" s="2" t="s">
        <v>771</v>
      </c>
      <c r="B504" s="2" t="s">
        <v>11</v>
      </c>
      <c r="C504" s="2" t="s">
        <v>12</v>
      </c>
      <c r="D504" s="2" t="s">
        <v>13</v>
      </c>
      <c r="E504" s="2" t="s">
        <v>14</v>
      </c>
      <c r="F504" s="2" t="s">
        <v>46</v>
      </c>
      <c r="G504" s="4">
        <v>157835</v>
      </c>
      <c r="H504" s="5" t="s">
        <v>39</v>
      </c>
      <c r="I504" s="4">
        <v>0</v>
      </c>
      <c r="J504" s="6">
        <v>44603</v>
      </c>
      <c r="K504" t="str">
        <f t="shared" si="14"/>
        <v>Q1 2022</v>
      </c>
      <c r="L504" t="str">
        <f t="shared" si="15"/>
        <v>Q1 2022</v>
      </c>
    </row>
    <row r="505" spans="1:12" ht="15.75" customHeight="1" x14ac:dyDescent="0.3">
      <c r="A505" s="2" t="s">
        <v>772</v>
      </c>
      <c r="B505" s="2" t="s">
        <v>11</v>
      </c>
      <c r="C505" s="2" t="s">
        <v>12</v>
      </c>
      <c r="D505" s="2" t="s">
        <v>13</v>
      </c>
      <c r="E505" s="2" t="s">
        <v>14</v>
      </c>
      <c r="F505" s="2" t="s">
        <v>46</v>
      </c>
      <c r="G505" s="4">
        <v>187470</v>
      </c>
      <c r="H505" s="5" t="s">
        <v>189</v>
      </c>
      <c r="I505" s="4">
        <v>0</v>
      </c>
      <c r="J505" s="6">
        <v>44601</v>
      </c>
      <c r="K505" t="str">
        <f t="shared" si="14"/>
        <v>Q1 2022</v>
      </c>
      <c r="L505" t="str">
        <f t="shared" si="15"/>
        <v>Q1 2022</v>
      </c>
    </row>
    <row r="506" spans="1:12" ht="15.75" customHeight="1" x14ac:dyDescent="0.3">
      <c r="A506" s="2" t="s">
        <v>773</v>
      </c>
      <c r="B506" s="2" t="s">
        <v>11</v>
      </c>
      <c r="C506" s="2" t="s">
        <v>12</v>
      </c>
      <c r="D506" s="2" t="s">
        <v>13</v>
      </c>
      <c r="E506" s="2" t="s">
        <v>14</v>
      </c>
      <c r="F506" s="2" t="s">
        <v>46</v>
      </c>
      <c r="G506" s="4">
        <v>102196</v>
      </c>
      <c r="H506" s="6">
        <v>44629</v>
      </c>
      <c r="I506" s="4">
        <v>0</v>
      </c>
      <c r="J506" s="6">
        <v>44603</v>
      </c>
      <c r="K506" t="str">
        <f t="shared" si="14"/>
        <v>Q1 2022</v>
      </c>
      <c r="L506" t="str">
        <f t="shared" si="15"/>
        <v>Q1 2022</v>
      </c>
    </row>
    <row r="507" spans="1:12" ht="15.75" customHeight="1" x14ac:dyDescent="0.3">
      <c r="A507" s="2" t="s">
        <v>774</v>
      </c>
      <c r="B507" s="2" t="s">
        <v>11</v>
      </c>
      <c r="C507" s="2" t="s">
        <v>12</v>
      </c>
      <c r="D507" s="2" t="s">
        <v>13</v>
      </c>
      <c r="E507" s="2" t="s">
        <v>14</v>
      </c>
      <c r="F507" s="2" t="s">
        <v>27</v>
      </c>
      <c r="G507" s="4">
        <v>100539</v>
      </c>
      <c r="H507" s="5" t="s">
        <v>39</v>
      </c>
      <c r="I507" s="4">
        <v>0</v>
      </c>
      <c r="J507" s="6">
        <v>44603</v>
      </c>
      <c r="K507" t="str">
        <f t="shared" si="14"/>
        <v>Q1 2022</v>
      </c>
      <c r="L507" t="str">
        <f t="shared" si="15"/>
        <v>Q1 2022</v>
      </c>
    </row>
    <row r="508" spans="1:12" ht="15.75" customHeight="1" x14ac:dyDescent="0.3">
      <c r="A508" s="2" t="s">
        <v>775</v>
      </c>
      <c r="B508" s="2" t="s">
        <v>11</v>
      </c>
      <c r="C508" s="2" t="s">
        <v>12</v>
      </c>
      <c r="D508" s="2" t="s">
        <v>13</v>
      </c>
      <c r="E508" s="2" t="s">
        <v>14</v>
      </c>
      <c r="F508" s="2" t="s">
        <v>15</v>
      </c>
      <c r="G508" s="4">
        <v>76925</v>
      </c>
      <c r="H508" s="5" t="s">
        <v>197</v>
      </c>
      <c r="I508" s="4">
        <v>0</v>
      </c>
      <c r="J508" s="6">
        <v>44602</v>
      </c>
      <c r="K508" t="str">
        <f t="shared" si="14"/>
        <v>Q1 2022</v>
      </c>
      <c r="L508" t="str">
        <f t="shared" si="15"/>
        <v>Q1 2022</v>
      </c>
    </row>
    <row r="509" spans="1:12" ht="15.75" customHeight="1" x14ac:dyDescent="0.3">
      <c r="A509" s="2" t="s">
        <v>776</v>
      </c>
      <c r="B509" s="2" t="s">
        <v>11</v>
      </c>
      <c r="C509" s="2" t="s">
        <v>12</v>
      </c>
      <c r="D509" s="2" t="s">
        <v>13</v>
      </c>
      <c r="E509" s="2" t="s">
        <v>14</v>
      </c>
      <c r="F509" s="2" t="s">
        <v>46</v>
      </c>
      <c r="G509" s="4">
        <v>110085</v>
      </c>
      <c r="H509" s="5" t="s">
        <v>42</v>
      </c>
      <c r="I509" s="4">
        <v>0</v>
      </c>
      <c r="J509" s="6">
        <v>44603</v>
      </c>
      <c r="K509" t="str">
        <f t="shared" si="14"/>
        <v>Q1 2022</v>
      </c>
      <c r="L509" t="str">
        <f t="shared" si="15"/>
        <v>Q1 2022</v>
      </c>
    </row>
    <row r="510" spans="1:12" ht="15.75" customHeight="1" x14ac:dyDescent="0.3">
      <c r="A510" s="2" t="s">
        <v>777</v>
      </c>
      <c r="B510" s="2" t="s">
        <v>11</v>
      </c>
      <c r="C510" s="2" t="s">
        <v>12</v>
      </c>
      <c r="D510" s="2" t="s">
        <v>13</v>
      </c>
      <c r="E510" s="2" t="s">
        <v>14</v>
      </c>
      <c r="F510" s="2" t="s">
        <v>46</v>
      </c>
      <c r="G510" s="4">
        <v>83580</v>
      </c>
      <c r="H510" s="5" t="s">
        <v>232</v>
      </c>
      <c r="I510" s="4">
        <v>0</v>
      </c>
      <c r="J510" s="6">
        <v>44594</v>
      </c>
      <c r="K510" t="str">
        <f t="shared" si="14"/>
        <v>Q1 2022</v>
      </c>
      <c r="L510" t="str">
        <f t="shared" si="15"/>
        <v>Q1 2022</v>
      </c>
    </row>
    <row r="511" spans="1:12" ht="15.75" customHeight="1" x14ac:dyDescent="0.3">
      <c r="A511" s="2" t="s">
        <v>778</v>
      </c>
      <c r="B511" s="2" t="s">
        <v>11</v>
      </c>
      <c r="C511" s="2" t="s">
        <v>12</v>
      </c>
      <c r="D511" s="2" t="s">
        <v>13</v>
      </c>
      <c r="E511" s="2" t="s">
        <v>14</v>
      </c>
      <c r="F511" s="2" t="s">
        <v>623</v>
      </c>
      <c r="G511" s="2"/>
      <c r="H511" s="5" t="s">
        <v>42</v>
      </c>
      <c r="I511" s="4">
        <v>0</v>
      </c>
      <c r="J511" s="6">
        <v>44603</v>
      </c>
      <c r="K511" t="str">
        <f t="shared" si="14"/>
        <v>Q1 2022</v>
      </c>
      <c r="L511" t="str">
        <f t="shared" si="15"/>
        <v>Q1 2022</v>
      </c>
    </row>
    <row r="512" spans="1:12" ht="15.75" customHeight="1" x14ac:dyDescent="0.3">
      <c r="A512" s="2" t="s">
        <v>779</v>
      </c>
      <c r="B512" s="2" t="s">
        <v>11</v>
      </c>
      <c r="C512" s="2" t="s">
        <v>12</v>
      </c>
      <c r="D512" s="2" t="s">
        <v>13</v>
      </c>
      <c r="E512" s="2" t="s">
        <v>14</v>
      </c>
      <c r="F512" s="2" t="s">
        <v>780</v>
      </c>
      <c r="G512" s="4">
        <v>42045</v>
      </c>
      <c r="H512" s="6">
        <v>44866</v>
      </c>
      <c r="I512" s="4">
        <v>0</v>
      </c>
      <c r="J512" s="6">
        <v>44595</v>
      </c>
      <c r="K512" t="str">
        <f t="shared" si="14"/>
        <v>Q1 2022</v>
      </c>
      <c r="L512" t="str">
        <f t="shared" si="15"/>
        <v>Q1 2022</v>
      </c>
    </row>
    <row r="513" spans="1:12" ht="15.75" customHeight="1" x14ac:dyDescent="0.3">
      <c r="A513" s="2" t="s">
        <v>781</v>
      </c>
      <c r="B513" s="2" t="s">
        <v>11</v>
      </c>
      <c r="C513" s="2" t="s">
        <v>12</v>
      </c>
      <c r="D513" s="2" t="s">
        <v>13</v>
      </c>
      <c r="E513" s="2" t="s">
        <v>14</v>
      </c>
      <c r="F513" s="2" t="s">
        <v>46</v>
      </c>
      <c r="G513" s="4">
        <v>72988</v>
      </c>
      <c r="H513" s="5" t="s">
        <v>212</v>
      </c>
      <c r="I513" s="4">
        <v>0</v>
      </c>
      <c r="J513" s="6">
        <v>44597</v>
      </c>
      <c r="K513" t="str">
        <f t="shared" si="14"/>
        <v>Q1 2022</v>
      </c>
      <c r="L513" t="str">
        <f t="shared" si="15"/>
        <v>Q1 2022</v>
      </c>
    </row>
    <row r="514" spans="1:12" ht="15.75" customHeight="1" x14ac:dyDescent="0.3">
      <c r="A514" s="2" t="s">
        <v>782</v>
      </c>
      <c r="B514" s="2" t="s">
        <v>11</v>
      </c>
      <c r="C514" s="2" t="s">
        <v>12</v>
      </c>
      <c r="D514" s="2" t="s">
        <v>13</v>
      </c>
      <c r="E514" s="2" t="s">
        <v>14</v>
      </c>
      <c r="F514" s="2" t="s">
        <v>623</v>
      </c>
      <c r="G514" s="4">
        <v>203733</v>
      </c>
      <c r="H514" s="5" t="s">
        <v>728</v>
      </c>
      <c r="I514" s="4">
        <v>0</v>
      </c>
      <c r="J514" s="6">
        <v>44600</v>
      </c>
      <c r="K514" t="str">
        <f t="shared" ref="K514:K577" si="16">"Q" &amp; ROUNDUP(MONTH(J:J)/3,0) &amp; " " &amp; YEAR(J:J)</f>
        <v>Q1 2022</v>
      </c>
      <c r="L514" t="str">
        <f t="shared" ref="L514:L577" si="17">"Q" &amp; ROUNDUP(MONTH(J:J)/3,0) &amp; " " &amp; YEAR(J:J)</f>
        <v>Q1 2022</v>
      </c>
    </row>
    <row r="515" spans="1:12" ht="15.75" customHeight="1" x14ac:dyDescent="0.3">
      <c r="A515" s="2" t="s">
        <v>783</v>
      </c>
      <c r="B515" s="2" t="s">
        <v>11</v>
      </c>
      <c r="C515" s="2" t="s">
        <v>12</v>
      </c>
      <c r="D515" s="2" t="s">
        <v>13</v>
      </c>
      <c r="E515" s="2" t="s">
        <v>14</v>
      </c>
      <c r="F515" s="2" t="s">
        <v>623</v>
      </c>
      <c r="G515" s="4">
        <v>172921</v>
      </c>
      <c r="H515" s="5" t="s">
        <v>71</v>
      </c>
      <c r="I515" s="4">
        <v>0</v>
      </c>
      <c r="J515" s="6">
        <v>44603</v>
      </c>
      <c r="K515" t="str">
        <f t="shared" si="16"/>
        <v>Q1 2022</v>
      </c>
      <c r="L515" t="str">
        <f t="shared" si="17"/>
        <v>Q1 2022</v>
      </c>
    </row>
    <row r="516" spans="1:12" ht="15.75" customHeight="1" x14ac:dyDescent="0.3">
      <c r="A516" s="2" t="s">
        <v>784</v>
      </c>
      <c r="B516" s="2" t="s">
        <v>11</v>
      </c>
      <c r="C516" s="2" t="s">
        <v>12</v>
      </c>
      <c r="D516" s="2" t="s">
        <v>13</v>
      </c>
      <c r="E516" s="2" t="s">
        <v>14</v>
      </c>
      <c r="F516" s="2" t="s">
        <v>46</v>
      </c>
      <c r="G516" s="4">
        <v>56858</v>
      </c>
      <c r="H516" s="5" t="s">
        <v>30</v>
      </c>
      <c r="I516" s="4">
        <v>0</v>
      </c>
      <c r="J516" s="6">
        <v>44603</v>
      </c>
      <c r="K516" t="str">
        <f t="shared" si="16"/>
        <v>Q1 2022</v>
      </c>
      <c r="L516" t="str">
        <f t="shared" si="17"/>
        <v>Q1 2022</v>
      </c>
    </row>
    <row r="517" spans="1:12" ht="15.75" customHeight="1" x14ac:dyDescent="0.3">
      <c r="A517" s="2" t="s">
        <v>785</v>
      </c>
      <c r="B517" s="2" t="s">
        <v>11</v>
      </c>
      <c r="C517" s="2" t="s">
        <v>12</v>
      </c>
      <c r="D517" s="2" t="s">
        <v>13</v>
      </c>
      <c r="E517" s="2" t="s">
        <v>14</v>
      </c>
      <c r="F517" s="2" t="s">
        <v>46</v>
      </c>
      <c r="G517" s="4">
        <v>76983</v>
      </c>
      <c r="H517" s="6">
        <v>44626</v>
      </c>
      <c r="I517" s="4">
        <v>0</v>
      </c>
      <c r="J517" s="6">
        <v>44600</v>
      </c>
      <c r="K517" t="str">
        <f t="shared" si="16"/>
        <v>Q1 2022</v>
      </c>
      <c r="L517" t="str">
        <f t="shared" si="17"/>
        <v>Q1 2022</v>
      </c>
    </row>
    <row r="518" spans="1:12" ht="15.75" customHeight="1" x14ac:dyDescent="0.3">
      <c r="A518" s="2" t="s">
        <v>786</v>
      </c>
      <c r="B518" s="2" t="s">
        <v>11</v>
      </c>
      <c r="C518" s="2" t="s">
        <v>12</v>
      </c>
      <c r="D518" s="2" t="s">
        <v>13</v>
      </c>
      <c r="E518" s="2" t="s">
        <v>14</v>
      </c>
      <c r="F518" s="2" t="s">
        <v>46</v>
      </c>
      <c r="G518" s="4">
        <v>43881</v>
      </c>
      <c r="H518" s="6">
        <v>44901</v>
      </c>
      <c r="I518" s="4">
        <v>0</v>
      </c>
      <c r="J518" s="6">
        <v>44599</v>
      </c>
      <c r="K518" t="str">
        <f t="shared" si="16"/>
        <v>Q1 2022</v>
      </c>
      <c r="L518" t="str">
        <f t="shared" si="17"/>
        <v>Q1 2022</v>
      </c>
    </row>
    <row r="519" spans="1:12" ht="15.75" customHeight="1" x14ac:dyDescent="0.3">
      <c r="A519" s="2" t="s">
        <v>787</v>
      </c>
      <c r="B519" s="2" t="s">
        <v>11</v>
      </c>
      <c r="C519" s="2" t="s">
        <v>12</v>
      </c>
      <c r="D519" s="2" t="s">
        <v>13</v>
      </c>
      <c r="E519" s="2" t="s">
        <v>22</v>
      </c>
      <c r="F519" s="2" t="s">
        <v>46</v>
      </c>
      <c r="G519" s="4">
        <v>88013</v>
      </c>
      <c r="H519" s="6">
        <v>44631</v>
      </c>
      <c r="I519" s="4">
        <v>0</v>
      </c>
      <c r="J519" s="6">
        <v>44958</v>
      </c>
      <c r="K519" t="str">
        <f t="shared" si="16"/>
        <v>Q1 2023</v>
      </c>
      <c r="L519" t="str">
        <f t="shared" si="17"/>
        <v>Q1 2023</v>
      </c>
    </row>
    <row r="520" spans="1:12" ht="15.75" customHeight="1" x14ac:dyDescent="0.3">
      <c r="A520" s="2" t="s">
        <v>788</v>
      </c>
      <c r="B520" s="2" t="s">
        <v>11</v>
      </c>
      <c r="C520" s="2" t="s">
        <v>12</v>
      </c>
      <c r="D520" s="2" t="s">
        <v>13</v>
      </c>
      <c r="E520" s="2" t="s">
        <v>14</v>
      </c>
      <c r="F520" s="2" t="s">
        <v>15</v>
      </c>
      <c r="G520" s="4">
        <v>92126</v>
      </c>
      <c r="H520" s="5" t="s">
        <v>333</v>
      </c>
      <c r="I520" s="4">
        <v>0</v>
      </c>
      <c r="J520" s="6">
        <v>44598</v>
      </c>
      <c r="K520" t="str">
        <f t="shared" si="16"/>
        <v>Q1 2022</v>
      </c>
      <c r="L520" t="str">
        <f t="shared" si="17"/>
        <v>Q1 2022</v>
      </c>
    </row>
    <row r="521" spans="1:12" ht="15.75" customHeight="1" x14ac:dyDescent="0.3">
      <c r="A521" s="2" t="s">
        <v>789</v>
      </c>
      <c r="B521" s="2" t="s">
        <v>20</v>
      </c>
      <c r="C521" s="2" t="s">
        <v>21</v>
      </c>
      <c r="D521" s="2" t="s">
        <v>13</v>
      </c>
      <c r="E521" s="2" t="s">
        <v>14</v>
      </c>
      <c r="F521" s="2" t="s">
        <v>567</v>
      </c>
      <c r="G521" s="4">
        <v>106692</v>
      </c>
      <c r="H521" s="5" t="s">
        <v>455</v>
      </c>
      <c r="I521" s="4">
        <v>8891</v>
      </c>
      <c r="J521" s="5" t="s">
        <v>154</v>
      </c>
      <c r="K521" t="str">
        <f t="shared" si="16"/>
        <v>Q3 2022</v>
      </c>
      <c r="L521" t="str">
        <f t="shared" si="17"/>
        <v>Q3 2022</v>
      </c>
    </row>
    <row r="522" spans="1:12" ht="15.75" customHeight="1" x14ac:dyDescent="0.3">
      <c r="A522" s="2" t="s">
        <v>790</v>
      </c>
      <c r="B522" s="2" t="s">
        <v>11</v>
      </c>
      <c r="C522" s="2" t="s">
        <v>12</v>
      </c>
      <c r="D522" s="2" t="s">
        <v>13</v>
      </c>
      <c r="E522" s="2" t="s">
        <v>14</v>
      </c>
      <c r="F522" s="2" t="s">
        <v>46</v>
      </c>
      <c r="G522" s="4">
        <v>133858</v>
      </c>
      <c r="H522" s="6">
        <v>44899</v>
      </c>
      <c r="I522" s="4">
        <v>0</v>
      </c>
      <c r="J522" s="6">
        <v>44597</v>
      </c>
      <c r="K522" t="str">
        <f t="shared" si="16"/>
        <v>Q1 2022</v>
      </c>
      <c r="L522" t="str">
        <f t="shared" si="17"/>
        <v>Q1 2022</v>
      </c>
    </row>
    <row r="523" spans="1:12" ht="15.75" customHeight="1" x14ac:dyDescent="0.3">
      <c r="A523" s="2" t="s">
        <v>791</v>
      </c>
      <c r="B523" s="2" t="s">
        <v>11</v>
      </c>
      <c r="C523" s="2" t="s">
        <v>12</v>
      </c>
      <c r="D523" s="2" t="s">
        <v>13</v>
      </c>
      <c r="E523" s="2" t="s">
        <v>14</v>
      </c>
      <c r="F523" s="2" t="s">
        <v>792</v>
      </c>
      <c r="G523" s="4">
        <v>368455</v>
      </c>
      <c r="H523" s="6">
        <v>44629</v>
      </c>
      <c r="I523" s="4">
        <v>0</v>
      </c>
      <c r="J523" s="6">
        <v>44603</v>
      </c>
      <c r="K523" t="str">
        <f t="shared" si="16"/>
        <v>Q1 2022</v>
      </c>
      <c r="L523" t="str">
        <f t="shared" si="17"/>
        <v>Q1 2022</v>
      </c>
    </row>
    <row r="524" spans="1:12" ht="15.75" customHeight="1" x14ac:dyDescent="0.3">
      <c r="A524" s="2" t="s">
        <v>793</v>
      </c>
      <c r="B524" s="2" t="s">
        <v>11</v>
      </c>
      <c r="C524" s="2" t="s">
        <v>12</v>
      </c>
      <c r="D524" s="2" t="s">
        <v>13</v>
      </c>
      <c r="E524" s="2" t="s">
        <v>14</v>
      </c>
      <c r="F524" s="2" t="s">
        <v>794</v>
      </c>
      <c r="G524" s="4">
        <v>107211</v>
      </c>
      <c r="H524" s="5" t="s">
        <v>142</v>
      </c>
      <c r="I524" s="4">
        <v>0</v>
      </c>
      <c r="J524" s="6">
        <v>44596</v>
      </c>
      <c r="K524" t="str">
        <f t="shared" si="16"/>
        <v>Q1 2022</v>
      </c>
      <c r="L524" t="str">
        <f t="shared" si="17"/>
        <v>Q1 2022</v>
      </c>
    </row>
    <row r="525" spans="1:12" ht="15.75" customHeight="1" x14ac:dyDescent="0.3">
      <c r="A525" s="2" t="s">
        <v>795</v>
      </c>
      <c r="B525" s="2" t="s">
        <v>11</v>
      </c>
      <c r="C525" s="2" t="s">
        <v>12</v>
      </c>
      <c r="D525" s="2" t="s">
        <v>13</v>
      </c>
      <c r="E525" s="2" t="s">
        <v>14</v>
      </c>
      <c r="F525" s="2" t="s">
        <v>670</v>
      </c>
      <c r="G525" s="4">
        <v>115087</v>
      </c>
      <c r="H525" s="5" t="s">
        <v>419</v>
      </c>
      <c r="I525" s="4">
        <v>0</v>
      </c>
      <c r="J525" s="6">
        <v>44962</v>
      </c>
      <c r="K525" t="str">
        <f t="shared" si="16"/>
        <v>Q1 2023</v>
      </c>
      <c r="L525" t="str">
        <f t="shared" si="17"/>
        <v>Q1 2023</v>
      </c>
    </row>
    <row r="526" spans="1:12" ht="15.75" customHeight="1" x14ac:dyDescent="0.3">
      <c r="A526" s="2" t="s">
        <v>796</v>
      </c>
      <c r="B526" s="2" t="s">
        <v>11</v>
      </c>
      <c r="C526" s="2" t="s">
        <v>12</v>
      </c>
      <c r="D526" s="2" t="s">
        <v>13</v>
      </c>
      <c r="E526" s="2" t="s">
        <v>14</v>
      </c>
      <c r="F526" s="2" t="s">
        <v>797</v>
      </c>
      <c r="G526" s="4">
        <v>104166</v>
      </c>
      <c r="H526" s="5" t="s">
        <v>137</v>
      </c>
      <c r="I526" s="4">
        <v>0</v>
      </c>
      <c r="J526" s="6">
        <v>44599</v>
      </c>
      <c r="K526" t="str">
        <f t="shared" si="16"/>
        <v>Q1 2022</v>
      </c>
      <c r="L526" t="str">
        <f t="shared" si="17"/>
        <v>Q1 2022</v>
      </c>
    </row>
    <row r="527" spans="1:12" ht="15.75" customHeight="1" x14ac:dyDescent="0.3">
      <c r="A527" s="2" t="s">
        <v>798</v>
      </c>
      <c r="B527" s="2" t="s">
        <v>20</v>
      </c>
      <c r="C527" s="2" t="s">
        <v>21</v>
      </c>
      <c r="D527" s="2" t="s">
        <v>13</v>
      </c>
      <c r="E527" s="2" t="s">
        <v>14</v>
      </c>
      <c r="F527" s="2" t="s">
        <v>27</v>
      </c>
      <c r="G527" s="4">
        <v>143497</v>
      </c>
      <c r="H527" s="5" t="s">
        <v>300</v>
      </c>
      <c r="I527" s="4">
        <v>71749</v>
      </c>
      <c r="J527" s="5" t="s">
        <v>301</v>
      </c>
      <c r="K527" t="str">
        <f t="shared" si="16"/>
        <v>Q4 2022</v>
      </c>
      <c r="L527" t="str">
        <f t="shared" si="17"/>
        <v>Q4 2022</v>
      </c>
    </row>
    <row r="528" spans="1:12" ht="15.75" customHeight="1" x14ac:dyDescent="0.3">
      <c r="A528" s="2" t="s">
        <v>799</v>
      </c>
      <c r="B528" s="2" t="s">
        <v>11</v>
      </c>
      <c r="C528" s="2" t="s">
        <v>12</v>
      </c>
      <c r="D528" s="2" t="s">
        <v>13</v>
      </c>
      <c r="E528" s="2" t="s">
        <v>14</v>
      </c>
      <c r="F528" s="2" t="s">
        <v>27</v>
      </c>
      <c r="G528" s="4">
        <v>127427</v>
      </c>
      <c r="H528" s="5" t="s">
        <v>463</v>
      </c>
      <c r="I528" s="4">
        <v>0</v>
      </c>
      <c r="J528" s="6">
        <v>44599</v>
      </c>
      <c r="K528" t="str">
        <f t="shared" si="16"/>
        <v>Q1 2022</v>
      </c>
      <c r="L528" t="str">
        <f t="shared" si="17"/>
        <v>Q1 2022</v>
      </c>
    </row>
    <row r="529" spans="1:12" ht="15.75" customHeight="1" x14ac:dyDescent="0.3">
      <c r="A529" s="80" t="s">
        <v>800</v>
      </c>
      <c r="B529" s="2" t="s">
        <v>11</v>
      </c>
      <c r="C529" s="2" t="s">
        <v>12</v>
      </c>
      <c r="D529" s="2" t="s">
        <v>13</v>
      </c>
      <c r="E529" s="2" t="s">
        <v>14</v>
      </c>
      <c r="F529" s="2" t="s">
        <v>801</v>
      </c>
      <c r="G529" s="4">
        <v>355370</v>
      </c>
      <c r="H529" s="6">
        <v>44598</v>
      </c>
      <c r="I529" s="4">
        <v>0</v>
      </c>
      <c r="J529" s="6">
        <v>44599</v>
      </c>
      <c r="K529" t="str">
        <f t="shared" si="16"/>
        <v>Q1 2022</v>
      </c>
      <c r="L529" t="str">
        <f t="shared" si="17"/>
        <v>Q1 2022</v>
      </c>
    </row>
    <row r="530" spans="1:12" ht="15.75" customHeight="1" x14ac:dyDescent="0.3">
      <c r="A530" s="2" t="s">
        <v>802</v>
      </c>
      <c r="B530" s="2" t="s">
        <v>11</v>
      </c>
      <c r="C530" s="2" t="s">
        <v>12</v>
      </c>
      <c r="D530" s="2" t="s">
        <v>13</v>
      </c>
      <c r="E530" s="2" t="s">
        <v>22</v>
      </c>
      <c r="F530" s="2" t="s">
        <v>803</v>
      </c>
      <c r="G530" s="4">
        <v>191190</v>
      </c>
      <c r="H530" s="5" t="s">
        <v>42</v>
      </c>
      <c r="I530" s="4">
        <v>0</v>
      </c>
      <c r="J530" s="6">
        <v>44603</v>
      </c>
      <c r="K530" t="str">
        <f t="shared" si="16"/>
        <v>Q1 2022</v>
      </c>
      <c r="L530" t="str">
        <f t="shared" si="17"/>
        <v>Q1 2022</v>
      </c>
    </row>
    <row r="531" spans="1:12" ht="15.75" customHeight="1" x14ac:dyDescent="0.3">
      <c r="A531" s="2" t="s">
        <v>804</v>
      </c>
      <c r="B531" s="2" t="s">
        <v>11</v>
      </c>
      <c r="C531" s="2" t="s">
        <v>12</v>
      </c>
      <c r="D531" s="2" t="s">
        <v>13</v>
      </c>
      <c r="E531" s="2" t="s">
        <v>14</v>
      </c>
      <c r="F531" s="2" t="s">
        <v>15</v>
      </c>
      <c r="G531" s="4">
        <v>209817</v>
      </c>
      <c r="H531" s="6">
        <v>44630</v>
      </c>
      <c r="I531" s="4">
        <v>0</v>
      </c>
      <c r="J531" s="6">
        <v>44603</v>
      </c>
      <c r="K531" t="str">
        <f t="shared" si="16"/>
        <v>Q1 2022</v>
      </c>
      <c r="L531" t="str">
        <f t="shared" si="17"/>
        <v>Q1 2022</v>
      </c>
    </row>
    <row r="532" spans="1:12" ht="15.75" customHeight="1" x14ac:dyDescent="0.3">
      <c r="A532" s="2" t="s">
        <v>805</v>
      </c>
      <c r="B532" s="2" t="s">
        <v>11</v>
      </c>
      <c r="C532" s="2" t="s">
        <v>12</v>
      </c>
      <c r="D532" s="2" t="s">
        <v>13</v>
      </c>
      <c r="E532" s="2" t="s">
        <v>14</v>
      </c>
      <c r="F532" s="2" t="s">
        <v>27</v>
      </c>
      <c r="G532" s="4">
        <v>49625</v>
      </c>
      <c r="H532" s="6">
        <v>44621</v>
      </c>
      <c r="I532" s="4">
        <v>0</v>
      </c>
      <c r="J532" s="6">
        <v>44594</v>
      </c>
      <c r="K532" t="str">
        <f t="shared" si="16"/>
        <v>Q1 2022</v>
      </c>
      <c r="L532" t="str">
        <f t="shared" si="17"/>
        <v>Q1 2022</v>
      </c>
    </row>
    <row r="533" spans="1:12" ht="15.75" customHeight="1" x14ac:dyDescent="0.3">
      <c r="A533" s="2" t="s">
        <v>806</v>
      </c>
      <c r="B533" s="2" t="s">
        <v>11</v>
      </c>
      <c r="C533" s="2" t="s">
        <v>12</v>
      </c>
      <c r="D533" s="2" t="s">
        <v>13</v>
      </c>
      <c r="E533" s="2" t="s">
        <v>14</v>
      </c>
      <c r="F533" s="2" t="s">
        <v>807</v>
      </c>
      <c r="G533" s="4">
        <v>101488</v>
      </c>
      <c r="H533" s="5" t="s">
        <v>71</v>
      </c>
      <c r="I533" s="4">
        <v>0</v>
      </c>
      <c r="J533" s="6">
        <v>44603</v>
      </c>
      <c r="K533" t="str">
        <f t="shared" si="16"/>
        <v>Q1 2022</v>
      </c>
      <c r="L533" t="str">
        <f t="shared" si="17"/>
        <v>Q1 2022</v>
      </c>
    </row>
    <row r="534" spans="1:12" ht="15.75" customHeight="1" x14ac:dyDescent="0.3">
      <c r="A534" s="2" t="s">
        <v>808</v>
      </c>
      <c r="B534" s="2" t="s">
        <v>11</v>
      </c>
      <c r="C534" s="2" t="s">
        <v>12</v>
      </c>
      <c r="D534" s="2" t="s">
        <v>13</v>
      </c>
      <c r="E534" s="2" t="s">
        <v>14</v>
      </c>
      <c r="F534" s="2" t="s">
        <v>15</v>
      </c>
      <c r="G534" s="4">
        <v>101400</v>
      </c>
      <c r="H534" s="6">
        <v>44901</v>
      </c>
      <c r="I534" s="4">
        <v>0</v>
      </c>
      <c r="J534" s="6">
        <v>44599</v>
      </c>
      <c r="K534" t="str">
        <f t="shared" si="16"/>
        <v>Q1 2022</v>
      </c>
      <c r="L534" t="str">
        <f t="shared" si="17"/>
        <v>Q1 2022</v>
      </c>
    </row>
    <row r="535" spans="1:12" ht="15.75" customHeight="1" x14ac:dyDescent="0.3">
      <c r="A535" s="2" t="s">
        <v>809</v>
      </c>
      <c r="B535" s="2" t="s">
        <v>11</v>
      </c>
      <c r="C535" s="2" t="s">
        <v>12</v>
      </c>
      <c r="D535" s="2" t="s">
        <v>13</v>
      </c>
      <c r="E535" s="2" t="s">
        <v>22</v>
      </c>
      <c r="F535" s="2" t="s">
        <v>810</v>
      </c>
      <c r="G535" s="4">
        <v>67715</v>
      </c>
      <c r="H535" s="5" t="s">
        <v>16</v>
      </c>
      <c r="I535" s="4">
        <v>0</v>
      </c>
      <c r="J535" s="6">
        <v>44597</v>
      </c>
      <c r="K535" t="str">
        <f t="shared" si="16"/>
        <v>Q1 2022</v>
      </c>
      <c r="L535" t="str">
        <f t="shared" si="17"/>
        <v>Q1 2022</v>
      </c>
    </row>
    <row r="536" spans="1:12" ht="15.75" customHeight="1" x14ac:dyDescent="0.3">
      <c r="A536" s="2" t="s">
        <v>811</v>
      </c>
      <c r="B536" s="2" t="s">
        <v>20</v>
      </c>
      <c r="C536" s="2" t="s">
        <v>21</v>
      </c>
      <c r="D536" s="2" t="s">
        <v>13</v>
      </c>
      <c r="E536" s="2" t="s">
        <v>14</v>
      </c>
      <c r="F536" s="2" t="s">
        <v>27</v>
      </c>
      <c r="G536" s="4">
        <v>80523</v>
      </c>
      <c r="H536" s="5" t="s">
        <v>812</v>
      </c>
      <c r="I536" s="4">
        <v>40262</v>
      </c>
      <c r="J536" s="5" t="s">
        <v>813</v>
      </c>
      <c r="K536" t="str">
        <f t="shared" si="16"/>
        <v>Q2 2022</v>
      </c>
      <c r="L536" t="str">
        <f t="shared" si="17"/>
        <v>Q2 2022</v>
      </c>
    </row>
    <row r="537" spans="1:12" ht="15.75" customHeight="1" x14ac:dyDescent="0.3">
      <c r="A537" s="2" t="s">
        <v>814</v>
      </c>
      <c r="B537" s="2" t="s">
        <v>11</v>
      </c>
      <c r="C537" s="2" t="s">
        <v>12</v>
      </c>
      <c r="D537" s="2" t="s">
        <v>13</v>
      </c>
      <c r="E537" s="2" t="s">
        <v>14</v>
      </c>
      <c r="F537" s="2" t="s">
        <v>815</v>
      </c>
      <c r="G537" s="4">
        <v>67742</v>
      </c>
      <c r="H537" s="5" t="s">
        <v>42</v>
      </c>
      <c r="I537" s="4">
        <v>0</v>
      </c>
      <c r="J537" s="6">
        <v>44603</v>
      </c>
      <c r="K537" t="str">
        <f t="shared" si="16"/>
        <v>Q1 2022</v>
      </c>
      <c r="L537" t="str">
        <f t="shared" si="17"/>
        <v>Q1 2022</v>
      </c>
    </row>
    <row r="538" spans="1:12" ht="15.75" customHeight="1" x14ac:dyDescent="0.3">
      <c r="A538" s="2" t="s">
        <v>816</v>
      </c>
      <c r="B538" s="2" t="s">
        <v>11</v>
      </c>
      <c r="C538" s="2" t="s">
        <v>12</v>
      </c>
      <c r="D538" s="2" t="s">
        <v>13</v>
      </c>
      <c r="E538" s="2" t="s">
        <v>14</v>
      </c>
      <c r="F538" s="2" t="s">
        <v>27</v>
      </c>
      <c r="G538" s="4">
        <v>96217</v>
      </c>
      <c r="H538" s="6">
        <v>44990</v>
      </c>
      <c r="I538" s="4">
        <v>0</v>
      </c>
      <c r="J538" s="6">
        <v>44963</v>
      </c>
      <c r="K538" t="str">
        <f t="shared" si="16"/>
        <v>Q1 2023</v>
      </c>
      <c r="L538" t="str">
        <f t="shared" si="17"/>
        <v>Q1 2023</v>
      </c>
    </row>
    <row r="539" spans="1:12" ht="15.75" customHeight="1" x14ac:dyDescent="0.3">
      <c r="A539" s="2" t="s">
        <v>817</v>
      </c>
      <c r="B539" s="2" t="s">
        <v>11</v>
      </c>
      <c r="C539" s="2" t="s">
        <v>12</v>
      </c>
      <c r="D539" s="2" t="s">
        <v>13</v>
      </c>
      <c r="E539" s="2" t="s">
        <v>22</v>
      </c>
      <c r="F539" s="2" t="s">
        <v>46</v>
      </c>
      <c r="G539" s="4">
        <v>90293</v>
      </c>
      <c r="H539" s="5" t="s">
        <v>600</v>
      </c>
      <c r="I539" s="4">
        <v>0</v>
      </c>
      <c r="J539" s="6">
        <v>44600</v>
      </c>
      <c r="K539" t="str">
        <f t="shared" si="16"/>
        <v>Q1 2022</v>
      </c>
      <c r="L539" t="str">
        <f t="shared" si="17"/>
        <v>Q1 2022</v>
      </c>
    </row>
    <row r="540" spans="1:12" ht="15.75" customHeight="1" x14ac:dyDescent="0.3">
      <c r="A540" s="2" t="s">
        <v>818</v>
      </c>
      <c r="B540" s="2" t="s">
        <v>11</v>
      </c>
      <c r="C540" s="2" t="s">
        <v>12</v>
      </c>
      <c r="D540" s="2" t="s">
        <v>13</v>
      </c>
      <c r="E540" s="2" t="s">
        <v>14</v>
      </c>
      <c r="F540" s="2" t="s">
        <v>46</v>
      </c>
      <c r="G540" s="4">
        <v>270429</v>
      </c>
      <c r="H540" s="6">
        <v>44629</v>
      </c>
      <c r="I540" s="4">
        <v>0</v>
      </c>
      <c r="J540" s="6">
        <v>44603</v>
      </c>
      <c r="K540" t="str">
        <f t="shared" si="16"/>
        <v>Q1 2022</v>
      </c>
      <c r="L540" t="str">
        <f t="shared" si="17"/>
        <v>Q1 2022</v>
      </c>
    </row>
    <row r="541" spans="1:12" ht="15.75" customHeight="1" x14ac:dyDescent="0.3">
      <c r="A541" s="2" t="s">
        <v>819</v>
      </c>
      <c r="B541" s="2" t="s">
        <v>11</v>
      </c>
      <c r="C541" s="2" t="s">
        <v>12</v>
      </c>
      <c r="D541" s="2" t="s">
        <v>13</v>
      </c>
      <c r="E541" s="2" t="s">
        <v>14</v>
      </c>
      <c r="F541" s="2" t="s">
        <v>46</v>
      </c>
      <c r="G541" s="4">
        <v>63020</v>
      </c>
      <c r="H541" s="6">
        <v>44901</v>
      </c>
      <c r="I541" s="4">
        <v>0</v>
      </c>
      <c r="J541" s="6">
        <v>44599</v>
      </c>
      <c r="K541" t="str">
        <f t="shared" si="16"/>
        <v>Q1 2022</v>
      </c>
      <c r="L541" t="str">
        <f t="shared" si="17"/>
        <v>Q1 2022</v>
      </c>
    </row>
    <row r="542" spans="1:12" ht="15.75" customHeight="1" x14ac:dyDescent="0.3">
      <c r="A542" s="2" t="s">
        <v>820</v>
      </c>
      <c r="B542" s="2" t="s">
        <v>11</v>
      </c>
      <c r="C542" s="2" t="s">
        <v>12</v>
      </c>
      <c r="D542" s="2" t="s">
        <v>13</v>
      </c>
      <c r="E542" s="2" t="s">
        <v>14</v>
      </c>
      <c r="F542" s="2" t="s">
        <v>821</v>
      </c>
      <c r="G542" s="4">
        <v>71125</v>
      </c>
      <c r="H542" s="5" t="s">
        <v>136</v>
      </c>
      <c r="I542" s="4">
        <v>0</v>
      </c>
      <c r="J542" s="6">
        <v>44598</v>
      </c>
      <c r="K542" t="str">
        <f t="shared" si="16"/>
        <v>Q1 2022</v>
      </c>
      <c r="L542" t="str">
        <f t="shared" si="17"/>
        <v>Q1 2022</v>
      </c>
    </row>
    <row r="543" spans="1:12" ht="15.75" customHeight="1" x14ac:dyDescent="0.3">
      <c r="A543" s="2" t="s">
        <v>822</v>
      </c>
      <c r="B543" s="2" t="s">
        <v>11</v>
      </c>
      <c r="C543" s="2" t="s">
        <v>12</v>
      </c>
      <c r="D543" s="2" t="s">
        <v>13</v>
      </c>
      <c r="E543" s="2" t="s">
        <v>14</v>
      </c>
      <c r="F543" s="2" t="s">
        <v>46</v>
      </c>
      <c r="G543" s="4">
        <v>48820</v>
      </c>
      <c r="H543" s="6">
        <v>45231</v>
      </c>
      <c r="I543" s="4">
        <v>0</v>
      </c>
      <c r="J543" s="6">
        <v>44960</v>
      </c>
      <c r="K543" t="str">
        <f t="shared" si="16"/>
        <v>Q1 2023</v>
      </c>
      <c r="L543" t="str">
        <f t="shared" si="17"/>
        <v>Q1 2023</v>
      </c>
    </row>
    <row r="544" spans="1:12" ht="15.75" customHeight="1" x14ac:dyDescent="0.3">
      <c r="A544" s="2" t="s">
        <v>823</v>
      </c>
      <c r="B544" s="2" t="s">
        <v>11</v>
      </c>
      <c r="C544" s="2" t="s">
        <v>12</v>
      </c>
      <c r="D544" s="2" t="s">
        <v>13</v>
      </c>
      <c r="E544" s="2" t="s">
        <v>14</v>
      </c>
      <c r="F544" s="2" t="s">
        <v>46</v>
      </c>
      <c r="G544" s="4">
        <v>118761</v>
      </c>
      <c r="H544" s="5" t="s">
        <v>42</v>
      </c>
      <c r="I544" s="4">
        <v>0</v>
      </c>
      <c r="J544" s="6">
        <v>44603</v>
      </c>
      <c r="K544" t="str">
        <f t="shared" si="16"/>
        <v>Q1 2022</v>
      </c>
      <c r="L544" t="str">
        <f t="shared" si="17"/>
        <v>Q1 2022</v>
      </c>
    </row>
    <row r="545" spans="1:12" ht="15.75" customHeight="1" x14ac:dyDescent="0.3">
      <c r="A545" s="2" t="s">
        <v>824</v>
      </c>
      <c r="B545" s="2" t="s">
        <v>11</v>
      </c>
      <c r="C545" s="2" t="s">
        <v>12</v>
      </c>
      <c r="D545" s="2" t="s">
        <v>13</v>
      </c>
      <c r="E545" s="2" t="s">
        <v>14</v>
      </c>
      <c r="F545" s="2" t="s">
        <v>576</v>
      </c>
      <c r="G545" s="4">
        <v>74208</v>
      </c>
      <c r="H545" s="6">
        <v>44630</v>
      </c>
      <c r="I545" s="4">
        <v>0</v>
      </c>
      <c r="J545" s="6">
        <v>44603</v>
      </c>
      <c r="K545" t="str">
        <f t="shared" si="16"/>
        <v>Q1 2022</v>
      </c>
      <c r="L545" t="str">
        <f t="shared" si="17"/>
        <v>Q1 2022</v>
      </c>
    </row>
    <row r="546" spans="1:12" ht="15.75" customHeight="1" x14ac:dyDescent="0.3">
      <c r="A546" s="2" t="s">
        <v>825</v>
      </c>
      <c r="B546" s="2" t="s">
        <v>11</v>
      </c>
      <c r="C546" s="2" t="s">
        <v>12</v>
      </c>
      <c r="D546" s="2" t="s">
        <v>13</v>
      </c>
      <c r="E546" s="2" t="s">
        <v>14</v>
      </c>
      <c r="F546" s="2" t="s">
        <v>46</v>
      </c>
      <c r="G546" s="4">
        <v>62337</v>
      </c>
      <c r="H546" s="5" t="s">
        <v>130</v>
      </c>
      <c r="I546" s="4">
        <v>0</v>
      </c>
      <c r="J546" s="6">
        <v>44601</v>
      </c>
      <c r="K546" t="str">
        <f t="shared" si="16"/>
        <v>Q1 2022</v>
      </c>
      <c r="L546" t="str">
        <f t="shared" si="17"/>
        <v>Q1 2022</v>
      </c>
    </row>
    <row r="547" spans="1:12" ht="15.75" customHeight="1" x14ac:dyDescent="0.3">
      <c r="A547" s="2" t="s">
        <v>826</v>
      </c>
      <c r="B547" s="2" t="s">
        <v>11</v>
      </c>
      <c r="C547" s="2" t="s">
        <v>12</v>
      </c>
      <c r="D547" s="2" t="s">
        <v>13</v>
      </c>
      <c r="E547" s="2" t="s">
        <v>14</v>
      </c>
      <c r="F547" s="2" t="s">
        <v>27</v>
      </c>
      <c r="G547" s="4">
        <v>106208</v>
      </c>
      <c r="H547" s="5" t="s">
        <v>827</v>
      </c>
      <c r="I547" s="4">
        <v>0</v>
      </c>
      <c r="J547" s="6">
        <v>44563</v>
      </c>
      <c r="K547" t="str">
        <f t="shared" si="16"/>
        <v>Q1 2022</v>
      </c>
      <c r="L547" t="str">
        <f t="shared" si="17"/>
        <v>Q1 2022</v>
      </c>
    </row>
    <row r="548" spans="1:12" ht="15.75" customHeight="1" x14ac:dyDescent="0.3">
      <c r="A548" s="2" t="s">
        <v>828</v>
      </c>
      <c r="B548" s="2" t="s">
        <v>11</v>
      </c>
      <c r="C548" s="2" t="s">
        <v>12</v>
      </c>
      <c r="D548" s="2" t="s">
        <v>13</v>
      </c>
      <c r="E548" s="2" t="s">
        <v>14</v>
      </c>
      <c r="F548" s="2" t="s">
        <v>27</v>
      </c>
      <c r="G548" s="4">
        <v>122068</v>
      </c>
      <c r="H548" s="5" t="s">
        <v>829</v>
      </c>
      <c r="I548" s="4">
        <v>0</v>
      </c>
      <c r="J548" s="6">
        <v>44604</v>
      </c>
      <c r="K548" t="str">
        <f t="shared" si="16"/>
        <v>Q1 2022</v>
      </c>
      <c r="L548" t="str">
        <f t="shared" si="17"/>
        <v>Q1 2022</v>
      </c>
    </row>
    <row r="549" spans="1:12" ht="15.75" customHeight="1" x14ac:dyDescent="0.3">
      <c r="A549" s="2" t="s">
        <v>830</v>
      </c>
      <c r="B549" s="2" t="s">
        <v>11</v>
      </c>
      <c r="C549" s="2" t="s">
        <v>12</v>
      </c>
      <c r="D549" s="2" t="s">
        <v>13</v>
      </c>
      <c r="E549" s="2" t="s">
        <v>22</v>
      </c>
      <c r="F549" s="2" t="s">
        <v>46</v>
      </c>
      <c r="G549" s="4">
        <v>112085</v>
      </c>
      <c r="H549" s="5" t="s">
        <v>232</v>
      </c>
      <c r="I549" s="4">
        <v>0</v>
      </c>
      <c r="J549" s="6">
        <v>44594</v>
      </c>
      <c r="K549" t="str">
        <f t="shared" si="16"/>
        <v>Q1 2022</v>
      </c>
      <c r="L549" t="str">
        <f t="shared" si="17"/>
        <v>Q1 2022</v>
      </c>
    </row>
    <row r="550" spans="1:12" ht="15.75" customHeight="1" x14ac:dyDescent="0.3">
      <c r="A550" s="2" t="s">
        <v>831</v>
      </c>
      <c r="B550" s="2" t="s">
        <v>11</v>
      </c>
      <c r="C550" s="2" t="s">
        <v>12</v>
      </c>
      <c r="D550" s="2" t="s">
        <v>13</v>
      </c>
      <c r="E550" s="2" t="s">
        <v>14</v>
      </c>
      <c r="F550" s="2" t="s">
        <v>46</v>
      </c>
      <c r="G550" s="4">
        <v>189857</v>
      </c>
      <c r="H550" s="5" t="s">
        <v>333</v>
      </c>
      <c r="I550" s="4">
        <v>0</v>
      </c>
      <c r="J550" s="6">
        <v>44598</v>
      </c>
      <c r="K550" t="str">
        <f t="shared" si="16"/>
        <v>Q1 2022</v>
      </c>
      <c r="L550" t="str">
        <f t="shared" si="17"/>
        <v>Q1 2022</v>
      </c>
    </row>
    <row r="551" spans="1:12" ht="15.75" customHeight="1" x14ac:dyDescent="0.3">
      <c r="A551" s="2" t="s">
        <v>832</v>
      </c>
      <c r="B551" s="2" t="s">
        <v>11</v>
      </c>
      <c r="C551" s="2" t="s">
        <v>12</v>
      </c>
      <c r="D551" s="2" t="s">
        <v>13</v>
      </c>
      <c r="E551" s="2" t="s">
        <v>22</v>
      </c>
      <c r="F551" s="2" t="s">
        <v>46</v>
      </c>
      <c r="G551" s="4">
        <v>120677</v>
      </c>
      <c r="H551" s="5" t="s">
        <v>197</v>
      </c>
      <c r="I551" s="4">
        <v>0</v>
      </c>
      <c r="J551" s="6">
        <v>44602</v>
      </c>
      <c r="K551" t="str">
        <f t="shared" si="16"/>
        <v>Q1 2022</v>
      </c>
      <c r="L551" t="str">
        <f t="shared" si="17"/>
        <v>Q1 2022</v>
      </c>
    </row>
    <row r="552" spans="1:12" ht="15.75" customHeight="1" x14ac:dyDescent="0.3">
      <c r="A552" s="2" t="s">
        <v>833</v>
      </c>
      <c r="B552" s="2" t="s">
        <v>11</v>
      </c>
      <c r="C552" s="2" t="s">
        <v>12</v>
      </c>
      <c r="D552" s="2" t="s">
        <v>13</v>
      </c>
      <c r="E552" s="2" t="s">
        <v>22</v>
      </c>
      <c r="F552" s="2" t="s">
        <v>834</v>
      </c>
      <c r="G552" s="4">
        <v>235793</v>
      </c>
      <c r="H552" s="5" t="s">
        <v>255</v>
      </c>
      <c r="I552" s="4">
        <v>0</v>
      </c>
      <c r="J552" s="6">
        <v>44959</v>
      </c>
      <c r="K552" t="str">
        <f t="shared" si="16"/>
        <v>Q1 2023</v>
      </c>
      <c r="L552" t="str">
        <f t="shared" si="17"/>
        <v>Q1 2023</v>
      </c>
    </row>
    <row r="553" spans="1:12" ht="15.75" customHeight="1" x14ac:dyDescent="0.3">
      <c r="A553" s="2" t="s">
        <v>835</v>
      </c>
      <c r="B553" s="2" t="s">
        <v>11</v>
      </c>
      <c r="C553" s="2" t="s">
        <v>12</v>
      </c>
      <c r="D553" s="2" t="s">
        <v>13</v>
      </c>
      <c r="E553" s="2" t="s">
        <v>14</v>
      </c>
      <c r="F553" s="2" t="s">
        <v>46</v>
      </c>
      <c r="G553" s="4">
        <v>87037</v>
      </c>
      <c r="H553" s="5" t="s">
        <v>137</v>
      </c>
      <c r="I553" s="4">
        <v>0</v>
      </c>
      <c r="J553" s="6">
        <v>44599</v>
      </c>
      <c r="K553" t="str">
        <f t="shared" si="16"/>
        <v>Q1 2022</v>
      </c>
      <c r="L553" t="str">
        <f t="shared" si="17"/>
        <v>Q1 2022</v>
      </c>
    </row>
    <row r="554" spans="1:12" ht="15.75" customHeight="1" x14ac:dyDescent="0.3">
      <c r="A554" s="2" t="s">
        <v>836</v>
      </c>
      <c r="B554" s="2" t="s">
        <v>11</v>
      </c>
      <c r="C554" s="2" t="s">
        <v>12</v>
      </c>
      <c r="D554" s="2" t="s">
        <v>13</v>
      </c>
      <c r="E554" s="2" t="s">
        <v>14</v>
      </c>
      <c r="F554" s="2" t="s">
        <v>46</v>
      </c>
      <c r="G554" s="4">
        <v>138786</v>
      </c>
      <c r="H554" s="5" t="s">
        <v>71</v>
      </c>
      <c r="I554" s="4">
        <v>0</v>
      </c>
      <c r="J554" s="6">
        <v>44603</v>
      </c>
      <c r="K554" t="str">
        <f t="shared" si="16"/>
        <v>Q1 2022</v>
      </c>
      <c r="L554" t="str">
        <f t="shared" si="17"/>
        <v>Q1 2022</v>
      </c>
    </row>
    <row r="555" spans="1:12" ht="15.75" customHeight="1" x14ac:dyDescent="0.3">
      <c r="A555" s="2" t="s">
        <v>837</v>
      </c>
      <c r="B555" s="2" t="s">
        <v>11</v>
      </c>
      <c r="C555" s="2" t="s">
        <v>12</v>
      </c>
      <c r="D555" s="2" t="s">
        <v>13</v>
      </c>
      <c r="E555" s="2" t="s">
        <v>14</v>
      </c>
      <c r="F555" s="2" t="s">
        <v>27</v>
      </c>
      <c r="G555" s="4">
        <v>115160</v>
      </c>
      <c r="H555" s="5" t="s">
        <v>71</v>
      </c>
      <c r="I555" s="4">
        <v>0</v>
      </c>
      <c r="J555" s="6">
        <v>44603</v>
      </c>
      <c r="K555" t="str">
        <f t="shared" si="16"/>
        <v>Q1 2022</v>
      </c>
      <c r="L555" t="str">
        <f t="shared" si="17"/>
        <v>Q1 2022</v>
      </c>
    </row>
    <row r="556" spans="1:12" ht="15.75" customHeight="1" x14ac:dyDescent="0.3">
      <c r="A556" s="2" t="s">
        <v>838</v>
      </c>
      <c r="B556" s="2" t="s">
        <v>11</v>
      </c>
      <c r="C556" s="2" t="s">
        <v>12</v>
      </c>
      <c r="D556" s="2" t="s">
        <v>13</v>
      </c>
      <c r="E556" s="2" t="s">
        <v>14</v>
      </c>
      <c r="F556" s="2" t="s">
        <v>46</v>
      </c>
      <c r="G556" s="4">
        <v>169608</v>
      </c>
      <c r="H556" s="6">
        <v>44621</v>
      </c>
      <c r="I556" s="4">
        <v>0</v>
      </c>
      <c r="J556" s="6">
        <v>44594</v>
      </c>
      <c r="K556" t="str">
        <f t="shared" si="16"/>
        <v>Q1 2022</v>
      </c>
      <c r="L556" t="str">
        <f t="shared" si="17"/>
        <v>Q1 2022</v>
      </c>
    </row>
    <row r="557" spans="1:12" ht="15.75" customHeight="1" x14ac:dyDescent="0.3">
      <c r="A557" s="2" t="s">
        <v>839</v>
      </c>
      <c r="B557" s="2" t="s">
        <v>11</v>
      </c>
      <c r="C557" s="2" t="s">
        <v>12</v>
      </c>
      <c r="D557" s="2" t="s">
        <v>13</v>
      </c>
      <c r="E557" s="2" t="s">
        <v>14</v>
      </c>
      <c r="F557" s="2" t="s">
        <v>85</v>
      </c>
      <c r="G557" s="4">
        <v>189835</v>
      </c>
      <c r="H557" s="5" t="s">
        <v>71</v>
      </c>
      <c r="I557" s="4">
        <v>0</v>
      </c>
      <c r="J557" s="6">
        <v>44603</v>
      </c>
      <c r="K557" t="str">
        <f t="shared" si="16"/>
        <v>Q1 2022</v>
      </c>
      <c r="L557" t="str">
        <f t="shared" si="17"/>
        <v>Q1 2022</v>
      </c>
    </row>
    <row r="558" spans="1:12" ht="15.75" customHeight="1" x14ac:dyDescent="0.3">
      <c r="A558" s="2" t="s">
        <v>840</v>
      </c>
      <c r="B558" s="2" t="s">
        <v>11</v>
      </c>
      <c r="C558" s="2" t="s">
        <v>12</v>
      </c>
      <c r="D558" s="2" t="s">
        <v>13</v>
      </c>
      <c r="E558" s="2" t="s">
        <v>14</v>
      </c>
      <c r="F558" s="2" t="s">
        <v>15</v>
      </c>
      <c r="G558" s="4">
        <v>219470</v>
      </c>
      <c r="H558" s="5" t="s">
        <v>25</v>
      </c>
      <c r="I558" s="4">
        <v>0</v>
      </c>
      <c r="J558" s="6">
        <v>44603</v>
      </c>
      <c r="K558" t="str">
        <f t="shared" si="16"/>
        <v>Q1 2022</v>
      </c>
      <c r="L558" t="str">
        <f t="shared" si="17"/>
        <v>Q1 2022</v>
      </c>
    </row>
    <row r="559" spans="1:12" ht="15.75" customHeight="1" x14ac:dyDescent="0.3">
      <c r="A559" s="2" t="s">
        <v>841</v>
      </c>
      <c r="B559" s="2" t="s">
        <v>11</v>
      </c>
      <c r="C559" s="2" t="s">
        <v>12</v>
      </c>
      <c r="D559" s="2" t="s">
        <v>13</v>
      </c>
      <c r="E559" s="2" t="s">
        <v>14</v>
      </c>
      <c r="F559" s="2" t="s">
        <v>842</v>
      </c>
      <c r="G559" s="4">
        <v>134196</v>
      </c>
      <c r="H559" s="6">
        <v>44298</v>
      </c>
      <c r="I559" s="4">
        <v>0</v>
      </c>
      <c r="J559" s="6">
        <v>44594</v>
      </c>
      <c r="K559" t="str">
        <f t="shared" si="16"/>
        <v>Q1 2022</v>
      </c>
      <c r="L559" t="str">
        <f t="shared" si="17"/>
        <v>Q1 2022</v>
      </c>
    </row>
    <row r="560" spans="1:12" ht="15.75" customHeight="1" x14ac:dyDescent="0.3">
      <c r="A560" s="2" t="s">
        <v>843</v>
      </c>
      <c r="B560" s="2" t="s">
        <v>11</v>
      </c>
      <c r="C560" s="2" t="s">
        <v>12</v>
      </c>
      <c r="D560" s="2" t="s">
        <v>13</v>
      </c>
      <c r="E560" s="2" t="s">
        <v>14</v>
      </c>
      <c r="F560" s="2" t="s">
        <v>15</v>
      </c>
      <c r="G560" s="4">
        <v>132539</v>
      </c>
      <c r="H560" s="6">
        <v>44836</v>
      </c>
      <c r="I560" s="4">
        <v>0</v>
      </c>
      <c r="J560" s="6">
        <v>44595</v>
      </c>
      <c r="K560" t="str">
        <f t="shared" si="16"/>
        <v>Q1 2022</v>
      </c>
      <c r="L560" t="str">
        <f t="shared" si="17"/>
        <v>Q1 2022</v>
      </c>
    </row>
    <row r="561" spans="1:12" ht="15.75" customHeight="1" x14ac:dyDescent="0.3">
      <c r="A561" s="2" t="s">
        <v>844</v>
      </c>
      <c r="B561" s="2" t="s">
        <v>11</v>
      </c>
      <c r="C561" s="2" t="s">
        <v>12</v>
      </c>
      <c r="D561" s="2" t="s">
        <v>13</v>
      </c>
      <c r="E561" s="2" t="s">
        <v>14</v>
      </c>
      <c r="F561" s="2" t="s">
        <v>46</v>
      </c>
      <c r="G561" s="4">
        <v>108925</v>
      </c>
      <c r="H561" s="6">
        <v>44625</v>
      </c>
      <c r="I561" s="4">
        <v>0</v>
      </c>
      <c r="J561" s="6">
        <v>44598</v>
      </c>
      <c r="K561" t="str">
        <f t="shared" si="16"/>
        <v>Q1 2022</v>
      </c>
      <c r="L561" t="str">
        <f t="shared" si="17"/>
        <v>Q1 2022</v>
      </c>
    </row>
    <row r="562" spans="1:12" ht="15.75" customHeight="1" x14ac:dyDescent="0.3">
      <c r="A562" s="2" t="s">
        <v>845</v>
      </c>
      <c r="B562" s="2" t="s">
        <v>11</v>
      </c>
      <c r="C562" s="2" t="s">
        <v>12</v>
      </c>
      <c r="D562" s="2" t="s">
        <v>13</v>
      </c>
      <c r="E562" s="2" t="s">
        <v>14</v>
      </c>
      <c r="F562" s="2" t="s">
        <v>846</v>
      </c>
      <c r="G562" s="4">
        <v>142085</v>
      </c>
      <c r="H562" s="5" t="s">
        <v>25</v>
      </c>
      <c r="I562" s="4">
        <v>0</v>
      </c>
      <c r="J562" s="6">
        <v>44603</v>
      </c>
      <c r="K562" t="str">
        <f t="shared" si="16"/>
        <v>Q1 2022</v>
      </c>
      <c r="L562" t="str">
        <f t="shared" si="17"/>
        <v>Q1 2022</v>
      </c>
    </row>
    <row r="563" spans="1:12" ht="15.75" customHeight="1" x14ac:dyDescent="0.3">
      <c r="A563" s="80" t="s">
        <v>847</v>
      </c>
      <c r="B563" s="2" t="s">
        <v>11</v>
      </c>
      <c r="C563" s="2" t="s">
        <v>12</v>
      </c>
      <c r="D563" s="2" t="s">
        <v>13</v>
      </c>
      <c r="E563" s="2" t="s">
        <v>14</v>
      </c>
      <c r="F563" s="2" t="s">
        <v>651</v>
      </c>
      <c r="G563" s="4">
        <v>115580</v>
      </c>
      <c r="H563" s="5" t="s">
        <v>192</v>
      </c>
      <c r="I563" s="4">
        <v>0</v>
      </c>
      <c r="J563" s="6">
        <v>44595</v>
      </c>
      <c r="K563" t="str">
        <f t="shared" si="16"/>
        <v>Q1 2022</v>
      </c>
      <c r="L563" t="str">
        <f t="shared" si="17"/>
        <v>Q1 2022</v>
      </c>
    </row>
    <row r="564" spans="1:12" ht="15.75" customHeight="1" x14ac:dyDescent="0.3">
      <c r="A564" s="2" t="s">
        <v>848</v>
      </c>
      <c r="B564" s="2" t="s">
        <v>11</v>
      </c>
      <c r="C564" s="2" t="s">
        <v>12</v>
      </c>
      <c r="D564" s="2" t="s">
        <v>13</v>
      </c>
      <c r="E564" s="2" t="s">
        <v>14</v>
      </c>
      <c r="F564" s="2" t="s">
        <v>849</v>
      </c>
      <c r="G564" s="4">
        <v>32000</v>
      </c>
      <c r="H564" s="5" t="s">
        <v>760</v>
      </c>
      <c r="I564" s="4">
        <v>0</v>
      </c>
      <c r="J564" s="6">
        <v>44961</v>
      </c>
      <c r="K564" t="str">
        <f t="shared" si="16"/>
        <v>Q1 2023</v>
      </c>
      <c r="L564" t="str">
        <f t="shared" si="17"/>
        <v>Q1 2023</v>
      </c>
    </row>
    <row r="565" spans="1:12" ht="15.75" customHeight="1" x14ac:dyDescent="0.3">
      <c r="A565" s="2" t="s">
        <v>850</v>
      </c>
      <c r="B565" s="2" t="s">
        <v>11</v>
      </c>
      <c r="C565" s="2" t="s">
        <v>12</v>
      </c>
      <c r="D565" s="2" t="s">
        <v>13</v>
      </c>
      <c r="E565" s="2" t="s">
        <v>14</v>
      </c>
      <c r="F565" s="2" t="s">
        <v>46</v>
      </c>
      <c r="G565" s="4">
        <v>74045</v>
      </c>
      <c r="H565" s="5" t="s">
        <v>236</v>
      </c>
      <c r="I565" s="4">
        <v>0</v>
      </c>
      <c r="J565" s="6">
        <v>44596</v>
      </c>
      <c r="K565" t="str">
        <f t="shared" si="16"/>
        <v>Q1 2022</v>
      </c>
      <c r="L565" t="str">
        <f t="shared" si="17"/>
        <v>Q1 2022</v>
      </c>
    </row>
    <row r="566" spans="1:12" ht="15.75" customHeight="1" x14ac:dyDescent="0.3">
      <c r="A566" s="2" t="s">
        <v>851</v>
      </c>
      <c r="B566" s="2" t="s">
        <v>11</v>
      </c>
      <c r="C566" s="2" t="s">
        <v>12</v>
      </c>
      <c r="D566" s="2" t="s">
        <v>13</v>
      </c>
      <c r="E566" s="2" t="s">
        <v>14</v>
      </c>
      <c r="F566" s="2" t="s">
        <v>46</v>
      </c>
      <c r="G566" s="4">
        <v>104988</v>
      </c>
      <c r="H566" s="5" t="s">
        <v>25</v>
      </c>
      <c r="I566" s="4">
        <v>0</v>
      </c>
      <c r="J566" s="6">
        <v>44603</v>
      </c>
      <c r="K566" t="str">
        <f t="shared" si="16"/>
        <v>Q1 2022</v>
      </c>
      <c r="L566" t="str">
        <f t="shared" si="17"/>
        <v>Q1 2022</v>
      </c>
    </row>
    <row r="567" spans="1:12" ht="15.75" customHeight="1" x14ac:dyDescent="0.3">
      <c r="A567" s="2" t="s">
        <v>852</v>
      </c>
      <c r="B567" s="2" t="s">
        <v>11</v>
      </c>
      <c r="C567" s="2" t="s">
        <v>12</v>
      </c>
      <c r="D567" s="2" t="s">
        <v>13</v>
      </c>
      <c r="E567" s="2" t="s">
        <v>14</v>
      </c>
      <c r="F567" s="2" t="s">
        <v>46</v>
      </c>
      <c r="G567" s="4">
        <v>235733</v>
      </c>
      <c r="H567" s="6">
        <v>44624</v>
      </c>
      <c r="I567" s="4">
        <v>0</v>
      </c>
      <c r="J567" s="6">
        <v>44598</v>
      </c>
      <c r="K567" t="str">
        <f t="shared" si="16"/>
        <v>Q1 2022</v>
      </c>
      <c r="L567" t="str">
        <f t="shared" si="17"/>
        <v>Q1 2022</v>
      </c>
    </row>
    <row r="568" spans="1:12" ht="15.75" customHeight="1" x14ac:dyDescent="0.3">
      <c r="A568" s="2" t="s">
        <v>853</v>
      </c>
      <c r="B568" s="2" t="s">
        <v>11</v>
      </c>
      <c r="C568" s="2" t="s">
        <v>12</v>
      </c>
      <c r="D568" s="2" t="s">
        <v>13</v>
      </c>
      <c r="E568" s="2" t="s">
        <v>14</v>
      </c>
      <c r="F568" s="2" t="s">
        <v>46</v>
      </c>
      <c r="G568" s="4">
        <v>204921</v>
      </c>
      <c r="H568" s="5" t="s">
        <v>30</v>
      </c>
      <c r="I568" s="4">
        <v>0</v>
      </c>
      <c r="J568" s="6">
        <v>44603</v>
      </c>
      <c r="K568" t="str">
        <f t="shared" si="16"/>
        <v>Q1 2022</v>
      </c>
      <c r="L568" t="str">
        <f t="shared" si="17"/>
        <v>Q1 2022</v>
      </c>
    </row>
    <row r="569" spans="1:12" ht="15.75" customHeight="1" x14ac:dyDescent="0.3">
      <c r="A569" s="2" t="s">
        <v>854</v>
      </c>
      <c r="B569" s="2" t="s">
        <v>11</v>
      </c>
      <c r="C569" s="2" t="s">
        <v>12</v>
      </c>
      <c r="D569" s="2" t="s">
        <v>13</v>
      </c>
      <c r="E569" s="2" t="s">
        <v>14</v>
      </c>
      <c r="F569" s="2" t="s">
        <v>46</v>
      </c>
      <c r="G569" s="4">
        <v>88858</v>
      </c>
      <c r="H569" s="5" t="s">
        <v>130</v>
      </c>
      <c r="I569" s="4">
        <v>0</v>
      </c>
      <c r="J569" s="6">
        <v>44601</v>
      </c>
      <c r="K569" t="str">
        <f t="shared" si="16"/>
        <v>Q1 2022</v>
      </c>
      <c r="L569" t="str">
        <f t="shared" si="17"/>
        <v>Q1 2022</v>
      </c>
    </row>
    <row r="570" spans="1:12" ht="15.75" customHeight="1" x14ac:dyDescent="0.3">
      <c r="A570" s="2" t="s">
        <v>855</v>
      </c>
      <c r="B570" s="2" t="s">
        <v>11</v>
      </c>
      <c r="C570" s="2" t="s">
        <v>12</v>
      </c>
      <c r="D570" s="2" t="s">
        <v>13</v>
      </c>
      <c r="E570" s="2" t="s">
        <v>22</v>
      </c>
      <c r="F570" s="2" t="s">
        <v>46</v>
      </c>
      <c r="G570" s="4">
        <v>108983</v>
      </c>
      <c r="H570" s="6">
        <v>44630</v>
      </c>
      <c r="I570" s="4">
        <v>0</v>
      </c>
      <c r="J570" s="6">
        <v>44603</v>
      </c>
      <c r="K570" t="str">
        <f t="shared" si="16"/>
        <v>Q1 2022</v>
      </c>
      <c r="L570" t="str">
        <f t="shared" si="17"/>
        <v>Q1 2022</v>
      </c>
    </row>
    <row r="571" spans="1:12" ht="15.75" customHeight="1" x14ac:dyDescent="0.3">
      <c r="A571" s="2" t="s">
        <v>856</v>
      </c>
      <c r="B571" s="2" t="s">
        <v>11</v>
      </c>
      <c r="C571" s="2" t="s">
        <v>12</v>
      </c>
      <c r="D571" s="2" t="s">
        <v>13</v>
      </c>
      <c r="E571" s="2" t="s">
        <v>14</v>
      </c>
      <c r="F571" s="2" t="s">
        <v>857</v>
      </c>
      <c r="G571" s="4">
        <v>75881</v>
      </c>
      <c r="H571" s="5" t="s">
        <v>42</v>
      </c>
      <c r="I571" s="4">
        <v>0</v>
      </c>
      <c r="J571" s="6">
        <v>44603</v>
      </c>
      <c r="K571" t="str">
        <f t="shared" si="16"/>
        <v>Q1 2022</v>
      </c>
      <c r="L571" t="str">
        <f t="shared" si="17"/>
        <v>Q1 2022</v>
      </c>
    </row>
    <row r="572" spans="1:12" ht="15.75" customHeight="1" x14ac:dyDescent="0.3">
      <c r="A572" s="2" t="s">
        <v>858</v>
      </c>
      <c r="B572" s="2" t="s">
        <v>11</v>
      </c>
      <c r="C572" s="2" t="s">
        <v>12</v>
      </c>
      <c r="D572" s="2" t="s">
        <v>13</v>
      </c>
      <c r="E572" s="2" t="s">
        <v>14</v>
      </c>
      <c r="F572" s="2" t="s">
        <v>859</v>
      </c>
      <c r="G572" s="4">
        <v>120013</v>
      </c>
      <c r="H572" s="5" t="s">
        <v>71</v>
      </c>
      <c r="I572" s="4">
        <v>0</v>
      </c>
      <c r="J572" s="6">
        <v>44603</v>
      </c>
      <c r="K572" t="str">
        <f t="shared" si="16"/>
        <v>Q1 2022</v>
      </c>
      <c r="L572" t="str">
        <f t="shared" si="17"/>
        <v>Q1 2022</v>
      </c>
    </row>
    <row r="573" spans="1:12" ht="15.75" customHeight="1" x14ac:dyDescent="0.3">
      <c r="A573" s="2" t="s">
        <v>860</v>
      </c>
      <c r="B573" s="2" t="s">
        <v>11</v>
      </c>
      <c r="C573" s="2" t="s">
        <v>12</v>
      </c>
      <c r="D573" s="2" t="s">
        <v>13</v>
      </c>
      <c r="E573" s="2" t="s">
        <v>14</v>
      </c>
      <c r="F573" s="2" t="s">
        <v>46</v>
      </c>
      <c r="G573" s="4">
        <v>124126</v>
      </c>
      <c r="H573" s="5" t="s">
        <v>142</v>
      </c>
      <c r="I573" s="4">
        <v>0</v>
      </c>
      <c r="J573" s="6">
        <v>44596</v>
      </c>
      <c r="K573" t="str">
        <f t="shared" si="16"/>
        <v>Q1 2022</v>
      </c>
      <c r="L573" t="str">
        <f t="shared" si="17"/>
        <v>Q1 2022</v>
      </c>
    </row>
    <row r="574" spans="1:12" ht="15.75" customHeight="1" x14ac:dyDescent="0.3">
      <c r="A574" s="2" t="s">
        <v>861</v>
      </c>
      <c r="B574" s="2" t="s">
        <v>11</v>
      </c>
      <c r="C574" s="2" t="s">
        <v>12</v>
      </c>
      <c r="D574" s="2" t="s">
        <v>13</v>
      </c>
      <c r="E574" s="2" t="s">
        <v>14</v>
      </c>
      <c r="F574" s="2" t="s">
        <v>862</v>
      </c>
      <c r="G574" s="4">
        <v>138692</v>
      </c>
      <c r="H574" s="6">
        <v>44624</v>
      </c>
      <c r="I574" s="4">
        <v>0</v>
      </c>
      <c r="J574" s="6">
        <v>44598</v>
      </c>
      <c r="K574" t="str">
        <f t="shared" si="16"/>
        <v>Q1 2022</v>
      </c>
      <c r="L574" t="str">
        <f t="shared" si="17"/>
        <v>Q1 2022</v>
      </c>
    </row>
    <row r="575" spans="1:12" ht="15.75" customHeight="1" x14ac:dyDescent="0.3">
      <c r="A575" s="2" t="s">
        <v>863</v>
      </c>
      <c r="B575" s="2" t="s">
        <v>11</v>
      </c>
      <c r="C575" s="2" t="s">
        <v>12</v>
      </c>
      <c r="D575" s="2" t="s">
        <v>13</v>
      </c>
      <c r="E575" s="2" t="s">
        <v>14</v>
      </c>
      <c r="F575" s="2" t="s">
        <v>498</v>
      </c>
      <c r="G575" s="4">
        <v>147362</v>
      </c>
      <c r="H575" s="5" t="s">
        <v>39</v>
      </c>
      <c r="I575" s="4">
        <v>0</v>
      </c>
      <c r="J575" s="6">
        <v>44603</v>
      </c>
      <c r="K575" t="str">
        <f t="shared" si="16"/>
        <v>Q1 2022</v>
      </c>
      <c r="L575" t="str">
        <f t="shared" si="17"/>
        <v>Q1 2022</v>
      </c>
    </row>
    <row r="576" spans="1:12" ht="15.75" customHeight="1" x14ac:dyDescent="0.3">
      <c r="A576" s="2" t="s">
        <v>864</v>
      </c>
      <c r="B576" s="2" t="s">
        <v>11</v>
      </c>
      <c r="C576" s="2" t="s">
        <v>12</v>
      </c>
      <c r="D576" s="2" t="s">
        <v>13</v>
      </c>
      <c r="E576" s="2" t="s">
        <v>14</v>
      </c>
      <c r="F576" s="2" t="s">
        <v>46</v>
      </c>
      <c r="G576" s="4">
        <v>106526</v>
      </c>
      <c r="H576" s="5" t="s">
        <v>309</v>
      </c>
      <c r="I576" s="4">
        <v>0</v>
      </c>
      <c r="J576" s="6">
        <v>44594</v>
      </c>
      <c r="K576" t="str">
        <f t="shared" si="16"/>
        <v>Q1 2022</v>
      </c>
      <c r="L576" t="str">
        <f t="shared" si="17"/>
        <v>Q1 2022</v>
      </c>
    </row>
    <row r="577" spans="1:12" ht="15.75" customHeight="1" x14ac:dyDescent="0.3">
      <c r="A577" s="2" t="s">
        <v>865</v>
      </c>
      <c r="B577" s="2" t="s">
        <v>11</v>
      </c>
      <c r="C577" s="2" t="s">
        <v>12</v>
      </c>
      <c r="D577" s="2" t="s">
        <v>13</v>
      </c>
      <c r="E577" s="2" t="s">
        <v>14</v>
      </c>
      <c r="F577" s="2" t="s">
        <v>15</v>
      </c>
      <c r="G577" s="4">
        <v>70969</v>
      </c>
      <c r="H577" s="5" t="s">
        <v>71</v>
      </c>
      <c r="I577" s="4">
        <v>0</v>
      </c>
      <c r="J577" s="6">
        <v>44603</v>
      </c>
      <c r="K577" t="str">
        <f t="shared" si="16"/>
        <v>Q1 2022</v>
      </c>
      <c r="L577" t="str">
        <f t="shared" si="17"/>
        <v>Q1 2022</v>
      </c>
    </row>
    <row r="578" spans="1:12" ht="15.75" customHeight="1" x14ac:dyDescent="0.3">
      <c r="A578" s="2" t="s">
        <v>866</v>
      </c>
      <c r="B578" s="2" t="s">
        <v>11</v>
      </c>
      <c r="C578" s="2" t="s">
        <v>12</v>
      </c>
      <c r="D578" s="2" t="s">
        <v>13</v>
      </c>
      <c r="E578" s="2" t="s">
        <v>14</v>
      </c>
      <c r="F578" s="2" t="s">
        <v>46</v>
      </c>
      <c r="G578" s="4">
        <v>100034</v>
      </c>
      <c r="H578" s="5" t="s">
        <v>212</v>
      </c>
      <c r="I578" s="4">
        <v>0</v>
      </c>
      <c r="J578" s="6">
        <v>44597</v>
      </c>
      <c r="K578" t="str">
        <f t="shared" ref="K578:K641" si="18">"Q" &amp; ROUNDUP(MONTH(J:J)/3,0) &amp; " " &amp; YEAR(J:J)</f>
        <v>Q1 2022</v>
      </c>
      <c r="L578" t="str">
        <f t="shared" ref="L578:L641" si="19">"Q" &amp; ROUNDUP(MONTH(J:J)/3,0) &amp; " " &amp; YEAR(J:J)</f>
        <v>Q1 2022</v>
      </c>
    </row>
    <row r="579" spans="1:12" ht="15.75" customHeight="1" x14ac:dyDescent="0.3">
      <c r="A579" s="2" t="s">
        <v>867</v>
      </c>
      <c r="B579" s="2" t="s">
        <v>11</v>
      </c>
      <c r="C579" s="2" t="s">
        <v>12</v>
      </c>
      <c r="D579" s="2" t="s">
        <v>13</v>
      </c>
      <c r="E579" s="2" t="s">
        <v>14</v>
      </c>
      <c r="F579" s="2" t="s">
        <v>46</v>
      </c>
      <c r="G579" s="4">
        <v>101400</v>
      </c>
      <c r="H579" s="5" t="s">
        <v>71</v>
      </c>
      <c r="I579" s="4">
        <v>0</v>
      </c>
      <c r="J579" s="6">
        <v>44603</v>
      </c>
      <c r="K579" t="str">
        <f t="shared" si="18"/>
        <v>Q1 2022</v>
      </c>
      <c r="L579" t="str">
        <f t="shared" si="19"/>
        <v>Q1 2022</v>
      </c>
    </row>
    <row r="580" spans="1:12" ht="15.75" customHeight="1" x14ac:dyDescent="0.3">
      <c r="A580" s="2" t="s">
        <v>868</v>
      </c>
      <c r="B580" s="2" t="s">
        <v>11</v>
      </c>
      <c r="C580" s="2" t="s">
        <v>12</v>
      </c>
      <c r="D580" s="2" t="s">
        <v>13</v>
      </c>
      <c r="E580" s="2" t="s">
        <v>14</v>
      </c>
      <c r="F580" s="2" t="s">
        <v>46</v>
      </c>
      <c r="G580" s="4">
        <v>67715</v>
      </c>
      <c r="H580" s="5" t="s">
        <v>309</v>
      </c>
      <c r="I580" s="4">
        <v>0</v>
      </c>
      <c r="J580" s="6">
        <v>44594</v>
      </c>
      <c r="K580" t="str">
        <f t="shared" si="18"/>
        <v>Q1 2022</v>
      </c>
      <c r="L580" t="str">
        <f t="shared" si="19"/>
        <v>Q1 2022</v>
      </c>
    </row>
    <row r="581" spans="1:12" ht="15.75" customHeight="1" x14ac:dyDescent="0.3">
      <c r="A581" s="2" t="s">
        <v>869</v>
      </c>
      <c r="B581" s="2" t="s">
        <v>11</v>
      </c>
      <c r="C581" s="2" t="s">
        <v>12</v>
      </c>
      <c r="D581" s="2" t="s">
        <v>13</v>
      </c>
      <c r="E581" s="2" t="s">
        <v>14</v>
      </c>
      <c r="F581" s="2" t="s">
        <v>27</v>
      </c>
      <c r="G581" s="4">
        <v>80523</v>
      </c>
      <c r="H581" s="5" t="s">
        <v>232</v>
      </c>
      <c r="I581" s="4">
        <v>0</v>
      </c>
      <c r="J581" s="6">
        <v>44594</v>
      </c>
      <c r="K581" t="str">
        <f t="shared" si="18"/>
        <v>Q1 2022</v>
      </c>
      <c r="L581" t="str">
        <f t="shared" si="19"/>
        <v>Q1 2022</v>
      </c>
    </row>
    <row r="582" spans="1:12" ht="15.75" customHeight="1" x14ac:dyDescent="0.3">
      <c r="A582" s="2" t="s">
        <v>870</v>
      </c>
      <c r="B582" s="2" t="s">
        <v>11</v>
      </c>
      <c r="C582" s="2" t="s">
        <v>12</v>
      </c>
      <c r="D582" s="2" t="s">
        <v>13</v>
      </c>
      <c r="E582" s="2" t="s">
        <v>14</v>
      </c>
      <c r="F582" s="2" t="s">
        <v>46</v>
      </c>
      <c r="G582" s="4">
        <v>67742</v>
      </c>
      <c r="H582" s="5" t="s">
        <v>728</v>
      </c>
      <c r="I582" s="4">
        <v>0</v>
      </c>
      <c r="J582" s="6">
        <v>44600</v>
      </c>
      <c r="K582" t="str">
        <f t="shared" si="18"/>
        <v>Q1 2022</v>
      </c>
      <c r="L582" t="str">
        <f t="shared" si="19"/>
        <v>Q1 2022</v>
      </c>
    </row>
    <row r="583" spans="1:12" ht="15.75" customHeight="1" x14ac:dyDescent="0.3">
      <c r="A583" s="2" t="s">
        <v>871</v>
      </c>
      <c r="B583" s="2" t="s">
        <v>11</v>
      </c>
      <c r="C583" s="2" t="s">
        <v>12</v>
      </c>
      <c r="D583" s="2" t="s">
        <v>13</v>
      </c>
      <c r="E583" s="2" t="s">
        <v>14</v>
      </c>
      <c r="F583" s="2" t="s">
        <v>872</v>
      </c>
      <c r="G583" s="4">
        <v>96217</v>
      </c>
      <c r="H583" s="5" t="s">
        <v>25</v>
      </c>
      <c r="I583" s="4">
        <v>0</v>
      </c>
      <c r="J583" s="6">
        <v>44603</v>
      </c>
      <c r="K583" t="str">
        <f t="shared" si="18"/>
        <v>Q1 2022</v>
      </c>
      <c r="L583" t="str">
        <f t="shared" si="19"/>
        <v>Q1 2022</v>
      </c>
    </row>
    <row r="584" spans="1:12" ht="15.75" customHeight="1" x14ac:dyDescent="0.3">
      <c r="A584" s="2" t="s">
        <v>873</v>
      </c>
      <c r="B584" s="2" t="s">
        <v>20</v>
      </c>
      <c r="C584" s="2" t="s">
        <v>21</v>
      </c>
      <c r="D584" s="2" t="s">
        <v>13</v>
      </c>
      <c r="E584" s="2" t="s">
        <v>14</v>
      </c>
      <c r="F584" s="2" t="s">
        <v>227</v>
      </c>
      <c r="G584" s="4">
        <v>90293</v>
      </c>
      <c r="H584" s="7">
        <v>44542</v>
      </c>
      <c r="I584" s="4">
        <v>6450</v>
      </c>
      <c r="J584" s="5" t="s">
        <v>75</v>
      </c>
      <c r="K584" t="str">
        <f t="shared" si="18"/>
        <v>Q1 2022</v>
      </c>
      <c r="L584" t="str">
        <f t="shared" si="19"/>
        <v>Q1 2022</v>
      </c>
    </row>
    <row r="585" spans="1:12" ht="15.75" customHeight="1" x14ac:dyDescent="0.3">
      <c r="A585" s="2" t="s">
        <v>874</v>
      </c>
      <c r="B585" s="2" t="s">
        <v>11</v>
      </c>
      <c r="C585" s="2" t="s">
        <v>12</v>
      </c>
      <c r="D585" s="2" t="s">
        <v>13</v>
      </c>
      <c r="E585" s="2" t="s">
        <v>14</v>
      </c>
      <c r="F585" s="2" t="s">
        <v>46</v>
      </c>
      <c r="G585" s="4">
        <v>270429</v>
      </c>
      <c r="H585" s="5" t="s">
        <v>130</v>
      </c>
      <c r="I585" s="4">
        <v>0</v>
      </c>
      <c r="J585" s="6">
        <v>44601</v>
      </c>
      <c r="K585" t="str">
        <f t="shared" si="18"/>
        <v>Q1 2022</v>
      </c>
      <c r="L585" t="str">
        <f t="shared" si="19"/>
        <v>Q1 2022</v>
      </c>
    </row>
    <row r="586" spans="1:12" ht="15.75" customHeight="1" x14ac:dyDescent="0.3">
      <c r="A586" s="2" t="s">
        <v>875</v>
      </c>
      <c r="B586" s="2" t="s">
        <v>11</v>
      </c>
      <c r="C586" s="2" t="s">
        <v>12</v>
      </c>
      <c r="D586" s="2" t="s">
        <v>13</v>
      </c>
      <c r="E586" s="2" t="s">
        <v>14</v>
      </c>
      <c r="F586" s="2" t="s">
        <v>46</v>
      </c>
      <c r="G586" s="4">
        <v>63020</v>
      </c>
      <c r="H586" s="5" t="s">
        <v>71</v>
      </c>
      <c r="I586" s="4">
        <v>0</v>
      </c>
      <c r="J586" s="6">
        <v>44603</v>
      </c>
      <c r="K586" t="str">
        <f t="shared" si="18"/>
        <v>Q1 2022</v>
      </c>
      <c r="L586" t="str">
        <f t="shared" si="19"/>
        <v>Q1 2022</v>
      </c>
    </row>
    <row r="587" spans="1:12" ht="15.75" customHeight="1" x14ac:dyDescent="0.3">
      <c r="A587" s="2" t="s">
        <v>876</v>
      </c>
      <c r="B587" s="2" t="s">
        <v>11</v>
      </c>
      <c r="C587" s="2" t="s">
        <v>12</v>
      </c>
      <c r="D587" s="2" t="s">
        <v>13</v>
      </c>
      <c r="E587" s="2" t="s">
        <v>14</v>
      </c>
      <c r="F587" s="2" t="s">
        <v>15</v>
      </c>
      <c r="G587" s="4">
        <v>71125</v>
      </c>
      <c r="H587" s="5" t="s">
        <v>25</v>
      </c>
      <c r="I587" s="4">
        <v>0</v>
      </c>
      <c r="J587" s="6">
        <v>44603</v>
      </c>
      <c r="K587" t="str">
        <f t="shared" si="18"/>
        <v>Q1 2022</v>
      </c>
      <c r="L587" t="str">
        <f t="shared" si="19"/>
        <v>Q1 2022</v>
      </c>
    </row>
    <row r="588" spans="1:12" ht="15.75" customHeight="1" x14ac:dyDescent="0.3">
      <c r="A588" s="2" t="s">
        <v>877</v>
      </c>
      <c r="B588" s="2" t="s">
        <v>11</v>
      </c>
      <c r="C588" s="2" t="s">
        <v>12</v>
      </c>
      <c r="D588" s="2" t="s">
        <v>13</v>
      </c>
      <c r="E588" s="2" t="s">
        <v>14</v>
      </c>
      <c r="F588" s="2" t="s">
        <v>46</v>
      </c>
      <c r="G588" s="4">
        <v>48820</v>
      </c>
      <c r="H588" s="6">
        <v>44562</v>
      </c>
      <c r="I588" s="4">
        <v>0</v>
      </c>
      <c r="J588" s="6">
        <v>44595</v>
      </c>
      <c r="K588" t="str">
        <f t="shared" si="18"/>
        <v>Q1 2022</v>
      </c>
      <c r="L588" t="str">
        <f t="shared" si="19"/>
        <v>Q1 2022</v>
      </c>
    </row>
    <row r="589" spans="1:12" ht="15.75" customHeight="1" x14ac:dyDescent="0.3">
      <c r="A589" s="2" t="s">
        <v>878</v>
      </c>
      <c r="B589" s="2" t="s">
        <v>11</v>
      </c>
      <c r="C589" s="2" t="s">
        <v>12</v>
      </c>
      <c r="D589" s="2" t="s">
        <v>13</v>
      </c>
      <c r="E589" s="2" t="s">
        <v>14</v>
      </c>
      <c r="F589" s="2" t="s">
        <v>879</v>
      </c>
      <c r="G589" s="4">
        <v>118761</v>
      </c>
      <c r="H589" s="6">
        <v>44623</v>
      </c>
      <c r="I589" s="4">
        <v>0</v>
      </c>
      <c r="J589" s="6">
        <v>44596</v>
      </c>
      <c r="K589" t="str">
        <f t="shared" si="18"/>
        <v>Q1 2022</v>
      </c>
      <c r="L589" t="str">
        <f t="shared" si="19"/>
        <v>Q1 2022</v>
      </c>
    </row>
    <row r="590" spans="1:12" ht="15.75" customHeight="1" x14ac:dyDescent="0.3">
      <c r="A590" s="2" t="s">
        <v>880</v>
      </c>
      <c r="B590" s="2" t="s">
        <v>11</v>
      </c>
      <c r="C590" s="2" t="s">
        <v>12</v>
      </c>
      <c r="D590" s="2" t="s">
        <v>13</v>
      </c>
      <c r="E590" s="2" t="s">
        <v>14</v>
      </c>
      <c r="F590" s="2" t="s">
        <v>46</v>
      </c>
      <c r="G590" s="4">
        <v>74208</v>
      </c>
      <c r="H590" s="6">
        <v>44563</v>
      </c>
      <c r="I590" s="4">
        <v>0</v>
      </c>
      <c r="J590" s="6">
        <v>44596</v>
      </c>
      <c r="K590" t="str">
        <f t="shared" si="18"/>
        <v>Q1 2022</v>
      </c>
      <c r="L590" t="str">
        <f t="shared" si="19"/>
        <v>Q1 2022</v>
      </c>
    </row>
    <row r="591" spans="1:12" ht="15.75" customHeight="1" x14ac:dyDescent="0.3">
      <c r="A591" s="2" t="s">
        <v>881</v>
      </c>
      <c r="B591" s="2" t="s">
        <v>20</v>
      </c>
      <c r="C591" s="2" t="s">
        <v>21</v>
      </c>
      <c r="D591" s="2" t="s">
        <v>13</v>
      </c>
      <c r="E591" s="2" t="s">
        <v>14</v>
      </c>
      <c r="F591" s="2" t="s">
        <v>27</v>
      </c>
      <c r="G591" s="4">
        <v>62337</v>
      </c>
      <c r="H591" s="5" t="s">
        <v>882</v>
      </c>
      <c r="I591" s="4">
        <v>7792</v>
      </c>
      <c r="J591" s="6">
        <v>44784</v>
      </c>
      <c r="K591" t="str">
        <f t="shared" si="18"/>
        <v>Q3 2022</v>
      </c>
      <c r="L591" t="str">
        <f t="shared" si="19"/>
        <v>Q3 2022</v>
      </c>
    </row>
    <row r="592" spans="1:12" ht="15.75" customHeight="1" x14ac:dyDescent="0.3">
      <c r="A592" s="2" t="s">
        <v>883</v>
      </c>
      <c r="B592" s="2" t="s">
        <v>11</v>
      </c>
      <c r="C592" s="2" t="s">
        <v>12</v>
      </c>
      <c r="D592" s="2" t="s">
        <v>13</v>
      </c>
      <c r="E592" s="2" t="s">
        <v>22</v>
      </c>
      <c r="F592" s="2" t="s">
        <v>884</v>
      </c>
      <c r="G592" s="4">
        <v>143588</v>
      </c>
      <c r="H592" s="6">
        <v>44630</v>
      </c>
      <c r="I592" s="4">
        <v>0</v>
      </c>
      <c r="J592" s="6">
        <v>44603</v>
      </c>
      <c r="K592" t="str">
        <f t="shared" si="18"/>
        <v>Q1 2022</v>
      </c>
      <c r="L592" t="str">
        <f t="shared" si="19"/>
        <v>Q1 2022</v>
      </c>
    </row>
    <row r="593" spans="1:12" ht="15.75" customHeight="1" x14ac:dyDescent="0.3">
      <c r="A593" s="2" t="s">
        <v>885</v>
      </c>
      <c r="B593" s="2" t="s">
        <v>11</v>
      </c>
      <c r="C593" s="2" t="s">
        <v>12</v>
      </c>
      <c r="D593" s="2" t="s">
        <v>13</v>
      </c>
      <c r="E593" s="2" t="s">
        <v>14</v>
      </c>
      <c r="F593" s="2" t="s">
        <v>46</v>
      </c>
      <c r="G593" s="4">
        <v>61002</v>
      </c>
      <c r="H593" s="5" t="s">
        <v>25</v>
      </c>
      <c r="I593" s="4">
        <v>0</v>
      </c>
      <c r="J593" s="6">
        <v>44603</v>
      </c>
      <c r="K593" t="str">
        <f t="shared" si="18"/>
        <v>Q1 2022</v>
      </c>
      <c r="L593" t="str">
        <f t="shared" si="19"/>
        <v>Q1 2022</v>
      </c>
    </row>
    <row r="594" spans="1:12" ht="15.75" customHeight="1" x14ac:dyDescent="0.3">
      <c r="A594" s="2" t="s">
        <v>886</v>
      </c>
      <c r="B594" s="2" t="s">
        <v>11</v>
      </c>
      <c r="C594" s="2" t="s">
        <v>12</v>
      </c>
      <c r="D594" s="2" t="s">
        <v>13</v>
      </c>
      <c r="E594" s="2" t="s">
        <v>14</v>
      </c>
      <c r="F594" s="2" t="s">
        <v>46</v>
      </c>
      <c r="G594" s="4">
        <v>109980</v>
      </c>
      <c r="H594" s="6">
        <v>44901</v>
      </c>
      <c r="I594" s="4">
        <v>0</v>
      </c>
      <c r="J594" s="6">
        <v>44599</v>
      </c>
      <c r="K594" t="str">
        <f t="shared" si="18"/>
        <v>Q1 2022</v>
      </c>
      <c r="L594" t="str">
        <f t="shared" si="19"/>
        <v>Q1 2022</v>
      </c>
    </row>
    <row r="595" spans="1:12" ht="15.75" customHeight="1" x14ac:dyDescent="0.3">
      <c r="A595" s="2" t="s">
        <v>887</v>
      </c>
      <c r="B595" s="2" t="s">
        <v>11</v>
      </c>
      <c r="C595" s="2" t="s">
        <v>12</v>
      </c>
      <c r="D595" s="2" t="s">
        <v>13</v>
      </c>
      <c r="E595" s="2" t="s">
        <v>14</v>
      </c>
      <c r="F595" s="2" t="s">
        <v>888</v>
      </c>
      <c r="G595" s="4">
        <v>106526</v>
      </c>
      <c r="H595" s="5" t="s">
        <v>513</v>
      </c>
      <c r="I595" s="4">
        <v>0</v>
      </c>
      <c r="J595" s="6">
        <v>44600</v>
      </c>
      <c r="K595" t="str">
        <f t="shared" si="18"/>
        <v>Q1 2022</v>
      </c>
      <c r="L595" t="str">
        <f t="shared" si="19"/>
        <v>Q1 2022</v>
      </c>
    </row>
    <row r="596" spans="1:12" ht="15.75" customHeight="1" x14ac:dyDescent="0.3">
      <c r="A596" s="2" t="s">
        <v>889</v>
      </c>
      <c r="B596" s="2" t="s">
        <v>11</v>
      </c>
      <c r="C596" s="2" t="s">
        <v>12</v>
      </c>
      <c r="D596" s="2" t="s">
        <v>13</v>
      </c>
      <c r="E596" s="2" t="s">
        <v>22</v>
      </c>
      <c r="F596" s="2" t="s">
        <v>810</v>
      </c>
      <c r="G596" s="4">
        <v>70969</v>
      </c>
      <c r="H596" s="5" t="s">
        <v>71</v>
      </c>
      <c r="I596" s="4">
        <v>0</v>
      </c>
      <c r="J596" s="6">
        <v>44603</v>
      </c>
      <c r="K596" t="str">
        <f t="shared" si="18"/>
        <v>Q1 2022</v>
      </c>
      <c r="L596" t="str">
        <f t="shared" si="19"/>
        <v>Q1 2022</v>
      </c>
    </row>
    <row r="597" spans="1:12" ht="15.75" customHeight="1" x14ac:dyDescent="0.3">
      <c r="A597" s="2" t="s">
        <v>890</v>
      </c>
      <c r="B597" s="2" t="s">
        <v>11</v>
      </c>
      <c r="C597" s="2" t="s">
        <v>12</v>
      </c>
      <c r="D597" s="2" t="s">
        <v>13</v>
      </c>
      <c r="E597" s="2" t="s">
        <v>14</v>
      </c>
      <c r="F597" s="2" t="s">
        <v>46</v>
      </c>
      <c r="G597" s="4">
        <v>100034</v>
      </c>
      <c r="H597" s="5" t="s">
        <v>39</v>
      </c>
      <c r="I597" s="4">
        <v>0</v>
      </c>
      <c r="J597" s="6">
        <v>44603</v>
      </c>
      <c r="K597" t="str">
        <f t="shared" si="18"/>
        <v>Q1 2022</v>
      </c>
      <c r="L597" t="str">
        <f t="shared" si="19"/>
        <v>Q1 2022</v>
      </c>
    </row>
    <row r="598" spans="1:12" ht="15.75" customHeight="1" x14ac:dyDescent="0.3">
      <c r="A598" s="2" t="s">
        <v>891</v>
      </c>
      <c r="B598" s="2" t="s">
        <v>11</v>
      </c>
      <c r="C598" s="2" t="s">
        <v>12</v>
      </c>
      <c r="D598" s="2" t="s">
        <v>13</v>
      </c>
      <c r="E598" s="2" t="s">
        <v>22</v>
      </c>
      <c r="F598" s="2" t="s">
        <v>275</v>
      </c>
      <c r="G598" s="4">
        <v>107069</v>
      </c>
      <c r="H598" s="5" t="s">
        <v>30</v>
      </c>
      <c r="I598" s="4">
        <v>0</v>
      </c>
      <c r="J598" s="6">
        <v>44603</v>
      </c>
      <c r="K598" t="str">
        <f t="shared" si="18"/>
        <v>Q1 2022</v>
      </c>
      <c r="L598" t="str">
        <f t="shared" si="19"/>
        <v>Q1 2022</v>
      </c>
    </row>
    <row r="599" spans="1:12" ht="15.75" customHeight="1" x14ac:dyDescent="0.3">
      <c r="A599" s="2" t="s">
        <v>892</v>
      </c>
      <c r="B599" s="2" t="s">
        <v>11</v>
      </c>
      <c r="C599" s="2" t="s">
        <v>12</v>
      </c>
      <c r="D599" s="2" t="s">
        <v>13</v>
      </c>
      <c r="E599" s="2" t="s">
        <v>14</v>
      </c>
      <c r="F599" s="2" t="s">
        <v>893</v>
      </c>
      <c r="G599" s="4">
        <v>143517</v>
      </c>
      <c r="H599" s="6">
        <v>44629</v>
      </c>
      <c r="I599" s="4">
        <v>0</v>
      </c>
      <c r="J599" s="6">
        <v>44603</v>
      </c>
      <c r="K599" t="str">
        <f t="shared" si="18"/>
        <v>Q1 2022</v>
      </c>
      <c r="L599" t="str">
        <f t="shared" si="19"/>
        <v>Q1 2022</v>
      </c>
    </row>
    <row r="600" spans="1:12" ht="15.75" customHeight="1" x14ac:dyDescent="0.3">
      <c r="A600" s="2" t="s">
        <v>894</v>
      </c>
      <c r="B600" s="2" t="s">
        <v>11</v>
      </c>
      <c r="C600" s="2" t="s">
        <v>12</v>
      </c>
      <c r="D600" s="2" t="s">
        <v>13</v>
      </c>
      <c r="E600" s="2" t="s">
        <v>14</v>
      </c>
      <c r="F600" s="2" t="s">
        <v>46</v>
      </c>
      <c r="G600" s="4">
        <v>58504</v>
      </c>
      <c r="H600" s="6">
        <v>44623</v>
      </c>
      <c r="I600" s="4">
        <v>0</v>
      </c>
      <c r="J600" s="6">
        <v>44597</v>
      </c>
      <c r="K600" t="str">
        <f t="shared" si="18"/>
        <v>Q1 2022</v>
      </c>
      <c r="L600" t="str">
        <f t="shared" si="19"/>
        <v>Q1 2022</v>
      </c>
    </row>
    <row r="601" spans="1:12" ht="15.75" customHeight="1" x14ac:dyDescent="0.3">
      <c r="A601" s="2" t="s">
        <v>895</v>
      </c>
      <c r="B601" s="2" t="s">
        <v>11</v>
      </c>
      <c r="C601" s="2" t="s">
        <v>12</v>
      </c>
      <c r="D601" s="2" t="s">
        <v>13</v>
      </c>
      <c r="E601" s="2" t="s">
        <v>14</v>
      </c>
      <c r="F601" s="2" t="s">
        <v>46</v>
      </c>
      <c r="G601" s="4">
        <v>95966</v>
      </c>
      <c r="H601" s="5" t="s">
        <v>25</v>
      </c>
      <c r="I601" s="4">
        <v>0</v>
      </c>
      <c r="J601" s="6">
        <v>44603</v>
      </c>
      <c r="K601" t="str">
        <f t="shared" si="18"/>
        <v>Q1 2022</v>
      </c>
      <c r="L601" t="str">
        <f t="shared" si="19"/>
        <v>Q1 2022</v>
      </c>
    </row>
    <row r="602" spans="1:12" ht="15.75" customHeight="1" x14ac:dyDescent="0.3">
      <c r="A602" s="2" t="s">
        <v>896</v>
      </c>
      <c r="B602" s="2" t="s">
        <v>20</v>
      </c>
      <c r="C602" s="2" t="s">
        <v>57</v>
      </c>
      <c r="D602" s="2" t="s">
        <v>13</v>
      </c>
      <c r="E602" s="2" t="s">
        <v>14</v>
      </c>
      <c r="F602" s="2" t="s">
        <v>897</v>
      </c>
      <c r="G602" s="4">
        <v>54725</v>
      </c>
      <c r="H602" s="6">
        <v>44624</v>
      </c>
      <c r="I602" s="4">
        <v>3040</v>
      </c>
      <c r="J602" s="5" t="s">
        <v>137</v>
      </c>
      <c r="K602" t="str">
        <f t="shared" si="18"/>
        <v>Q2 2022</v>
      </c>
      <c r="L602" t="str">
        <f t="shared" si="19"/>
        <v>Q2 2022</v>
      </c>
    </row>
    <row r="603" spans="1:12" ht="15.75" customHeight="1" x14ac:dyDescent="0.3">
      <c r="A603" s="2" t="s">
        <v>898</v>
      </c>
      <c r="B603" s="2" t="s">
        <v>11</v>
      </c>
      <c r="C603" s="2" t="s">
        <v>12</v>
      </c>
      <c r="D603" s="2" t="s">
        <v>13</v>
      </c>
      <c r="E603" s="2" t="s">
        <v>14</v>
      </c>
      <c r="F603" s="2" t="s">
        <v>46</v>
      </c>
      <c r="G603" s="4">
        <v>147868</v>
      </c>
      <c r="H603" s="5" t="s">
        <v>212</v>
      </c>
      <c r="I603" s="4">
        <v>0</v>
      </c>
      <c r="J603" s="6">
        <v>44597</v>
      </c>
      <c r="K603" t="str">
        <f t="shared" si="18"/>
        <v>Q1 2022</v>
      </c>
      <c r="L603" t="str">
        <f t="shared" si="19"/>
        <v>Q1 2022</v>
      </c>
    </row>
    <row r="604" spans="1:12" ht="15.75" customHeight="1" x14ac:dyDescent="0.3">
      <c r="A604" s="2" t="s">
        <v>899</v>
      </c>
      <c r="B604" s="2" t="s">
        <v>11</v>
      </c>
      <c r="C604" s="2" t="s">
        <v>12</v>
      </c>
      <c r="D604" s="2" t="s">
        <v>13</v>
      </c>
      <c r="E604" s="2" t="s">
        <v>14</v>
      </c>
      <c r="F604" s="2" t="s">
        <v>46</v>
      </c>
      <c r="G604" s="4">
        <v>112714</v>
      </c>
      <c r="H604" s="6">
        <v>44629</v>
      </c>
      <c r="I604" s="4">
        <v>0</v>
      </c>
      <c r="J604" s="6">
        <v>44603</v>
      </c>
      <c r="K604" t="str">
        <f t="shared" si="18"/>
        <v>Q1 2022</v>
      </c>
      <c r="L604" t="str">
        <f t="shared" si="19"/>
        <v>Q1 2022</v>
      </c>
    </row>
    <row r="605" spans="1:12" ht="15.75" customHeight="1" x14ac:dyDescent="0.3">
      <c r="A605" s="2" t="s">
        <v>900</v>
      </c>
      <c r="B605" s="2" t="s">
        <v>20</v>
      </c>
      <c r="C605" s="2" t="s">
        <v>21</v>
      </c>
      <c r="D605" s="2" t="s">
        <v>13</v>
      </c>
      <c r="E605" s="2" t="s">
        <v>22</v>
      </c>
      <c r="F605" s="2" t="s">
        <v>901</v>
      </c>
      <c r="G605" s="4">
        <v>74208</v>
      </c>
      <c r="H605" s="5" t="s">
        <v>769</v>
      </c>
      <c r="I605" s="4">
        <v>18552</v>
      </c>
      <c r="J605" s="5" t="s">
        <v>36</v>
      </c>
      <c r="K605" t="str">
        <f t="shared" si="18"/>
        <v>Q4 2022</v>
      </c>
      <c r="L605" t="str">
        <f t="shared" si="19"/>
        <v>Q4 2022</v>
      </c>
    </row>
    <row r="606" spans="1:12" ht="15.75" customHeight="1" x14ac:dyDescent="0.3">
      <c r="A606" s="2" t="s">
        <v>902</v>
      </c>
      <c r="B606" s="2" t="s">
        <v>11</v>
      </c>
      <c r="C606" s="2" t="s">
        <v>12</v>
      </c>
      <c r="D606" s="2" t="s">
        <v>13</v>
      </c>
      <c r="E606" s="2" t="s">
        <v>14</v>
      </c>
      <c r="F606" s="2" t="s">
        <v>46</v>
      </c>
      <c r="G606" s="4">
        <v>90068</v>
      </c>
      <c r="H606" s="5" t="s">
        <v>309</v>
      </c>
      <c r="I606" s="4">
        <v>0</v>
      </c>
      <c r="J606" s="6">
        <v>44594</v>
      </c>
      <c r="K606" t="str">
        <f t="shared" si="18"/>
        <v>Q1 2022</v>
      </c>
      <c r="L606" t="str">
        <f t="shared" si="19"/>
        <v>Q1 2022</v>
      </c>
    </row>
    <row r="607" spans="1:12" ht="15.75" customHeight="1" x14ac:dyDescent="0.3">
      <c r="A607" s="2" t="s">
        <v>903</v>
      </c>
      <c r="B607" s="2" t="s">
        <v>11</v>
      </c>
      <c r="C607" s="2" t="s">
        <v>12</v>
      </c>
      <c r="D607" s="2" t="s">
        <v>13</v>
      </c>
      <c r="E607" s="2" t="s">
        <v>14</v>
      </c>
      <c r="F607" s="2" t="s">
        <v>904</v>
      </c>
      <c r="G607" s="4">
        <v>80085</v>
      </c>
      <c r="H607" s="5" t="s">
        <v>25</v>
      </c>
      <c r="I607" s="4">
        <v>0</v>
      </c>
      <c r="J607" s="6">
        <v>44603</v>
      </c>
      <c r="K607" t="str">
        <f t="shared" si="18"/>
        <v>Q1 2022</v>
      </c>
      <c r="L607" t="str">
        <f t="shared" si="19"/>
        <v>Q1 2022</v>
      </c>
    </row>
    <row r="608" spans="1:12" ht="15.75" customHeight="1" x14ac:dyDescent="0.3">
      <c r="A608" s="2" t="s">
        <v>905</v>
      </c>
      <c r="B608" s="2" t="s">
        <v>11</v>
      </c>
      <c r="C608" s="2" t="s">
        <v>12</v>
      </c>
      <c r="D608" s="2" t="s">
        <v>13</v>
      </c>
      <c r="E608" s="2" t="s">
        <v>14</v>
      </c>
      <c r="F608" s="2" t="s">
        <v>567</v>
      </c>
      <c r="G608" s="4">
        <v>157857</v>
      </c>
      <c r="H608" s="5" t="s">
        <v>71</v>
      </c>
      <c r="I608" s="4">
        <v>0</v>
      </c>
      <c r="J608" s="6">
        <v>44603</v>
      </c>
      <c r="K608" t="str">
        <f t="shared" si="18"/>
        <v>Q1 2022</v>
      </c>
      <c r="L608" t="str">
        <f t="shared" si="19"/>
        <v>Q1 2022</v>
      </c>
    </row>
    <row r="609" spans="1:12" ht="15.75" customHeight="1" x14ac:dyDescent="0.3">
      <c r="A609" s="2" t="s">
        <v>906</v>
      </c>
      <c r="B609" s="2" t="s">
        <v>11</v>
      </c>
      <c r="C609" s="2" t="s">
        <v>12</v>
      </c>
      <c r="D609" s="2" t="s">
        <v>13</v>
      </c>
      <c r="E609" s="2" t="s">
        <v>14</v>
      </c>
      <c r="F609" s="2" t="s">
        <v>46</v>
      </c>
      <c r="G609" s="4">
        <v>88677</v>
      </c>
      <c r="H609" s="5" t="s">
        <v>116</v>
      </c>
      <c r="I609" s="4">
        <v>0</v>
      </c>
      <c r="J609" s="6">
        <v>44959</v>
      </c>
      <c r="K609" t="str">
        <f t="shared" si="18"/>
        <v>Q1 2023</v>
      </c>
      <c r="L609" t="str">
        <f t="shared" si="19"/>
        <v>Q1 2023</v>
      </c>
    </row>
    <row r="610" spans="1:12" ht="15.75" customHeight="1" x14ac:dyDescent="0.3">
      <c r="A610" s="2" t="s">
        <v>907</v>
      </c>
      <c r="B610" s="2" t="s">
        <v>11</v>
      </c>
      <c r="C610" s="2" t="s">
        <v>12</v>
      </c>
      <c r="D610" s="2" t="s">
        <v>13</v>
      </c>
      <c r="E610" s="2" t="s">
        <v>14</v>
      </c>
      <c r="F610" s="2" t="s">
        <v>908</v>
      </c>
      <c r="G610" s="4">
        <v>203793</v>
      </c>
      <c r="H610" s="5" t="s">
        <v>71</v>
      </c>
      <c r="I610" s="4">
        <v>0</v>
      </c>
      <c r="J610" s="6">
        <v>44603</v>
      </c>
      <c r="K610" t="str">
        <f t="shared" si="18"/>
        <v>Q1 2022</v>
      </c>
      <c r="L610" t="str">
        <f t="shared" si="19"/>
        <v>Q1 2022</v>
      </c>
    </row>
    <row r="611" spans="1:12" ht="15.75" customHeight="1" x14ac:dyDescent="0.3">
      <c r="A611" s="2" t="s">
        <v>909</v>
      </c>
      <c r="B611" s="2" t="s">
        <v>11</v>
      </c>
      <c r="C611" s="2" t="s">
        <v>12</v>
      </c>
      <c r="D611" s="2" t="s">
        <v>13</v>
      </c>
      <c r="E611" s="2" t="s">
        <v>14</v>
      </c>
      <c r="F611" s="2" t="s">
        <v>910</v>
      </c>
      <c r="G611" s="4">
        <v>55037</v>
      </c>
      <c r="H611" s="6">
        <v>44630</v>
      </c>
      <c r="I611" s="4">
        <v>0</v>
      </c>
      <c r="J611" s="6">
        <v>44603</v>
      </c>
      <c r="K611" t="str">
        <f t="shared" si="18"/>
        <v>Q1 2022</v>
      </c>
      <c r="L611" t="str">
        <f t="shared" si="19"/>
        <v>Q1 2022</v>
      </c>
    </row>
    <row r="612" spans="1:12" ht="15.75" customHeight="1" x14ac:dyDescent="0.3">
      <c r="A612" s="2" t="s">
        <v>911</v>
      </c>
      <c r="B612" s="2" t="s">
        <v>11</v>
      </c>
      <c r="C612" s="2" t="s">
        <v>12</v>
      </c>
      <c r="D612" s="2" t="s">
        <v>13</v>
      </c>
      <c r="E612" s="2" t="s">
        <v>22</v>
      </c>
      <c r="F612" s="2" t="s">
        <v>912</v>
      </c>
      <c r="G612" s="4">
        <v>106786</v>
      </c>
      <c r="H612" s="5" t="s">
        <v>913</v>
      </c>
      <c r="I612" s="4">
        <v>0</v>
      </c>
      <c r="J612" s="6">
        <v>44239</v>
      </c>
      <c r="K612" t="str">
        <f t="shared" si="18"/>
        <v>Q1 2021</v>
      </c>
      <c r="L612" t="str">
        <f t="shared" si="19"/>
        <v>Q1 2021</v>
      </c>
    </row>
    <row r="613" spans="1:12" ht="15.75" customHeight="1" x14ac:dyDescent="0.3">
      <c r="A613" s="2" t="s">
        <v>914</v>
      </c>
      <c r="B613" s="2" t="s">
        <v>11</v>
      </c>
      <c r="C613" s="2" t="s">
        <v>12</v>
      </c>
      <c r="D613" s="2" t="s">
        <v>13</v>
      </c>
      <c r="E613" s="2" t="s">
        <v>14</v>
      </c>
      <c r="F613" s="2" t="s">
        <v>27</v>
      </c>
      <c r="G613" s="4">
        <v>83160</v>
      </c>
      <c r="H613" s="6">
        <v>44563</v>
      </c>
      <c r="I613" s="4">
        <v>0</v>
      </c>
      <c r="J613" s="6">
        <v>44596</v>
      </c>
      <c r="K613" t="str">
        <f t="shared" si="18"/>
        <v>Q1 2022</v>
      </c>
      <c r="L613" t="str">
        <f t="shared" si="19"/>
        <v>Q1 2022</v>
      </c>
    </row>
    <row r="614" spans="1:12" ht="15.75" customHeight="1" x14ac:dyDescent="0.3">
      <c r="A614" s="2" t="s">
        <v>915</v>
      </c>
      <c r="B614" s="2" t="s">
        <v>11</v>
      </c>
      <c r="C614" s="2" t="s">
        <v>12</v>
      </c>
      <c r="D614" s="2" t="s">
        <v>13</v>
      </c>
      <c r="E614" s="2" t="s">
        <v>14</v>
      </c>
      <c r="F614" s="2" t="s">
        <v>46</v>
      </c>
      <c r="G614" s="4">
        <v>137608</v>
      </c>
      <c r="H614" s="5" t="s">
        <v>25</v>
      </c>
      <c r="I614" s="4">
        <v>0</v>
      </c>
      <c r="J614" s="6">
        <v>44603</v>
      </c>
      <c r="K614" t="str">
        <f t="shared" si="18"/>
        <v>Q1 2022</v>
      </c>
      <c r="L614" t="str">
        <f t="shared" si="19"/>
        <v>Q1 2022</v>
      </c>
    </row>
    <row r="615" spans="1:12" ht="15.75" customHeight="1" x14ac:dyDescent="0.3">
      <c r="A615" s="2" t="s">
        <v>916</v>
      </c>
      <c r="B615" s="2" t="s">
        <v>11</v>
      </c>
      <c r="C615" s="2" t="s">
        <v>12</v>
      </c>
      <c r="D615" s="2" t="s">
        <v>13</v>
      </c>
      <c r="E615" s="2" t="s">
        <v>14</v>
      </c>
      <c r="F615" s="2" t="s">
        <v>46</v>
      </c>
      <c r="G615" s="4">
        <v>157835</v>
      </c>
      <c r="H615" s="5" t="s">
        <v>30</v>
      </c>
      <c r="I615" s="4">
        <v>0</v>
      </c>
      <c r="J615" s="6">
        <v>44603</v>
      </c>
      <c r="K615" t="str">
        <f t="shared" si="18"/>
        <v>Q1 2022</v>
      </c>
      <c r="L615" t="str">
        <f t="shared" si="19"/>
        <v>Q1 2022</v>
      </c>
    </row>
    <row r="616" spans="1:12" ht="15.75" customHeight="1" x14ac:dyDescent="0.3">
      <c r="A616" s="2" t="s">
        <v>917</v>
      </c>
      <c r="B616" s="2" t="s">
        <v>20</v>
      </c>
      <c r="C616" s="2" t="s">
        <v>21</v>
      </c>
      <c r="D616" s="2" t="s">
        <v>13</v>
      </c>
      <c r="E616" s="2" t="s">
        <v>14</v>
      </c>
      <c r="F616" s="2" t="s">
        <v>46</v>
      </c>
      <c r="G616" s="4">
        <v>187470</v>
      </c>
      <c r="H616" s="5" t="s">
        <v>918</v>
      </c>
      <c r="I616" s="4">
        <v>17043</v>
      </c>
      <c r="J616" s="5" t="s">
        <v>919</v>
      </c>
      <c r="K616" t="str">
        <f t="shared" si="18"/>
        <v>Q2 2022</v>
      </c>
      <c r="L616" t="str">
        <f t="shared" si="19"/>
        <v>Q2 2022</v>
      </c>
    </row>
    <row r="617" spans="1:12" ht="15.75" customHeight="1" x14ac:dyDescent="0.3">
      <c r="A617" s="2" t="s">
        <v>920</v>
      </c>
      <c r="B617" s="2" t="s">
        <v>11</v>
      </c>
      <c r="C617" s="2" t="s">
        <v>12</v>
      </c>
      <c r="D617" s="2" t="s">
        <v>13</v>
      </c>
      <c r="E617" s="2" t="s">
        <v>14</v>
      </c>
      <c r="F617" s="2" t="s">
        <v>27</v>
      </c>
      <c r="G617" s="4">
        <v>102196</v>
      </c>
      <c r="H617" s="5" t="s">
        <v>71</v>
      </c>
      <c r="I617" s="4">
        <v>0</v>
      </c>
      <c r="J617" s="6">
        <v>44603</v>
      </c>
      <c r="K617" t="str">
        <f t="shared" si="18"/>
        <v>Q1 2022</v>
      </c>
      <c r="L617" t="str">
        <f t="shared" si="19"/>
        <v>Q1 2022</v>
      </c>
    </row>
    <row r="618" spans="1:12" ht="15.75" customHeight="1" x14ac:dyDescent="0.3">
      <c r="A618" s="2" t="s">
        <v>921</v>
      </c>
      <c r="B618" s="2" t="s">
        <v>11</v>
      </c>
      <c r="C618" s="2" t="s">
        <v>12</v>
      </c>
      <c r="D618" s="2" t="s">
        <v>13</v>
      </c>
      <c r="E618" s="2" t="s">
        <v>14</v>
      </c>
      <c r="F618" s="2" t="s">
        <v>46</v>
      </c>
      <c r="G618" s="4">
        <v>100539</v>
      </c>
      <c r="H618" s="5" t="s">
        <v>39</v>
      </c>
      <c r="I618" s="4">
        <v>0</v>
      </c>
      <c r="J618" s="6">
        <v>44603</v>
      </c>
      <c r="K618" t="str">
        <f t="shared" si="18"/>
        <v>Q1 2022</v>
      </c>
      <c r="L618" t="str">
        <f t="shared" si="19"/>
        <v>Q1 2022</v>
      </c>
    </row>
    <row r="619" spans="1:12" ht="15.75" customHeight="1" x14ac:dyDescent="0.3">
      <c r="A619" s="2" t="s">
        <v>922</v>
      </c>
      <c r="B619" s="2" t="s">
        <v>11</v>
      </c>
      <c r="C619" s="2" t="s">
        <v>12</v>
      </c>
      <c r="D619" s="2" t="s">
        <v>13</v>
      </c>
      <c r="E619" s="2" t="s">
        <v>14</v>
      </c>
      <c r="F619" s="2" t="s">
        <v>923</v>
      </c>
      <c r="G619" s="4">
        <v>76925</v>
      </c>
      <c r="H619" s="5" t="s">
        <v>39</v>
      </c>
      <c r="I619" s="4">
        <v>0</v>
      </c>
      <c r="J619" s="6">
        <v>44603</v>
      </c>
      <c r="K619" t="str">
        <f t="shared" si="18"/>
        <v>Q1 2022</v>
      </c>
      <c r="L619" t="str">
        <f t="shared" si="19"/>
        <v>Q1 2022</v>
      </c>
    </row>
    <row r="620" spans="1:12" ht="15.75" customHeight="1" x14ac:dyDescent="0.3">
      <c r="A620" s="2" t="s">
        <v>924</v>
      </c>
      <c r="B620" s="2" t="s">
        <v>11</v>
      </c>
      <c r="C620" s="2" t="s">
        <v>12</v>
      </c>
      <c r="D620" s="2" t="s">
        <v>13</v>
      </c>
      <c r="E620" s="2" t="s">
        <v>14</v>
      </c>
      <c r="F620" s="2" t="s">
        <v>27</v>
      </c>
      <c r="G620" s="4">
        <v>110085</v>
      </c>
      <c r="H620" s="6">
        <v>44267</v>
      </c>
      <c r="I620" s="4">
        <v>0</v>
      </c>
      <c r="J620" s="6">
        <v>44563</v>
      </c>
      <c r="K620" t="str">
        <f t="shared" si="18"/>
        <v>Q1 2022</v>
      </c>
      <c r="L620" t="str">
        <f t="shared" si="19"/>
        <v>Q1 2022</v>
      </c>
    </row>
    <row r="621" spans="1:12" ht="15.75" customHeight="1" x14ac:dyDescent="0.3">
      <c r="A621" s="2" t="s">
        <v>925</v>
      </c>
      <c r="B621" s="2" t="s">
        <v>11</v>
      </c>
      <c r="C621" s="2" t="s">
        <v>12</v>
      </c>
      <c r="D621" s="2" t="s">
        <v>13</v>
      </c>
      <c r="E621" s="2" t="s">
        <v>14</v>
      </c>
      <c r="F621" s="2" t="s">
        <v>46</v>
      </c>
      <c r="G621" s="4">
        <v>83580</v>
      </c>
      <c r="H621" s="5" t="s">
        <v>212</v>
      </c>
      <c r="I621" s="4">
        <v>0</v>
      </c>
      <c r="J621" s="6">
        <v>44597</v>
      </c>
      <c r="K621" t="str">
        <f t="shared" si="18"/>
        <v>Q1 2022</v>
      </c>
      <c r="L621" t="str">
        <f t="shared" si="19"/>
        <v>Q1 2022</v>
      </c>
    </row>
    <row r="622" spans="1:12" ht="15.75" customHeight="1" x14ac:dyDescent="0.3">
      <c r="A622" s="2" t="s">
        <v>926</v>
      </c>
      <c r="B622" s="2" t="s">
        <v>11</v>
      </c>
      <c r="C622" s="2" t="s">
        <v>12</v>
      </c>
      <c r="D622" s="2" t="s">
        <v>13</v>
      </c>
      <c r="E622" s="2" t="s">
        <v>14</v>
      </c>
      <c r="F622" s="2" t="s">
        <v>46</v>
      </c>
      <c r="G622" s="2"/>
      <c r="H622" s="5" t="s">
        <v>197</v>
      </c>
      <c r="I622" s="4">
        <v>0</v>
      </c>
      <c r="J622" s="6">
        <v>44601</v>
      </c>
      <c r="K622" t="str">
        <f t="shared" si="18"/>
        <v>Q1 2022</v>
      </c>
      <c r="L622" t="str">
        <f t="shared" si="19"/>
        <v>Q1 2022</v>
      </c>
    </row>
    <row r="623" spans="1:12" ht="15.75" customHeight="1" x14ac:dyDescent="0.3">
      <c r="A623" s="2" t="s">
        <v>927</v>
      </c>
      <c r="B623" s="2" t="s">
        <v>11</v>
      </c>
      <c r="C623" s="2" t="s">
        <v>12</v>
      </c>
      <c r="D623" s="2" t="s">
        <v>13</v>
      </c>
      <c r="E623" s="2" t="s">
        <v>14</v>
      </c>
      <c r="F623" s="2" t="s">
        <v>27</v>
      </c>
      <c r="G623" s="4">
        <v>42045</v>
      </c>
      <c r="H623" s="5" t="s">
        <v>75</v>
      </c>
      <c r="I623" s="4">
        <v>0</v>
      </c>
      <c r="J623" s="6">
        <v>44595</v>
      </c>
      <c r="K623" t="str">
        <f t="shared" si="18"/>
        <v>Q1 2022</v>
      </c>
      <c r="L623" t="str">
        <f t="shared" si="19"/>
        <v>Q1 2022</v>
      </c>
    </row>
    <row r="624" spans="1:12" ht="15.75" customHeight="1" x14ac:dyDescent="0.3">
      <c r="A624" s="2" t="s">
        <v>928</v>
      </c>
      <c r="B624" s="2" t="s">
        <v>11</v>
      </c>
      <c r="C624" s="2" t="s">
        <v>12</v>
      </c>
      <c r="D624" s="2" t="s">
        <v>13</v>
      </c>
      <c r="E624" s="2" t="s">
        <v>14</v>
      </c>
      <c r="F624" s="2" t="s">
        <v>46</v>
      </c>
      <c r="G624" s="4">
        <v>72988</v>
      </c>
      <c r="H624" s="5" t="s">
        <v>265</v>
      </c>
      <c r="I624" s="4">
        <v>0</v>
      </c>
      <c r="J624" s="6">
        <v>44601</v>
      </c>
      <c r="K624" t="str">
        <f t="shared" si="18"/>
        <v>Q1 2022</v>
      </c>
      <c r="L624" t="str">
        <f t="shared" si="19"/>
        <v>Q1 2022</v>
      </c>
    </row>
    <row r="625" spans="1:12" ht="15.75" customHeight="1" x14ac:dyDescent="0.3">
      <c r="A625" s="2" t="s">
        <v>929</v>
      </c>
      <c r="B625" s="2" t="s">
        <v>11</v>
      </c>
      <c r="C625" s="2" t="s">
        <v>12</v>
      </c>
      <c r="D625" s="2" t="s">
        <v>13</v>
      </c>
      <c r="E625" s="2" t="s">
        <v>14</v>
      </c>
      <c r="F625" s="2" t="s">
        <v>46</v>
      </c>
      <c r="G625" s="4">
        <v>203733</v>
      </c>
      <c r="H625" s="5" t="s">
        <v>93</v>
      </c>
      <c r="I625" s="4">
        <v>0</v>
      </c>
      <c r="J625" s="6">
        <v>44602</v>
      </c>
      <c r="K625" t="str">
        <f t="shared" si="18"/>
        <v>Q1 2022</v>
      </c>
      <c r="L625" t="str">
        <f t="shared" si="19"/>
        <v>Q1 2022</v>
      </c>
    </row>
    <row r="626" spans="1:12" ht="15.75" customHeight="1" x14ac:dyDescent="0.3">
      <c r="A626" s="2" t="s">
        <v>930</v>
      </c>
      <c r="B626" s="2" t="s">
        <v>11</v>
      </c>
      <c r="C626" s="2" t="s">
        <v>12</v>
      </c>
      <c r="D626" s="2" t="s">
        <v>13</v>
      </c>
      <c r="E626" s="2" t="s">
        <v>14</v>
      </c>
      <c r="F626" s="2" t="s">
        <v>27</v>
      </c>
      <c r="G626" s="4">
        <v>172921</v>
      </c>
      <c r="H626" s="6">
        <v>44621</v>
      </c>
      <c r="I626" s="4">
        <v>0</v>
      </c>
      <c r="J626" s="6">
        <v>44594</v>
      </c>
      <c r="K626" t="str">
        <f t="shared" si="18"/>
        <v>Q1 2022</v>
      </c>
      <c r="L626" t="str">
        <f t="shared" si="19"/>
        <v>Q1 2022</v>
      </c>
    </row>
    <row r="627" spans="1:12" ht="15.75" customHeight="1" x14ac:dyDescent="0.3">
      <c r="A627" s="2" t="s">
        <v>931</v>
      </c>
      <c r="B627" s="2" t="s">
        <v>11</v>
      </c>
      <c r="C627" s="2" t="s">
        <v>12</v>
      </c>
      <c r="D627" s="2" t="s">
        <v>13</v>
      </c>
      <c r="E627" s="2" t="s">
        <v>14</v>
      </c>
      <c r="F627" s="2" t="s">
        <v>932</v>
      </c>
      <c r="G627" s="4">
        <v>56858</v>
      </c>
      <c r="H627" s="6">
        <v>44867</v>
      </c>
      <c r="I627" s="4">
        <v>0</v>
      </c>
      <c r="J627" s="6">
        <v>44596</v>
      </c>
      <c r="K627" t="str">
        <f t="shared" si="18"/>
        <v>Q1 2022</v>
      </c>
      <c r="L627" t="str">
        <f t="shared" si="19"/>
        <v>Q1 2022</v>
      </c>
    </row>
    <row r="628" spans="1:12" ht="15.75" customHeight="1" x14ac:dyDescent="0.3">
      <c r="A628" s="80" t="s">
        <v>933</v>
      </c>
      <c r="B628" s="2" t="s">
        <v>11</v>
      </c>
      <c r="C628" s="2" t="s">
        <v>12</v>
      </c>
      <c r="D628" s="2" t="s">
        <v>13</v>
      </c>
      <c r="E628" s="2" t="s">
        <v>14</v>
      </c>
      <c r="F628" s="2" t="s">
        <v>46</v>
      </c>
      <c r="G628" s="4">
        <v>76983</v>
      </c>
      <c r="H628" s="6">
        <v>44899</v>
      </c>
      <c r="I628" s="4">
        <v>0</v>
      </c>
      <c r="J628" s="6">
        <v>44597</v>
      </c>
      <c r="K628" t="str">
        <f t="shared" si="18"/>
        <v>Q1 2022</v>
      </c>
      <c r="L628" t="str">
        <f t="shared" si="19"/>
        <v>Q1 2022</v>
      </c>
    </row>
    <row r="629" spans="1:12" ht="15.75" customHeight="1" x14ac:dyDescent="0.3">
      <c r="A629" s="2" t="s">
        <v>934</v>
      </c>
      <c r="B629" s="2" t="s">
        <v>11</v>
      </c>
      <c r="C629" s="2" t="s">
        <v>12</v>
      </c>
      <c r="D629" s="2" t="s">
        <v>13</v>
      </c>
      <c r="E629" s="2" t="s">
        <v>14</v>
      </c>
      <c r="F629" s="2" t="s">
        <v>59</v>
      </c>
      <c r="G629" s="4">
        <v>43881</v>
      </c>
      <c r="H629" s="6">
        <v>44625</v>
      </c>
      <c r="I629" s="4">
        <v>0</v>
      </c>
      <c r="J629" s="6">
        <v>44599</v>
      </c>
      <c r="K629" t="str">
        <f t="shared" si="18"/>
        <v>Q1 2022</v>
      </c>
      <c r="L629" t="str">
        <f t="shared" si="19"/>
        <v>Q1 2022</v>
      </c>
    </row>
    <row r="630" spans="1:12" ht="15.75" customHeight="1" x14ac:dyDescent="0.3">
      <c r="A630" s="2" t="s">
        <v>935</v>
      </c>
      <c r="B630" s="2" t="s">
        <v>11</v>
      </c>
      <c r="C630" s="2" t="s">
        <v>12</v>
      </c>
      <c r="D630" s="2" t="s">
        <v>13</v>
      </c>
      <c r="E630" s="2" t="s">
        <v>14</v>
      </c>
      <c r="F630" s="2" t="s">
        <v>27</v>
      </c>
      <c r="G630" s="4">
        <v>88013</v>
      </c>
      <c r="H630" s="6">
        <v>44630</v>
      </c>
      <c r="I630" s="4">
        <v>0</v>
      </c>
      <c r="J630" s="6">
        <v>44603</v>
      </c>
      <c r="K630" t="str">
        <f t="shared" si="18"/>
        <v>Q1 2022</v>
      </c>
      <c r="L630" t="str">
        <f t="shared" si="19"/>
        <v>Q1 2022</v>
      </c>
    </row>
    <row r="631" spans="1:12" ht="15.75" customHeight="1" x14ac:dyDescent="0.3">
      <c r="A631" s="2" t="s">
        <v>936</v>
      </c>
      <c r="B631" s="2" t="s">
        <v>11</v>
      </c>
      <c r="C631" s="2" t="s">
        <v>12</v>
      </c>
      <c r="D631" s="2" t="s">
        <v>13</v>
      </c>
      <c r="E631" s="2" t="s">
        <v>14</v>
      </c>
      <c r="F631" s="2" t="s">
        <v>937</v>
      </c>
      <c r="G631" s="4">
        <v>92126</v>
      </c>
      <c r="H631" s="5" t="s">
        <v>30</v>
      </c>
      <c r="I631" s="4">
        <v>0</v>
      </c>
      <c r="J631" s="6">
        <v>44603</v>
      </c>
      <c r="K631" t="str">
        <f t="shared" si="18"/>
        <v>Q1 2022</v>
      </c>
      <c r="L631" t="str">
        <f t="shared" si="19"/>
        <v>Q1 2022</v>
      </c>
    </row>
    <row r="632" spans="1:12" ht="15.75" customHeight="1" x14ac:dyDescent="0.3">
      <c r="A632" s="2" t="s">
        <v>938</v>
      </c>
      <c r="B632" s="2" t="s">
        <v>11</v>
      </c>
      <c r="C632" s="2" t="s">
        <v>12</v>
      </c>
      <c r="D632" s="2" t="s">
        <v>13</v>
      </c>
      <c r="E632" s="2" t="s">
        <v>14</v>
      </c>
      <c r="F632" s="2" t="s">
        <v>46</v>
      </c>
      <c r="G632" s="4">
        <v>106692</v>
      </c>
      <c r="H632" s="6">
        <v>44899</v>
      </c>
      <c r="I632" s="4">
        <v>0</v>
      </c>
      <c r="J632" s="6">
        <v>44597</v>
      </c>
      <c r="K632" t="str">
        <f t="shared" si="18"/>
        <v>Q1 2022</v>
      </c>
      <c r="L632" t="str">
        <f t="shared" si="19"/>
        <v>Q1 2022</v>
      </c>
    </row>
    <row r="633" spans="1:12" ht="15.75" customHeight="1" x14ac:dyDescent="0.3">
      <c r="A633" s="2" t="s">
        <v>939</v>
      </c>
      <c r="B633" s="2" t="s">
        <v>11</v>
      </c>
      <c r="C633" s="2" t="s">
        <v>12</v>
      </c>
      <c r="D633" s="2" t="s">
        <v>13</v>
      </c>
      <c r="E633" s="2" t="s">
        <v>14</v>
      </c>
      <c r="F633" s="2" t="s">
        <v>675</v>
      </c>
      <c r="G633" s="4">
        <v>133858</v>
      </c>
      <c r="H633" s="5" t="s">
        <v>75</v>
      </c>
      <c r="I633" s="4">
        <v>0</v>
      </c>
      <c r="J633" s="6">
        <v>44595</v>
      </c>
      <c r="K633" t="str">
        <f t="shared" si="18"/>
        <v>Q1 2022</v>
      </c>
      <c r="L633" t="str">
        <f t="shared" si="19"/>
        <v>Q1 2022</v>
      </c>
    </row>
    <row r="634" spans="1:12" ht="15.75" customHeight="1" x14ac:dyDescent="0.3">
      <c r="A634" s="2" t="s">
        <v>940</v>
      </c>
      <c r="B634" s="2" t="s">
        <v>11</v>
      </c>
      <c r="C634" s="2" t="s">
        <v>12</v>
      </c>
      <c r="D634" s="2" t="s">
        <v>13</v>
      </c>
      <c r="E634" s="2" t="s">
        <v>14</v>
      </c>
      <c r="F634" s="2" t="s">
        <v>46</v>
      </c>
      <c r="G634" s="4">
        <v>368455</v>
      </c>
      <c r="H634" s="5" t="s">
        <v>42</v>
      </c>
      <c r="I634" s="4">
        <v>0</v>
      </c>
      <c r="J634" s="6">
        <v>44603</v>
      </c>
      <c r="K634" t="str">
        <f t="shared" si="18"/>
        <v>Q1 2022</v>
      </c>
      <c r="L634" t="str">
        <f t="shared" si="19"/>
        <v>Q1 2022</v>
      </c>
    </row>
    <row r="635" spans="1:12" ht="15.75" customHeight="1" x14ac:dyDescent="0.3">
      <c r="A635" s="2" t="s">
        <v>941</v>
      </c>
      <c r="B635" s="2" t="s">
        <v>11</v>
      </c>
      <c r="C635" s="2" t="s">
        <v>12</v>
      </c>
      <c r="D635" s="2" t="s">
        <v>13</v>
      </c>
      <c r="E635" s="2" t="s">
        <v>14</v>
      </c>
      <c r="F635" s="2" t="s">
        <v>27</v>
      </c>
      <c r="G635" s="4">
        <v>107211</v>
      </c>
      <c r="H635" s="5" t="s">
        <v>236</v>
      </c>
      <c r="I635" s="4">
        <v>0</v>
      </c>
      <c r="J635" s="6">
        <v>44596</v>
      </c>
      <c r="K635" t="str">
        <f t="shared" si="18"/>
        <v>Q1 2022</v>
      </c>
      <c r="L635" t="str">
        <f t="shared" si="19"/>
        <v>Q1 2022</v>
      </c>
    </row>
    <row r="636" spans="1:12" ht="15.75" customHeight="1" x14ac:dyDescent="0.3">
      <c r="A636" s="2" t="s">
        <v>942</v>
      </c>
      <c r="B636" s="2" t="s">
        <v>11</v>
      </c>
      <c r="C636" s="2" t="s">
        <v>12</v>
      </c>
      <c r="D636" s="2" t="s">
        <v>13</v>
      </c>
      <c r="E636" s="2" t="s">
        <v>14</v>
      </c>
      <c r="F636" s="2" t="s">
        <v>46</v>
      </c>
      <c r="G636" s="4">
        <v>115087</v>
      </c>
      <c r="H636" s="6">
        <v>44601</v>
      </c>
      <c r="I636" s="4">
        <v>0</v>
      </c>
      <c r="J636" s="6">
        <v>44602</v>
      </c>
      <c r="K636" t="str">
        <f t="shared" si="18"/>
        <v>Q1 2022</v>
      </c>
      <c r="L636" t="str">
        <f t="shared" si="19"/>
        <v>Q1 2022</v>
      </c>
    </row>
    <row r="637" spans="1:12" ht="15.75" customHeight="1" x14ac:dyDescent="0.3">
      <c r="A637" s="2" t="s">
        <v>943</v>
      </c>
      <c r="B637" s="2" t="s">
        <v>20</v>
      </c>
      <c r="C637" s="2" t="s">
        <v>21</v>
      </c>
      <c r="D637" s="2" t="s">
        <v>13</v>
      </c>
      <c r="E637" s="2" t="s">
        <v>14</v>
      </c>
      <c r="F637" s="2" t="s">
        <v>944</v>
      </c>
      <c r="G637" s="4">
        <v>104166</v>
      </c>
      <c r="H637" s="6">
        <v>44751</v>
      </c>
      <c r="I637" s="4">
        <v>26041</v>
      </c>
      <c r="J637" s="5" t="s">
        <v>945</v>
      </c>
      <c r="K637" t="str">
        <f t="shared" si="18"/>
        <v>Q3 2022</v>
      </c>
      <c r="L637" t="str">
        <f t="shared" si="19"/>
        <v>Q3 2022</v>
      </c>
    </row>
    <row r="638" spans="1:12" ht="15.75" customHeight="1" x14ac:dyDescent="0.3">
      <c r="A638" s="2" t="s">
        <v>946</v>
      </c>
      <c r="B638" s="2" t="s">
        <v>11</v>
      </c>
      <c r="C638" s="2" t="s">
        <v>12</v>
      </c>
      <c r="D638" s="2" t="s">
        <v>13</v>
      </c>
      <c r="E638" s="2" t="s">
        <v>14</v>
      </c>
      <c r="F638" s="2" t="s">
        <v>27</v>
      </c>
      <c r="G638" s="4">
        <v>143497</v>
      </c>
      <c r="H638" s="6">
        <v>44596</v>
      </c>
      <c r="I638" s="4">
        <v>0</v>
      </c>
      <c r="J638" s="6">
        <v>44597</v>
      </c>
      <c r="K638" t="str">
        <f t="shared" si="18"/>
        <v>Q1 2022</v>
      </c>
      <c r="L638" t="str">
        <f t="shared" si="19"/>
        <v>Q1 2022</v>
      </c>
    </row>
    <row r="639" spans="1:12" ht="15.75" customHeight="1" x14ac:dyDescent="0.3">
      <c r="A639" s="2" t="s">
        <v>947</v>
      </c>
      <c r="B639" s="2" t="s">
        <v>11</v>
      </c>
      <c r="C639" s="2" t="s">
        <v>12</v>
      </c>
      <c r="D639" s="2" t="s">
        <v>13</v>
      </c>
      <c r="E639" s="2" t="s">
        <v>14</v>
      </c>
      <c r="F639" s="2" t="s">
        <v>46</v>
      </c>
      <c r="G639" s="4">
        <v>127427</v>
      </c>
      <c r="H639" s="6">
        <v>44867</v>
      </c>
      <c r="I639" s="4">
        <v>0</v>
      </c>
      <c r="J639" s="6">
        <v>44596</v>
      </c>
      <c r="K639" t="str">
        <f t="shared" si="18"/>
        <v>Q1 2022</v>
      </c>
      <c r="L639" t="str">
        <f t="shared" si="19"/>
        <v>Q1 2022</v>
      </c>
    </row>
    <row r="640" spans="1:12" ht="15.75" customHeight="1" x14ac:dyDescent="0.3">
      <c r="A640" s="2" t="s">
        <v>948</v>
      </c>
      <c r="B640" s="2" t="s">
        <v>11</v>
      </c>
      <c r="C640" s="2" t="s">
        <v>12</v>
      </c>
      <c r="D640" s="2" t="s">
        <v>13</v>
      </c>
      <c r="E640" s="2" t="s">
        <v>14</v>
      </c>
      <c r="F640" s="2" t="s">
        <v>324</v>
      </c>
      <c r="G640" s="4">
        <v>355370</v>
      </c>
      <c r="H640" s="7">
        <v>44541</v>
      </c>
      <c r="I640" s="4">
        <v>0</v>
      </c>
      <c r="J640" s="6">
        <v>44239</v>
      </c>
      <c r="K640" t="str">
        <f t="shared" si="18"/>
        <v>Q1 2021</v>
      </c>
      <c r="L640" t="str">
        <f t="shared" si="19"/>
        <v>Q1 2021</v>
      </c>
    </row>
    <row r="641" spans="1:12" ht="15.75" customHeight="1" x14ac:dyDescent="0.3">
      <c r="A641" s="2" t="s">
        <v>949</v>
      </c>
      <c r="B641" s="2" t="s">
        <v>11</v>
      </c>
      <c r="C641" s="2" t="s">
        <v>12</v>
      </c>
      <c r="D641" s="2" t="s">
        <v>13</v>
      </c>
      <c r="E641" s="2" t="s">
        <v>14</v>
      </c>
      <c r="F641" s="2" t="s">
        <v>950</v>
      </c>
      <c r="G641" s="4">
        <v>191190</v>
      </c>
      <c r="H641" s="5" t="s">
        <v>71</v>
      </c>
      <c r="I641" s="4">
        <v>0</v>
      </c>
      <c r="J641" s="6">
        <v>44603</v>
      </c>
      <c r="K641" t="str">
        <f t="shared" si="18"/>
        <v>Q1 2022</v>
      </c>
      <c r="L641" t="str">
        <f t="shared" si="19"/>
        <v>Q1 2022</v>
      </c>
    </row>
    <row r="642" spans="1:12" ht="15.75" customHeight="1" x14ac:dyDescent="0.3">
      <c r="A642" s="2" t="s">
        <v>951</v>
      </c>
      <c r="B642" s="2" t="s">
        <v>11</v>
      </c>
      <c r="C642" s="2" t="s">
        <v>12</v>
      </c>
      <c r="D642" s="2" t="s">
        <v>13</v>
      </c>
      <c r="E642" s="2" t="s">
        <v>14</v>
      </c>
      <c r="F642" s="2" t="s">
        <v>46</v>
      </c>
      <c r="G642" s="4">
        <v>209817</v>
      </c>
      <c r="H642" s="6">
        <v>44629</v>
      </c>
      <c r="I642" s="4">
        <v>0</v>
      </c>
      <c r="J642" s="6">
        <v>44603</v>
      </c>
      <c r="K642" t="str">
        <f t="shared" ref="K642:K705" si="20">"Q" &amp; ROUNDUP(MONTH(J:J)/3,0) &amp; " " &amp; YEAR(J:J)</f>
        <v>Q1 2022</v>
      </c>
      <c r="L642" t="str">
        <f t="shared" ref="L642:L705" si="21">"Q" &amp; ROUNDUP(MONTH(J:J)/3,0) &amp; " " &amp; YEAR(J:J)</f>
        <v>Q1 2022</v>
      </c>
    </row>
    <row r="643" spans="1:12" ht="15.75" customHeight="1" x14ac:dyDescent="0.3">
      <c r="A643" s="2" t="s">
        <v>952</v>
      </c>
      <c r="B643" s="2" t="s">
        <v>11</v>
      </c>
      <c r="C643" s="2" t="s">
        <v>12</v>
      </c>
      <c r="D643" s="2" t="s">
        <v>13</v>
      </c>
      <c r="E643" s="2" t="s">
        <v>14</v>
      </c>
      <c r="F643" s="2" t="s">
        <v>27</v>
      </c>
      <c r="G643" s="4">
        <v>49625</v>
      </c>
      <c r="H643" s="5" t="s">
        <v>123</v>
      </c>
      <c r="I643" s="4">
        <v>0</v>
      </c>
      <c r="J643" s="6">
        <v>44594</v>
      </c>
      <c r="K643" t="str">
        <f t="shared" si="20"/>
        <v>Q1 2022</v>
      </c>
      <c r="L643" t="str">
        <f t="shared" si="21"/>
        <v>Q1 2022</v>
      </c>
    </row>
    <row r="644" spans="1:12" ht="15.75" customHeight="1" x14ac:dyDescent="0.3">
      <c r="A644" s="2" t="s">
        <v>953</v>
      </c>
      <c r="B644" s="2" t="s">
        <v>11</v>
      </c>
      <c r="C644" s="2" t="s">
        <v>12</v>
      </c>
      <c r="D644" s="2" t="s">
        <v>13</v>
      </c>
      <c r="E644" s="2" t="s">
        <v>14</v>
      </c>
      <c r="F644" s="2" t="s">
        <v>954</v>
      </c>
      <c r="G644" s="4">
        <v>101488</v>
      </c>
      <c r="H644" s="6">
        <v>44625</v>
      </c>
      <c r="I644" s="4">
        <v>0</v>
      </c>
      <c r="J644" s="6">
        <v>44599</v>
      </c>
      <c r="K644" t="str">
        <f t="shared" si="20"/>
        <v>Q1 2022</v>
      </c>
      <c r="L644" t="str">
        <f t="shared" si="21"/>
        <v>Q1 2022</v>
      </c>
    </row>
    <row r="645" spans="1:12" ht="15.75" customHeight="1" x14ac:dyDescent="0.3">
      <c r="A645" s="2" t="s">
        <v>955</v>
      </c>
      <c r="B645" s="2" t="s">
        <v>11</v>
      </c>
      <c r="C645" s="2" t="s">
        <v>12</v>
      </c>
      <c r="D645" s="2" t="s">
        <v>13</v>
      </c>
      <c r="E645" s="2" t="s">
        <v>14</v>
      </c>
      <c r="F645" s="2" t="s">
        <v>46</v>
      </c>
      <c r="G645" s="4">
        <v>101400</v>
      </c>
      <c r="H645" s="5" t="s">
        <v>136</v>
      </c>
      <c r="I645" s="4">
        <v>0</v>
      </c>
      <c r="J645" s="6">
        <v>44598</v>
      </c>
      <c r="K645" t="str">
        <f t="shared" si="20"/>
        <v>Q1 2022</v>
      </c>
      <c r="L645" t="str">
        <f t="shared" si="21"/>
        <v>Q1 2022</v>
      </c>
    </row>
    <row r="646" spans="1:12" ht="15.75" customHeight="1" x14ac:dyDescent="0.3">
      <c r="A646" s="2" t="s">
        <v>956</v>
      </c>
      <c r="B646" s="2" t="s">
        <v>11</v>
      </c>
      <c r="C646" s="2" t="s">
        <v>12</v>
      </c>
      <c r="D646" s="2" t="s">
        <v>13</v>
      </c>
      <c r="E646" s="2" t="s">
        <v>14</v>
      </c>
      <c r="F646" s="2" t="s">
        <v>59</v>
      </c>
      <c r="G646" s="4">
        <v>67715</v>
      </c>
      <c r="H646" s="5" t="s">
        <v>192</v>
      </c>
      <c r="I646" s="4">
        <v>0</v>
      </c>
      <c r="J646" s="6">
        <v>44595</v>
      </c>
      <c r="K646" t="str">
        <f t="shared" si="20"/>
        <v>Q1 2022</v>
      </c>
      <c r="L646" t="str">
        <f t="shared" si="21"/>
        <v>Q1 2022</v>
      </c>
    </row>
    <row r="647" spans="1:12" ht="15.75" customHeight="1" x14ac:dyDescent="0.3">
      <c r="A647" s="2" t="s">
        <v>957</v>
      </c>
      <c r="B647" s="2" t="s">
        <v>11</v>
      </c>
      <c r="C647" s="2" t="s">
        <v>12</v>
      </c>
      <c r="D647" s="2" t="s">
        <v>13</v>
      </c>
      <c r="E647" s="2" t="s">
        <v>14</v>
      </c>
      <c r="F647" s="2" t="s">
        <v>27</v>
      </c>
      <c r="G647" s="4">
        <v>80523</v>
      </c>
      <c r="H647" s="5" t="s">
        <v>30</v>
      </c>
      <c r="I647" s="4">
        <v>0</v>
      </c>
      <c r="J647" s="6">
        <v>44603</v>
      </c>
      <c r="K647" t="str">
        <f t="shared" si="20"/>
        <v>Q1 2022</v>
      </c>
      <c r="L647" t="str">
        <f t="shared" si="21"/>
        <v>Q1 2022</v>
      </c>
    </row>
    <row r="648" spans="1:12" ht="15.75" customHeight="1" x14ac:dyDescent="0.3">
      <c r="A648" s="2" t="s">
        <v>958</v>
      </c>
      <c r="B648" s="2" t="s">
        <v>11</v>
      </c>
      <c r="C648" s="2" t="s">
        <v>12</v>
      </c>
      <c r="D648" s="2" t="s">
        <v>13</v>
      </c>
      <c r="E648" s="2" t="s">
        <v>14</v>
      </c>
      <c r="F648" s="2" t="s">
        <v>46</v>
      </c>
      <c r="G648" s="4">
        <v>67742</v>
      </c>
      <c r="H648" s="5" t="s">
        <v>760</v>
      </c>
      <c r="I648" s="4">
        <v>0</v>
      </c>
      <c r="J648" s="6">
        <v>44961</v>
      </c>
      <c r="K648" t="str">
        <f t="shared" si="20"/>
        <v>Q1 2023</v>
      </c>
      <c r="L648" t="str">
        <f t="shared" si="21"/>
        <v>Q1 2023</v>
      </c>
    </row>
    <row r="649" spans="1:12" ht="15.75" customHeight="1" x14ac:dyDescent="0.3">
      <c r="A649" s="2" t="s">
        <v>959</v>
      </c>
      <c r="B649" s="2" t="s">
        <v>11</v>
      </c>
      <c r="C649" s="2" t="s">
        <v>12</v>
      </c>
      <c r="D649" s="2" t="s">
        <v>13</v>
      </c>
      <c r="E649" s="2" t="s">
        <v>14</v>
      </c>
      <c r="F649" s="2" t="s">
        <v>567</v>
      </c>
      <c r="G649" s="4">
        <v>96217</v>
      </c>
      <c r="H649" s="5" t="s">
        <v>142</v>
      </c>
      <c r="I649" s="4">
        <v>0</v>
      </c>
      <c r="J649" s="6">
        <v>44597</v>
      </c>
      <c r="K649" t="str">
        <f t="shared" si="20"/>
        <v>Q1 2022</v>
      </c>
      <c r="L649" t="str">
        <f t="shared" si="21"/>
        <v>Q1 2022</v>
      </c>
    </row>
    <row r="650" spans="1:12" ht="15.75" customHeight="1" x14ac:dyDescent="0.3">
      <c r="A650" s="2" t="s">
        <v>960</v>
      </c>
      <c r="B650" s="2" t="s">
        <v>11</v>
      </c>
      <c r="C650" s="2" t="s">
        <v>12</v>
      </c>
      <c r="D650" s="2" t="s">
        <v>13</v>
      </c>
      <c r="E650" s="2" t="s">
        <v>14</v>
      </c>
      <c r="F650" s="2" t="s">
        <v>961</v>
      </c>
      <c r="G650" s="4">
        <v>90293</v>
      </c>
      <c r="H650" s="5" t="s">
        <v>39</v>
      </c>
      <c r="I650" s="4">
        <v>0</v>
      </c>
      <c r="J650" s="6">
        <v>44603</v>
      </c>
      <c r="K650" t="str">
        <f t="shared" si="20"/>
        <v>Q1 2022</v>
      </c>
      <c r="L650" t="str">
        <f t="shared" si="21"/>
        <v>Q1 2022</v>
      </c>
    </row>
    <row r="651" spans="1:12" ht="15.75" customHeight="1" x14ac:dyDescent="0.3">
      <c r="A651" s="2" t="s">
        <v>962</v>
      </c>
      <c r="B651" s="2" t="s">
        <v>11</v>
      </c>
      <c r="C651" s="2" t="s">
        <v>12</v>
      </c>
      <c r="D651" s="2" t="s">
        <v>13</v>
      </c>
      <c r="E651" s="2" t="s">
        <v>14</v>
      </c>
      <c r="F651" s="2" t="s">
        <v>227</v>
      </c>
      <c r="G651" s="4">
        <v>270429</v>
      </c>
      <c r="H651" s="6">
        <v>44596</v>
      </c>
      <c r="I651" s="4">
        <v>0</v>
      </c>
      <c r="J651" s="6">
        <v>44597</v>
      </c>
      <c r="K651" t="str">
        <f t="shared" si="20"/>
        <v>Q1 2022</v>
      </c>
      <c r="L651" t="str">
        <f t="shared" si="21"/>
        <v>Q1 2022</v>
      </c>
    </row>
    <row r="652" spans="1:12" ht="15.75" customHeight="1" x14ac:dyDescent="0.3">
      <c r="A652" s="2" t="s">
        <v>963</v>
      </c>
      <c r="B652" s="2" t="s">
        <v>11</v>
      </c>
      <c r="C652" s="2" t="s">
        <v>12</v>
      </c>
      <c r="D652" s="2" t="s">
        <v>13</v>
      </c>
      <c r="E652" s="2" t="s">
        <v>14</v>
      </c>
      <c r="F652" s="2" t="s">
        <v>15</v>
      </c>
      <c r="G652" s="4">
        <v>63020</v>
      </c>
      <c r="H652" s="5" t="s">
        <v>130</v>
      </c>
      <c r="I652" s="4">
        <v>0</v>
      </c>
      <c r="J652" s="6">
        <v>44601</v>
      </c>
      <c r="K652" t="str">
        <f t="shared" si="20"/>
        <v>Q1 2022</v>
      </c>
      <c r="L652" t="str">
        <f t="shared" si="21"/>
        <v>Q1 2022</v>
      </c>
    </row>
    <row r="653" spans="1:12" ht="15.75" customHeight="1" x14ac:dyDescent="0.3">
      <c r="A653" s="2" t="s">
        <v>964</v>
      </c>
      <c r="B653" s="2" t="s">
        <v>11</v>
      </c>
      <c r="C653" s="2" t="s">
        <v>12</v>
      </c>
      <c r="D653" s="2" t="s">
        <v>13</v>
      </c>
      <c r="E653" s="2" t="s">
        <v>14</v>
      </c>
      <c r="F653" s="2" t="s">
        <v>46</v>
      </c>
      <c r="G653" s="4">
        <v>71125</v>
      </c>
      <c r="H653" s="6">
        <v>44598</v>
      </c>
      <c r="I653" s="4">
        <v>0</v>
      </c>
      <c r="J653" s="6">
        <v>44599</v>
      </c>
      <c r="K653" t="str">
        <f t="shared" si="20"/>
        <v>Q1 2022</v>
      </c>
      <c r="L653" t="str">
        <f t="shared" si="21"/>
        <v>Q1 2022</v>
      </c>
    </row>
    <row r="654" spans="1:12" ht="15.75" customHeight="1" x14ac:dyDescent="0.3">
      <c r="A654" s="2" t="s">
        <v>965</v>
      </c>
      <c r="B654" s="2" t="s">
        <v>11</v>
      </c>
      <c r="C654" s="2" t="s">
        <v>12</v>
      </c>
      <c r="D654" s="2" t="s">
        <v>13</v>
      </c>
      <c r="E654" s="2" t="s">
        <v>14</v>
      </c>
      <c r="F654" s="2" t="s">
        <v>27</v>
      </c>
      <c r="G654" s="4">
        <v>48820</v>
      </c>
      <c r="H654" s="6">
        <v>44663</v>
      </c>
      <c r="I654" s="4">
        <v>0</v>
      </c>
      <c r="J654" s="6">
        <v>44959</v>
      </c>
      <c r="K654" t="str">
        <f t="shared" si="20"/>
        <v>Q1 2023</v>
      </c>
      <c r="L654" t="str">
        <f t="shared" si="21"/>
        <v>Q1 2023</v>
      </c>
    </row>
    <row r="655" spans="1:12" ht="15.75" customHeight="1" x14ac:dyDescent="0.3">
      <c r="A655" s="2" t="s">
        <v>966</v>
      </c>
      <c r="B655" s="2" t="s">
        <v>11</v>
      </c>
      <c r="C655" s="2" t="s">
        <v>12</v>
      </c>
      <c r="D655" s="2" t="s">
        <v>13</v>
      </c>
      <c r="E655" s="2" t="s">
        <v>14</v>
      </c>
      <c r="F655" s="2" t="s">
        <v>350</v>
      </c>
      <c r="G655" s="4">
        <v>118761</v>
      </c>
      <c r="H655" s="5" t="s">
        <v>30</v>
      </c>
      <c r="I655" s="4">
        <v>0</v>
      </c>
      <c r="J655" s="6">
        <v>44603</v>
      </c>
      <c r="K655" t="str">
        <f t="shared" si="20"/>
        <v>Q1 2022</v>
      </c>
      <c r="L655" t="str">
        <f t="shared" si="21"/>
        <v>Q1 2022</v>
      </c>
    </row>
    <row r="656" spans="1:12" ht="15.75" customHeight="1" x14ac:dyDescent="0.3">
      <c r="A656" s="2" t="s">
        <v>967</v>
      </c>
      <c r="B656" s="2" t="s">
        <v>11</v>
      </c>
      <c r="C656" s="2" t="s">
        <v>12</v>
      </c>
      <c r="D656" s="2" t="s">
        <v>13</v>
      </c>
      <c r="E656" s="2" t="s">
        <v>14</v>
      </c>
      <c r="F656" s="2" t="s">
        <v>46</v>
      </c>
      <c r="G656" s="4">
        <v>74208</v>
      </c>
      <c r="H656" s="5" t="s">
        <v>30</v>
      </c>
      <c r="I656" s="4">
        <v>0</v>
      </c>
      <c r="J656" s="6">
        <v>44603</v>
      </c>
      <c r="K656" t="str">
        <f t="shared" si="20"/>
        <v>Q1 2022</v>
      </c>
      <c r="L656" t="str">
        <f t="shared" si="21"/>
        <v>Q1 2022</v>
      </c>
    </row>
    <row r="657" spans="1:12" ht="15.75" customHeight="1" x14ac:dyDescent="0.3">
      <c r="A657" s="2" t="s">
        <v>968</v>
      </c>
      <c r="B657" s="2" t="s">
        <v>11</v>
      </c>
      <c r="C657" s="2" t="s">
        <v>12</v>
      </c>
      <c r="D657" s="2" t="s">
        <v>13</v>
      </c>
      <c r="E657" s="2" t="s">
        <v>14</v>
      </c>
      <c r="F657" s="2" t="s">
        <v>46</v>
      </c>
      <c r="G657" s="4">
        <v>62337</v>
      </c>
      <c r="H657" s="6">
        <v>44630</v>
      </c>
      <c r="I657" s="4">
        <v>0</v>
      </c>
      <c r="J657" s="6">
        <v>44603</v>
      </c>
      <c r="K657" t="str">
        <f t="shared" si="20"/>
        <v>Q1 2022</v>
      </c>
      <c r="L657" t="str">
        <f t="shared" si="21"/>
        <v>Q1 2022</v>
      </c>
    </row>
    <row r="658" spans="1:12" ht="15.75" customHeight="1" x14ac:dyDescent="0.3">
      <c r="A658" s="2" t="s">
        <v>969</v>
      </c>
      <c r="B658" s="2" t="s">
        <v>11</v>
      </c>
      <c r="C658" s="2" t="s">
        <v>12</v>
      </c>
      <c r="D658" s="2" t="s">
        <v>13</v>
      </c>
      <c r="E658" s="2" t="s">
        <v>14</v>
      </c>
      <c r="F658" s="2" t="s">
        <v>675</v>
      </c>
      <c r="G658" s="4">
        <v>106208</v>
      </c>
      <c r="H658" s="5" t="s">
        <v>212</v>
      </c>
      <c r="I658" s="4">
        <v>0</v>
      </c>
      <c r="J658" s="6">
        <v>44597</v>
      </c>
      <c r="K658" t="str">
        <f t="shared" si="20"/>
        <v>Q1 2022</v>
      </c>
      <c r="L658" t="str">
        <f t="shared" si="21"/>
        <v>Q1 2022</v>
      </c>
    </row>
    <row r="659" spans="1:12" ht="15.75" customHeight="1" x14ac:dyDescent="0.3">
      <c r="A659" s="2" t="s">
        <v>970</v>
      </c>
      <c r="B659" s="2" t="s">
        <v>20</v>
      </c>
      <c r="C659" s="2" t="s">
        <v>21</v>
      </c>
      <c r="D659" s="2" t="s">
        <v>13</v>
      </c>
      <c r="E659" s="2" t="s">
        <v>14</v>
      </c>
      <c r="F659" s="2" t="s">
        <v>27</v>
      </c>
      <c r="G659" s="4">
        <v>122068</v>
      </c>
      <c r="H659" s="6">
        <v>44686</v>
      </c>
      <c r="I659" s="4">
        <v>20345</v>
      </c>
      <c r="J659" s="5" t="s">
        <v>265</v>
      </c>
      <c r="K659" t="str">
        <f t="shared" si="20"/>
        <v>Q3 2022</v>
      </c>
      <c r="L659" t="str">
        <f t="shared" si="21"/>
        <v>Q3 2022</v>
      </c>
    </row>
    <row r="660" spans="1:12" ht="15.75" customHeight="1" x14ac:dyDescent="0.3">
      <c r="A660" s="2" t="s">
        <v>971</v>
      </c>
      <c r="B660" s="2" t="s">
        <v>11</v>
      </c>
      <c r="C660" s="2" t="s">
        <v>12</v>
      </c>
      <c r="D660" s="2" t="s">
        <v>13</v>
      </c>
      <c r="E660" s="2" t="s">
        <v>14</v>
      </c>
      <c r="F660" s="2" t="s">
        <v>46</v>
      </c>
      <c r="G660" s="4">
        <v>112085</v>
      </c>
      <c r="H660" s="5" t="s">
        <v>142</v>
      </c>
      <c r="I660" s="4">
        <v>0</v>
      </c>
      <c r="J660" s="6">
        <v>44596</v>
      </c>
      <c r="K660" t="str">
        <f t="shared" si="20"/>
        <v>Q1 2022</v>
      </c>
      <c r="L660" t="str">
        <f t="shared" si="21"/>
        <v>Q1 2022</v>
      </c>
    </row>
    <row r="661" spans="1:12" ht="15.75" customHeight="1" x14ac:dyDescent="0.3">
      <c r="A661" s="2" t="s">
        <v>972</v>
      </c>
      <c r="B661" s="2" t="s">
        <v>11</v>
      </c>
      <c r="C661" s="2" t="s">
        <v>12</v>
      </c>
      <c r="D661" s="2" t="s">
        <v>13</v>
      </c>
      <c r="E661" s="2" t="s">
        <v>14</v>
      </c>
      <c r="F661" s="2" t="s">
        <v>27</v>
      </c>
      <c r="G661" s="4">
        <v>189857</v>
      </c>
      <c r="H661" s="5" t="s">
        <v>30</v>
      </c>
      <c r="I661" s="4">
        <v>0</v>
      </c>
      <c r="J661" s="6">
        <v>44603</v>
      </c>
      <c r="K661" t="str">
        <f t="shared" si="20"/>
        <v>Q1 2022</v>
      </c>
      <c r="L661" t="str">
        <f t="shared" si="21"/>
        <v>Q1 2022</v>
      </c>
    </row>
    <row r="662" spans="1:12" ht="15.75" customHeight="1" x14ac:dyDescent="0.3">
      <c r="A662" s="2" t="s">
        <v>973</v>
      </c>
      <c r="B662" s="2" t="s">
        <v>11</v>
      </c>
      <c r="C662" s="2" t="s">
        <v>12</v>
      </c>
      <c r="D662" s="2" t="s">
        <v>13</v>
      </c>
      <c r="E662" s="2" t="s">
        <v>14</v>
      </c>
      <c r="F662" s="2" t="s">
        <v>567</v>
      </c>
      <c r="G662" s="4">
        <v>120677</v>
      </c>
      <c r="H662" s="5" t="s">
        <v>25</v>
      </c>
      <c r="I662" s="4">
        <v>0</v>
      </c>
      <c r="J662" s="6">
        <v>44603</v>
      </c>
      <c r="K662" t="str">
        <f t="shared" si="20"/>
        <v>Q1 2022</v>
      </c>
      <c r="L662" t="str">
        <f t="shared" si="21"/>
        <v>Q1 2022</v>
      </c>
    </row>
    <row r="663" spans="1:12" ht="15.75" customHeight="1" x14ac:dyDescent="0.3">
      <c r="A663" s="2" t="s">
        <v>974</v>
      </c>
      <c r="B663" s="2" t="s">
        <v>11</v>
      </c>
      <c r="C663" s="2" t="s">
        <v>12</v>
      </c>
      <c r="D663" s="2" t="s">
        <v>13</v>
      </c>
      <c r="E663" s="2" t="s">
        <v>14</v>
      </c>
      <c r="F663" s="2" t="s">
        <v>46</v>
      </c>
      <c r="G663" s="4">
        <v>235793</v>
      </c>
      <c r="H663" s="5" t="s">
        <v>39</v>
      </c>
      <c r="I663" s="4">
        <v>0</v>
      </c>
      <c r="J663" s="6">
        <v>44603</v>
      </c>
      <c r="K663" t="str">
        <f t="shared" si="20"/>
        <v>Q1 2022</v>
      </c>
      <c r="L663" t="str">
        <f t="shared" si="21"/>
        <v>Q1 2022</v>
      </c>
    </row>
    <row r="664" spans="1:12" ht="15.75" customHeight="1" x14ac:dyDescent="0.3">
      <c r="A664" s="2" t="s">
        <v>975</v>
      </c>
      <c r="B664" s="2" t="s">
        <v>11</v>
      </c>
      <c r="C664" s="2" t="s">
        <v>12</v>
      </c>
      <c r="D664" s="2" t="s">
        <v>13</v>
      </c>
      <c r="E664" s="2" t="s">
        <v>14</v>
      </c>
      <c r="F664" s="2" t="s">
        <v>46</v>
      </c>
      <c r="G664" s="4">
        <v>87037</v>
      </c>
      <c r="H664" s="5" t="s">
        <v>142</v>
      </c>
      <c r="I664" s="4">
        <v>0</v>
      </c>
      <c r="J664" s="6">
        <v>44597</v>
      </c>
      <c r="K664" t="str">
        <f t="shared" si="20"/>
        <v>Q1 2022</v>
      </c>
      <c r="L664" t="str">
        <f t="shared" si="21"/>
        <v>Q1 2022</v>
      </c>
    </row>
    <row r="665" spans="1:12" ht="15.75" customHeight="1" x14ac:dyDescent="0.3">
      <c r="A665" s="2" t="s">
        <v>976</v>
      </c>
      <c r="B665" s="2" t="s">
        <v>11</v>
      </c>
      <c r="C665" s="2" t="s">
        <v>12</v>
      </c>
      <c r="D665" s="2" t="s">
        <v>13</v>
      </c>
      <c r="E665" s="2" t="s">
        <v>14</v>
      </c>
      <c r="F665" s="2" t="s">
        <v>46</v>
      </c>
      <c r="G665" s="4">
        <v>138786</v>
      </c>
      <c r="H665" s="6">
        <v>44629</v>
      </c>
      <c r="I665" s="4">
        <v>0</v>
      </c>
      <c r="J665" s="6">
        <v>44603</v>
      </c>
      <c r="K665" t="str">
        <f t="shared" si="20"/>
        <v>Q1 2022</v>
      </c>
      <c r="L665" t="str">
        <f t="shared" si="21"/>
        <v>Q1 2022</v>
      </c>
    </row>
    <row r="666" spans="1:12" ht="15.75" customHeight="1" x14ac:dyDescent="0.3">
      <c r="A666" s="2" t="s">
        <v>977</v>
      </c>
      <c r="B666" s="2" t="s">
        <v>11</v>
      </c>
      <c r="C666" s="2" t="s">
        <v>12</v>
      </c>
      <c r="D666" s="2" t="s">
        <v>13</v>
      </c>
      <c r="E666" s="2" t="s">
        <v>14</v>
      </c>
      <c r="F666" s="2" t="s">
        <v>46</v>
      </c>
      <c r="G666" s="4">
        <v>115160</v>
      </c>
      <c r="H666" s="5" t="s">
        <v>25</v>
      </c>
      <c r="I666" s="4">
        <v>0</v>
      </c>
      <c r="J666" s="6">
        <v>44603</v>
      </c>
      <c r="K666" t="str">
        <f t="shared" si="20"/>
        <v>Q1 2022</v>
      </c>
      <c r="L666" t="str">
        <f t="shared" si="21"/>
        <v>Q1 2022</v>
      </c>
    </row>
    <row r="667" spans="1:12" ht="15.75" customHeight="1" x14ac:dyDescent="0.3">
      <c r="A667" s="2" t="s">
        <v>978</v>
      </c>
      <c r="B667" s="2" t="s">
        <v>11</v>
      </c>
      <c r="C667" s="2" t="s">
        <v>12</v>
      </c>
      <c r="D667" s="2" t="s">
        <v>13</v>
      </c>
      <c r="E667" s="2" t="s">
        <v>979</v>
      </c>
      <c r="F667" s="2" t="s">
        <v>980</v>
      </c>
      <c r="G667" s="4">
        <v>169608</v>
      </c>
      <c r="H667" s="5" t="s">
        <v>136</v>
      </c>
      <c r="I667" s="4">
        <v>0</v>
      </c>
      <c r="J667" s="6">
        <v>44625</v>
      </c>
      <c r="K667" t="str">
        <f t="shared" si="20"/>
        <v>Q1 2022</v>
      </c>
      <c r="L667" t="str">
        <f t="shared" si="21"/>
        <v>Q1 2022</v>
      </c>
    </row>
    <row r="668" spans="1:12" ht="15.75" customHeight="1" x14ac:dyDescent="0.3">
      <c r="A668" s="2" t="s">
        <v>981</v>
      </c>
      <c r="B668" s="2" t="s">
        <v>11</v>
      </c>
      <c r="C668" s="2" t="s">
        <v>12</v>
      </c>
      <c r="D668" s="2" t="s">
        <v>13</v>
      </c>
      <c r="E668" s="2" t="s">
        <v>14</v>
      </c>
      <c r="F668" s="2" t="s">
        <v>982</v>
      </c>
      <c r="G668" s="4">
        <v>189835</v>
      </c>
      <c r="H668" s="6">
        <v>44867</v>
      </c>
      <c r="I668" s="4">
        <v>0</v>
      </c>
      <c r="J668" s="6">
        <v>44596</v>
      </c>
      <c r="K668" t="str">
        <f t="shared" si="20"/>
        <v>Q1 2022</v>
      </c>
      <c r="L668" t="str">
        <f t="shared" si="21"/>
        <v>Q1 2022</v>
      </c>
    </row>
    <row r="669" spans="1:12" ht="15.75" customHeight="1" x14ac:dyDescent="0.3">
      <c r="A669" s="2" t="s">
        <v>983</v>
      </c>
      <c r="B669" s="2" t="s">
        <v>11</v>
      </c>
      <c r="C669" s="2" t="s">
        <v>12</v>
      </c>
      <c r="D669" s="2" t="s">
        <v>13</v>
      </c>
      <c r="E669" s="2" t="s">
        <v>14</v>
      </c>
      <c r="F669" s="2" t="s">
        <v>46</v>
      </c>
      <c r="G669" s="4">
        <v>219470</v>
      </c>
      <c r="H669" s="5" t="s">
        <v>232</v>
      </c>
      <c r="I669" s="4">
        <v>0</v>
      </c>
      <c r="J669" s="6">
        <v>44594</v>
      </c>
      <c r="K669" t="str">
        <f t="shared" si="20"/>
        <v>Q1 2022</v>
      </c>
      <c r="L669" t="str">
        <f t="shared" si="21"/>
        <v>Q1 2022</v>
      </c>
    </row>
    <row r="670" spans="1:12" ht="15.75" customHeight="1" x14ac:dyDescent="0.3">
      <c r="A670" s="2" t="s">
        <v>984</v>
      </c>
      <c r="B670" s="2" t="s">
        <v>11</v>
      </c>
      <c r="C670" s="2" t="s">
        <v>12</v>
      </c>
      <c r="D670" s="2" t="s">
        <v>13</v>
      </c>
      <c r="E670" s="2" t="s">
        <v>22</v>
      </c>
      <c r="F670" s="2" t="s">
        <v>594</v>
      </c>
      <c r="G670" s="4">
        <v>134196</v>
      </c>
      <c r="H670" s="5" t="s">
        <v>71</v>
      </c>
      <c r="I670" s="4">
        <v>0</v>
      </c>
      <c r="J670" s="6">
        <v>44603</v>
      </c>
      <c r="K670" t="str">
        <f t="shared" si="20"/>
        <v>Q1 2022</v>
      </c>
      <c r="L670" t="str">
        <f t="shared" si="21"/>
        <v>Q1 2022</v>
      </c>
    </row>
    <row r="671" spans="1:12" ht="15.75" customHeight="1" x14ac:dyDescent="0.3">
      <c r="A671" s="2" t="s">
        <v>985</v>
      </c>
      <c r="B671" s="2" t="s">
        <v>11</v>
      </c>
      <c r="C671" s="2" t="s">
        <v>12</v>
      </c>
      <c r="D671" s="2" t="s">
        <v>13</v>
      </c>
      <c r="E671" s="2" t="s">
        <v>14</v>
      </c>
      <c r="F671" s="2" t="s">
        <v>224</v>
      </c>
      <c r="G671" s="4">
        <v>132539</v>
      </c>
      <c r="H671" s="5" t="s">
        <v>30</v>
      </c>
      <c r="I671" s="4">
        <v>0</v>
      </c>
      <c r="J671" s="6">
        <v>44603</v>
      </c>
      <c r="K671" t="str">
        <f t="shared" si="20"/>
        <v>Q1 2022</v>
      </c>
      <c r="L671" t="str">
        <f t="shared" si="21"/>
        <v>Q1 2022</v>
      </c>
    </row>
    <row r="672" spans="1:12" ht="15.75" customHeight="1" x14ac:dyDescent="0.3">
      <c r="A672" s="2" t="s">
        <v>986</v>
      </c>
      <c r="B672" s="2" t="s">
        <v>11</v>
      </c>
      <c r="C672" s="2" t="s">
        <v>12</v>
      </c>
      <c r="D672" s="2" t="s">
        <v>13</v>
      </c>
      <c r="E672" s="2" t="s">
        <v>14</v>
      </c>
      <c r="F672" s="2" t="s">
        <v>27</v>
      </c>
      <c r="G672" s="4">
        <v>108925</v>
      </c>
      <c r="H672" s="5" t="s">
        <v>71</v>
      </c>
      <c r="I672" s="4">
        <v>0</v>
      </c>
      <c r="J672" s="6">
        <v>44603</v>
      </c>
      <c r="K672" t="str">
        <f t="shared" si="20"/>
        <v>Q1 2022</v>
      </c>
      <c r="L672" t="str">
        <f t="shared" si="21"/>
        <v>Q1 2022</v>
      </c>
    </row>
    <row r="673" spans="1:12" ht="15.75" customHeight="1" x14ac:dyDescent="0.3">
      <c r="A673" s="2" t="s">
        <v>987</v>
      </c>
      <c r="B673" s="2" t="s">
        <v>11</v>
      </c>
      <c r="C673" s="2" t="s">
        <v>12</v>
      </c>
      <c r="D673" s="2" t="s">
        <v>13</v>
      </c>
      <c r="E673" s="2" t="s">
        <v>14</v>
      </c>
      <c r="F673" s="2" t="s">
        <v>988</v>
      </c>
      <c r="G673" s="4">
        <v>142085</v>
      </c>
      <c r="H673" s="5" t="s">
        <v>30</v>
      </c>
      <c r="I673" s="4">
        <v>0</v>
      </c>
      <c r="J673" s="6">
        <v>44603</v>
      </c>
      <c r="K673" t="str">
        <f t="shared" si="20"/>
        <v>Q1 2022</v>
      </c>
      <c r="L673" t="str">
        <f t="shared" si="21"/>
        <v>Q1 2022</v>
      </c>
    </row>
    <row r="674" spans="1:12" ht="15.75" customHeight="1" x14ac:dyDescent="0.3">
      <c r="A674" s="2" t="s">
        <v>989</v>
      </c>
      <c r="B674" s="2" t="s">
        <v>11</v>
      </c>
      <c r="C674" s="2" t="s">
        <v>12</v>
      </c>
      <c r="D674" s="2" t="s">
        <v>13</v>
      </c>
      <c r="E674" s="2" t="s">
        <v>14</v>
      </c>
      <c r="F674" s="2" t="s">
        <v>46</v>
      </c>
      <c r="G674" s="4">
        <v>115580</v>
      </c>
      <c r="H674" s="5" t="s">
        <v>123</v>
      </c>
      <c r="I674" s="4">
        <v>0</v>
      </c>
      <c r="J674" s="6">
        <v>44594</v>
      </c>
      <c r="K674" t="str">
        <f t="shared" si="20"/>
        <v>Q1 2022</v>
      </c>
      <c r="L674" t="str">
        <f t="shared" si="21"/>
        <v>Q1 2022</v>
      </c>
    </row>
    <row r="675" spans="1:12" ht="15.75" customHeight="1" x14ac:dyDescent="0.3">
      <c r="A675" s="2" t="s">
        <v>990</v>
      </c>
      <c r="B675" s="2" t="s">
        <v>11</v>
      </c>
      <c r="C675" s="2" t="s">
        <v>12</v>
      </c>
      <c r="D675" s="2" t="s">
        <v>13</v>
      </c>
      <c r="E675" s="2" t="s">
        <v>22</v>
      </c>
      <c r="F675" s="2" t="s">
        <v>46</v>
      </c>
      <c r="G675" s="4">
        <v>32000</v>
      </c>
      <c r="H675" s="5" t="s">
        <v>25</v>
      </c>
      <c r="I675" s="4">
        <v>0</v>
      </c>
      <c r="J675" s="6">
        <v>44603</v>
      </c>
      <c r="K675" t="str">
        <f t="shared" si="20"/>
        <v>Q1 2022</v>
      </c>
      <c r="L675" t="str">
        <f t="shared" si="21"/>
        <v>Q1 2022</v>
      </c>
    </row>
    <row r="676" spans="1:12" ht="15.75" customHeight="1" x14ac:dyDescent="0.3">
      <c r="A676" s="2" t="s">
        <v>991</v>
      </c>
      <c r="B676" s="2" t="s">
        <v>11</v>
      </c>
      <c r="C676" s="2" t="s">
        <v>12</v>
      </c>
      <c r="D676" s="2" t="s">
        <v>13</v>
      </c>
      <c r="E676" s="2" t="s">
        <v>14</v>
      </c>
      <c r="F676" s="2" t="s">
        <v>15</v>
      </c>
      <c r="G676" s="4">
        <v>74045</v>
      </c>
      <c r="H676" s="5" t="s">
        <v>71</v>
      </c>
      <c r="I676" s="4">
        <v>0</v>
      </c>
      <c r="J676" s="6">
        <v>44603</v>
      </c>
      <c r="K676" t="str">
        <f t="shared" si="20"/>
        <v>Q1 2022</v>
      </c>
      <c r="L676" t="str">
        <f t="shared" si="21"/>
        <v>Q1 2022</v>
      </c>
    </row>
    <row r="677" spans="1:12" ht="15.75" customHeight="1" x14ac:dyDescent="0.3">
      <c r="A677" s="2" t="s">
        <v>992</v>
      </c>
      <c r="B677" s="2" t="s">
        <v>11</v>
      </c>
      <c r="C677" s="2" t="s">
        <v>12</v>
      </c>
      <c r="D677" s="2" t="s">
        <v>13</v>
      </c>
      <c r="E677" s="2" t="s">
        <v>14</v>
      </c>
      <c r="F677" s="2" t="s">
        <v>15</v>
      </c>
      <c r="G677" s="4">
        <v>104988</v>
      </c>
      <c r="H677" s="5" t="s">
        <v>309</v>
      </c>
      <c r="I677" s="4">
        <v>0</v>
      </c>
      <c r="J677" s="6">
        <v>44594</v>
      </c>
      <c r="K677" t="str">
        <f t="shared" si="20"/>
        <v>Q1 2022</v>
      </c>
      <c r="L677" t="str">
        <f t="shared" si="21"/>
        <v>Q1 2022</v>
      </c>
    </row>
    <row r="678" spans="1:12" ht="15.75" customHeight="1" x14ac:dyDescent="0.3">
      <c r="A678" s="2" t="s">
        <v>993</v>
      </c>
      <c r="B678" s="2" t="s">
        <v>11</v>
      </c>
      <c r="C678" s="2" t="s">
        <v>12</v>
      </c>
      <c r="D678" s="2" t="s">
        <v>13</v>
      </c>
      <c r="E678" s="2" t="s">
        <v>14</v>
      </c>
      <c r="F678" s="2" t="s">
        <v>15</v>
      </c>
      <c r="G678" s="4">
        <v>235733</v>
      </c>
      <c r="H678" s="5" t="s">
        <v>333</v>
      </c>
      <c r="I678" s="4">
        <v>0</v>
      </c>
      <c r="J678" s="6">
        <v>44598</v>
      </c>
      <c r="K678" t="str">
        <f t="shared" si="20"/>
        <v>Q1 2022</v>
      </c>
      <c r="L678" t="str">
        <f t="shared" si="21"/>
        <v>Q1 2022</v>
      </c>
    </row>
    <row r="679" spans="1:12" ht="15.75" customHeight="1" x14ac:dyDescent="0.3">
      <c r="A679" s="2" t="s">
        <v>994</v>
      </c>
      <c r="B679" s="2" t="s">
        <v>11</v>
      </c>
      <c r="C679" s="2" t="s">
        <v>12</v>
      </c>
      <c r="D679" s="2" t="s">
        <v>13</v>
      </c>
      <c r="E679" s="2" t="s">
        <v>14</v>
      </c>
      <c r="F679" s="2" t="s">
        <v>27</v>
      </c>
      <c r="G679" s="4">
        <v>204921</v>
      </c>
      <c r="H679" s="6">
        <v>44536</v>
      </c>
      <c r="I679" s="4">
        <v>0</v>
      </c>
      <c r="J679" s="6">
        <v>44204</v>
      </c>
      <c r="K679" t="str">
        <f t="shared" si="20"/>
        <v>Q1 2021</v>
      </c>
      <c r="L679" t="str">
        <f t="shared" si="21"/>
        <v>Q1 2021</v>
      </c>
    </row>
    <row r="680" spans="1:12" ht="15.75" customHeight="1" x14ac:dyDescent="0.3">
      <c r="A680" s="2" t="s">
        <v>995</v>
      </c>
      <c r="B680" s="2" t="s">
        <v>11</v>
      </c>
      <c r="C680" s="2" t="s">
        <v>12</v>
      </c>
      <c r="D680" s="2" t="s">
        <v>13</v>
      </c>
      <c r="E680" s="2" t="s">
        <v>14</v>
      </c>
      <c r="F680" s="2" t="s">
        <v>27</v>
      </c>
      <c r="G680" s="4">
        <v>88858</v>
      </c>
      <c r="H680" s="6">
        <v>44625</v>
      </c>
      <c r="I680" s="4">
        <v>0</v>
      </c>
      <c r="J680" s="6">
        <v>44598</v>
      </c>
      <c r="K680" t="str">
        <f t="shared" si="20"/>
        <v>Q1 2022</v>
      </c>
      <c r="L680" t="str">
        <f t="shared" si="21"/>
        <v>Q1 2022</v>
      </c>
    </row>
    <row r="681" spans="1:12" ht="15.75" customHeight="1" x14ac:dyDescent="0.3">
      <c r="A681" s="2" t="s">
        <v>996</v>
      </c>
      <c r="B681" s="2" t="s">
        <v>11</v>
      </c>
      <c r="C681" s="2" t="s">
        <v>12</v>
      </c>
      <c r="D681" s="2" t="s">
        <v>13</v>
      </c>
      <c r="E681" s="2" t="s">
        <v>14</v>
      </c>
      <c r="F681" s="2" t="s">
        <v>27</v>
      </c>
      <c r="G681" s="4">
        <v>108983</v>
      </c>
      <c r="H681" s="5" t="s">
        <v>30</v>
      </c>
      <c r="I681" s="4">
        <v>0</v>
      </c>
      <c r="J681" s="6">
        <v>44603</v>
      </c>
      <c r="K681" t="str">
        <f t="shared" si="20"/>
        <v>Q1 2022</v>
      </c>
      <c r="L681" t="str">
        <f t="shared" si="21"/>
        <v>Q1 2022</v>
      </c>
    </row>
    <row r="682" spans="1:12" ht="15.75" customHeight="1" x14ac:dyDescent="0.3">
      <c r="A682" s="2" t="s">
        <v>997</v>
      </c>
      <c r="B682" s="2" t="s">
        <v>11</v>
      </c>
      <c r="C682" s="2" t="s">
        <v>12</v>
      </c>
      <c r="D682" s="2" t="s">
        <v>13</v>
      </c>
      <c r="E682" s="2" t="s">
        <v>14</v>
      </c>
      <c r="F682" s="2" t="s">
        <v>46</v>
      </c>
      <c r="G682" s="4">
        <v>75881</v>
      </c>
      <c r="H682" s="6">
        <v>44630</v>
      </c>
      <c r="I682" s="4">
        <v>0</v>
      </c>
      <c r="J682" s="6">
        <v>44603</v>
      </c>
      <c r="K682" t="str">
        <f t="shared" si="20"/>
        <v>Q1 2022</v>
      </c>
      <c r="L682" t="str">
        <f t="shared" si="21"/>
        <v>Q1 2022</v>
      </c>
    </row>
    <row r="683" spans="1:12" ht="15.75" customHeight="1" x14ac:dyDescent="0.3">
      <c r="A683" s="2" t="s">
        <v>998</v>
      </c>
      <c r="B683" s="2" t="s">
        <v>11</v>
      </c>
      <c r="C683" s="2" t="s">
        <v>12</v>
      </c>
      <c r="D683" s="2" t="s">
        <v>13</v>
      </c>
      <c r="E683" s="2" t="s">
        <v>14</v>
      </c>
      <c r="F683" s="2" t="s">
        <v>27</v>
      </c>
      <c r="G683" s="4">
        <v>120013</v>
      </c>
      <c r="H683" s="5" t="s">
        <v>142</v>
      </c>
      <c r="I683" s="4">
        <v>0</v>
      </c>
      <c r="J683" s="6">
        <v>44597</v>
      </c>
      <c r="K683" t="str">
        <f t="shared" si="20"/>
        <v>Q1 2022</v>
      </c>
      <c r="L683" t="str">
        <f t="shared" si="21"/>
        <v>Q1 2022</v>
      </c>
    </row>
    <row r="684" spans="1:12" ht="15.75" customHeight="1" x14ac:dyDescent="0.3">
      <c r="A684" s="2" t="s">
        <v>999</v>
      </c>
      <c r="B684" s="2" t="s">
        <v>11</v>
      </c>
      <c r="C684" s="2" t="s">
        <v>12</v>
      </c>
      <c r="D684" s="2" t="s">
        <v>13</v>
      </c>
      <c r="E684" s="2" t="s">
        <v>14</v>
      </c>
      <c r="F684" s="2" t="s">
        <v>46</v>
      </c>
      <c r="G684" s="4">
        <v>124126</v>
      </c>
      <c r="H684" s="6">
        <v>44630</v>
      </c>
      <c r="I684" s="4">
        <v>0</v>
      </c>
      <c r="J684" s="6">
        <v>44603</v>
      </c>
      <c r="K684" t="str">
        <f t="shared" si="20"/>
        <v>Q1 2022</v>
      </c>
      <c r="L684" t="str">
        <f t="shared" si="21"/>
        <v>Q1 2022</v>
      </c>
    </row>
    <row r="685" spans="1:12" ht="15.75" customHeight="1" x14ac:dyDescent="0.3">
      <c r="A685" s="2" t="s">
        <v>1000</v>
      </c>
      <c r="B685" s="2" t="s">
        <v>11</v>
      </c>
      <c r="C685" s="2" t="s">
        <v>12</v>
      </c>
      <c r="D685" s="2" t="s">
        <v>13</v>
      </c>
      <c r="E685" s="2" t="s">
        <v>14</v>
      </c>
      <c r="F685" s="2" t="s">
        <v>46</v>
      </c>
      <c r="G685" s="4">
        <v>138692</v>
      </c>
      <c r="H685" s="6">
        <v>44563</v>
      </c>
      <c r="I685" s="4">
        <v>0</v>
      </c>
      <c r="J685" s="6">
        <v>44596</v>
      </c>
      <c r="K685" t="str">
        <f t="shared" si="20"/>
        <v>Q1 2022</v>
      </c>
      <c r="L685" t="str">
        <f t="shared" si="21"/>
        <v>Q1 2022</v>
      </c>
    </row>
    <row r="686" spans="1:12" ht="15.75" customHeight="1" x14ac:dyDescent="0.3">
      <c r="A686" s="2" t="s">
        <v>1001</v>
      </c>
      <c r="B686" s="2" t="s">
        <v>20</v>
      </c>
      <c r="C686" s="2" t="s">
        <v>21</v>
      </c>
      <c r="D686" s="2" t="s">
        <v>13</v>
      </c>
      <c r="E686" s="2" t="s">
        <v>14</v>
      </c>
      <c r="F686" s="2" t="s">
        <v>85</v>
      </c>
      <c r="G686" s="4">
        <v>147362</v>
      </c>
      <c r="H686" s="5" t="s">
        <v>65</v>
      </c>
      <c r="I686" s="4">
        <v>73681</v>
      </c>
      <c r="J686" s="6">
        <v>44784</v>
      </c>
      <c r="K686" t="str">
        <f t="shared" si="20"/>
        <v>Q3 2022</v>
      </c>
      <c r="L686" t="str">
        <f t="shared" si="21"/>
        <v>Q3 2022</v>
      </c>
    </row>
    <row r="687" spans="1:12" ht="15.75" customHeight="1" x14ac:dyDescent="0.3">
      <c r="A687" s="2" t="s">
        <v>1002</v>
      </c>
      <c r="B687" s="2" t="s">
        <v>11</v>
      </c>
      <c r="C687" s="2" t="s">
        <v>12</v>
      </c>
      <c r="D687" s="2" t="s">
        <v>13</v>
      </c>
      <c r="E687" s="2" t="s">
        <v>14</v>
      </c>
      <c r="F687" s="2" t="s">
        <v>46</v>
      </c>
      <c r="G687" s="4">
        <v>106526</v>
      </c>
      <c r="H687" s="6">
        <v>44630</v>
      </c>
      <c r="I687" s="4">
        <v>0</v>
      </c>
      <c r="J687" s="6">
        <v>44603</v>
      </c>
      <c r="K687" t="str">
        <f t="shared" si="20"/>
        <v>Q1 2022</v>
      </c>
      <c r="L687" t="str">
        <f t="shared" si="21"/>
        <v>Q1 2022</v>
      </c>
    </row>
    <row r="688" spans="1:12" ht="15.75" customHeight="1" x14ac:dyDescent="0.3">
      <c r="A688" s="2" t="s">
        <v>1003</v>
      </c>
      <c r="B688" s="2" t="s">
        <v>11</v>
      </c>
      <c r="C688" s="2" t="s">
        <v>12</v>
      </c>
      <c r="D688" s="2" t="s">
        <v>13</v>
      </c>
      <c r="E688" s="2" t="s">
        <v>14</v>
      </c>
      <c r="F688" s="2" t="s">
        <v>46</v>
      </c>
      <c r="G688" s="4">
        <v>70969</v>
      </c>
      <c r="H688" s="5" t="s">
        <v>309</v>
      </c>
      <c r="I688" s="4">
        <v>0</v>
      </c>
      <c r="J688" s="6">
        <v>44594</v>
      </c>
      <c r="K688" t="str">
        <f t="shared" si="20"/>
        <v>Q1 2022</v>
      </c>
      <c r="L688" t="str">
        <f t="shared" si="21"/>
        <v>Q1 2022</v>
      </c>
    </row>
    <row r="689" spans="1:12" ht="15.75" customHeight="1" x14ac:dyDescent="0.3">
      <c r="A689" s="2" t="s">
        <v>1004</v>
      </c>
      <c r="B689" s="2" t="s">
        <v>11</v>
      </c>
      <c r="C689" s="2" t="s">
        <v>12</v>
      </c>
      <c r="D689" s="2" t="s">
        <v>13</v>
      </c>
      <c r="E689" s="2" t="s">
        <v>14</v>
      </c>
      <c r="F689" s="2" t="s">
        <v>1005</v>
      </c>
      <c r="G689" s="4">
        <v>100034</v>
      </c>
      <c r="H689" s="5" t="s">
        <v>179</v>
      </c>
      <c r="I689" s="4">
        <v>0</v>
      </c>
      <c r="J689" s="6">
        <v>44594</v>
      </c>
      <c r="K689" t="str">
        <f t="shared" si="20"/>
        <v>Q1 2022</v>
      </c>
      <c r="L689" t="str">
        <f t="shared" si="21"/>
        <v>Q1 2022</v>
      </c>
    </row>
    <row r="690" spans="1:12" ht="15.75" customHeight="1" x14ac:dyDescent="0.3">
      <c r="A690" s="2" t="s">
        <v>1006</v>
      </c>
      <c r="B690" s="2" t="s">
        <v>11</v>
      </c>
      <c r="C690" s="2" t="s">
        <v>12</v>
      </c>
      <c r="D690" s="2" t="s">
        <v>13</v>
      </c>
      <c r="E690" s="2" t="s">
        <v>22</v>
      </c>
      <c r="F690" s="2" t="s">
        <v>416</v>
      </c>
      <c r="G690" s="4">
        <v>188003</v>
      </c>
      <c r="H690" s="5" t="s">
        <v>39</v>
      </c>
      <c r="I690" s="4">
        <v>0</v>
      </c>
      <c r="J690" s="6">
        <v>44603</v>
      </c>
      <c r="K690" t="str">
        <f t="shared" si="20"/>
        <v>Q1 2022</v>
      </c>
      <c r="L690" t="str">
        <f t="shared" si="21"/>
        <v>Q1 2022</v>
      </c>
    </row>
    <row r="691" spans="1:12" ht="15.75" customHeight="1" x14ac:dyDescent="0.3">
      <c r="A691" s="2" t="s">
        <v>1007</v>
      </c>
      <c r="B691" s="2" t="s">
        <v>11</v>
      </c>
      <c r="C691" s="2" t="s">
        <v>12</v>
      </c>
      <c r="D691" s="2" t="s">
        <v>13</v>
      </c>
      <c r="E691" s="2" t="s">
        <v>14</v>
      </c>
      <c r="F691" s="2" t="s">
        <v>1008</v>
      </c>
      <c r="G691" s="4">
        <v>45786</v>
      </c>
      <c r="H691" s="5" t="s">
        <v>728</v>
      </c>
      <c r="I691" s="4">
        <v>0</v>
      </c>
      <c r="J691" s="6">
        <v>44600</v>
      </c>
      <c r="K691" t="str">
        <f t="shared" si="20"/>
        <v>Q1 2022</v>
      </c>
      <c r="L691" t="str">
        <f t="shared" si="21"/>
        <v>Q1 2022</v>
      </c>
    </row>
    <row r="692" spans="1:12" ht="15.75" customHeight="1" x14ac:dyDescent="0.3">
      <c r="A692" s="2" t="s">
        <v>1009</v>
      </c>
      <c r="B692" s="2" t="s">
        <v>11</v>
      </c>
      <c r="C692" s="2" t="s">
        <v>12</v>
      </c>
      <c r="D692" s="2" t="s">
        <v>13</v>
      </c>
      <c r="E692" s="2" t="s">
        <v>14</v>
      </c>
      <c r="F692" s="2" t="s">
        <v>15</v>
      </c>
      <c r="G692" s="4">
        <v>151866</v>
      </c>
      <c r="H692" s="5" t="s">
        <v>255</v>
      </c>
      <c r="I692" s="4">
        <v>0</v>
      </c>
      <c r="J692" s="6">
        <v>44959</v>
      </c>
      <c r="K692" t="str">
        <f t="shared" si="20"/>
        <v>Q1 2023</v>
      </c>
      <c r="L692" t="str">
        <f t="shared" si="21"/>
        <v>Q1 2023</v>
      </c>
    </row>
    <row r="693" spans="1:12" ht="15.75" customHeight="1" x14ac:dyDescent="0.3">
      <c r="A693" s="2" t="s">
        <v>1010</v>
      </c>
      <c r="B693" s="2" t="s">
        <v>11</v>
      </c>
      <c r="C693" s="2" t="s">
        <v>12</v>
      </c>
      <c r="D693" s="2" t="s">
        <v>13</v>
      </c>
      <c r="E693" s="2" t="s">
        <v>14</v>
      </c>
      <c r="F693" s="2" t="s">
        <v>27</v>
      </c>
      <c r="G693" s="4">
        <v>74217</v>
      </c>
      <c r="H693" s="5" t="s">
        <v>333</v>
      </c>
      <c r="I693" s="4">
        <v>0</v>
      </c>
      <c r="J693" s="6">
        <v>44598</v>
      </c>
      <c r="K693" t="str">
        <f t="shared" si="20"/>
        <v>Q1 2022</v>
      </c>
      <c r="L693" t="str">
        <f t="shared" si="21"/>
        <v>Q1 2022</v>
      </c>
    </row>
    <row r="694" spans="1:12" ht="15.75" customHeight="1" x14ac:dyDescent="0.3">
      <c r="A694" s="2" t="s">
        <v>1011</v>
      </c>
      <c r="B694" s="2" t="s">
        <v>11</v>
      </c>
      <c r="C694" s="2" t="s">
        <v>12</v>
      </c>
      <c r="D694" s="2" t="s">
        <v>13</v>
      </c>
      <c r="E694" s="2" t="s">
        <v>14</v>
      </c>
      <c r="F694" s="2" t="s">
        <v>15</v>
      </c>
      <c r="G694" s="4">
        <v>34768</v>
      </c>
      <c r="H694" s="6">
        <v>44625</v>
      </c>
      <c r="I694" s="4">
        <v>0</v>
      </c>
      <c r="J694" s="6">
        <v>44598</v>
      </c>
      <c r="K694" t="str">
        <f t="shared" si="20"/>
        <v>Q1 2022</v>
      </c>
      <c r="L694" t="str">
        <f t="shared" si="21"/>
        <v>Q1 2022</v>
      </c>
    </row>
    <row r="695" spans="1:12" ht="15.75" customHeight="1" x14ac:dyDescent="0.3">
      <c r="A695" s="2" t="s">
        <v>1012</v>
      </c>
      <c r="B695" s="2" t="s">
        <v>11</v>
      </c>
      <c r="C695" s="2" t="s">
        <v>12</v>
      </c>
      <c r="D695" s="2" t="s">
        <v>13</v>
      </c>
      <c r="E695" s="2" t="s">
        <v>14</v>
      </c>
      <c r="F695" s="2" t="s">
        <v>239</v>
      </c>
      <c r="G695" s="2"/>
      <c r="H695" s="5" t="s">
        <v>75</v>
      </c>
      <c r="I695" s="4">
        <v>0</v>
      </c>
      <c r="J695" s="6">
        <v>44595</v>
      </c>
      <c r="K695" t="str">
        <f t="shared" si="20"/>
        <v>Q1 2022</v>
      </c>
      <c r="L695" t="str">
        <f t="shared" si="21"/>
        <v>Q1 2022</v>
      </c>
    </row>
    <row r="696" spans="1:12" ht="15.75" customHeight="1" x14ac:dyDescent="0.3">
      <c r="A696" s="2" t="s">
        <v>1013</v>
      </c>
      <c r="B696" s="2" t="s">
        <v>11</v>
      </c>
      <c r="C696" s="2" t="s">
        <v>12</v>
      </c>
      <c r="D696" s="2" t="s">
        <v>13</v>
      </c>
      <c r="E696" s="2" t="s">
        <v>14</v>
      </c>
      <c r="F696" s="2" t="s">
        <v>15</v>
      </c>
      <c r="G696" s="4">
        <v>76867</v>
      </c>
      <c r="H696" s="5" t="s">
        <v>25</v>
      </c>
      <c r="I696" s="4">
        <v>0</v>
      </c>
      <c r="J696" s="6">
        <v>44603</v>
      </c>
      <c r="K696" t="str">
        <f t="shared" si="20"/>
        <v>Q1 2022</v>
      </c>
      <c r="L696" t="str">
        <f t="shared" si="21"/>
        <v>Q1 2022</v>
      </c>
    </row>
    <row r="697" spans="1:12" ht="15.75" customHeight="1" x14ac:dyDescent="0.3">
      <c r="A697" s="2" t="s">
        <v>1014</v>
      </c>
      <c r="B697" s="2" t="s">
        <v>11</v>
      </c>
      <c r="C697" s="2" t="s">
        <v>12</v>
      </c>
      <c r="D697" s="2" t="s">
        <v>13</v>
      </c>
      <c r="E697" s="2" t="s">
        <v>14</v>
      </c>
      <c r="F697" s="2" t="s">
        <v>27</v>
      </c>
      <c r="G697" s="4">
        <v>127431</v>
      </c>
      <c r="H697" s="5" t="s">
        <v>42</v>
      </c>
      <c r="I697" s="4">
        <v>0</v>
      </c>
      <c r="J697" s="6">
        <v>44603</v>
      </c>
      <c r="K697" t="str">
        <f t="shared" si="20"/>
        <v>Q1 2022</v>
      </c>
      <c r="L697" t="str">
        <f t="shared" si="21"/>
        <v>Q1 2022</v>
      </c>
    </row>
    <row r="698" spans="1:12" ht="15.75" customHeight="1" x14ac:dyDescent="0.3">
      <c r="A698" s="2" t="s">
        <v>1015</v>
      </c>
      <c r="B698" s="2" t="s">
        <v>11</v>
      </c>
      <c r="C698" s="2" t="s">
        <v>12</v>
      </c>
      <c r="D698" s="2" t="s">
        <v>13</v>
      </c>
      <c r="E698" s="2" t="s">
        <v>14</v>
      </c>
      <c r="F698" s="2" t="s">
        <v>27</v>
      </c>
      <c r="G698" s="4">
        <v>118228</v>
      </c>
      <c r="H698" s="5" t="s">
        <v>1016</v>
      </c>
      <c r="I698" s="4">
        <v>0</v>
      </c>
      <c r="J698" s="6">
        <v>44595</v>
      </c>
      <c r="K698" t="str">
        <f t="shared" si="20"/>
        <v>Q1 2022</v>
      </c>
      <c r="L698" t="str">
        <f t="shared" si="21"/>
        <v>Q1 2022</v>
      </c>
    </row>
    <row r="699" spans="1:12" ht="15.75" customHeight="1" x14ac:dyDescent="0.3">
      <c r="A699" s="2" t="s">
        <v>1017</v>
      </c>
      <c r="B699" s="2" t="s">
        <v>11</v>
      </c>
      <c r="C699" s="2" t="s">
        <v>12</v>
      </c>
      <c r="D699" s="2" t="s">
        <v>13</v>
      </c>
      <c r="E699" s="2" t="s">
        <v>14</v>
      </c>
      <c r="F699" s="2" t="s">
        <v>1018</v>
      </c>
      <c r="G699" s="2"/>
      <c r="H699" s="5" t="s">
        <v>322</v>
      </c>
      <c r="I699" s="4">
        <v>0</v>
      </c>
      <c r="J699" s="6">
        <v>44594</v>
      </c>
      <c r="K699" t="str">
        <f t="shared" si="20"/>
        <v>Q1 2022</v>
      </c>
      <c r="L699" t="str">
        <f t="shared" si="21"/>
        <v>Q1 2022</v>
      </c>
    </row>
    <row r="700" spans="1:12" ht="15.75" customHeight="1" x14ac:dyDescent="0.3">
      <c r="A700" s="2" t="s">
        <v>1019</v>
      </c>
      <c r="B700" s="2" t="s">
        <v>11</v>
      </c>
      <c r="C700" s="2" t="s">
        <v>12</v>
      </c>
      <c r="D700" s="2" t="s">
        <v>13</v>
      </c>
      <c r="E700" s="2" t="s">
        <v>14</v>
      </c>
      <c r="F700" s="2" t="s">
        <v>1020</v>
      </c>
      <c r="G700" s="4">
        <v>114481</v>
      </c>
      <c r="H700" s="5" t="s">
        <v>39</v>
      </c>
      <c r="I700" s="4">
        <v>0</v>
      </c>
      <c r="J700" s="6">
        <v>44603</v>
      </c>
      <c r="K700" t="str">
        <f t="shared" si="20"/>
        <v>Q1 2022</v>
      </c>
      <c r="L700" t="str">
        <f t="shared" si="21"/>
        <v>Q1 2022</v>
      </c>
    </row>
    <row r="701" spans="1:12" ht="15.75" customHeight="1" x14ac:dyDescent="0.3">
      <c r="A701" s="2" t="s">
        <v>1021</v>
      </c>
      <c r="B701" s="2" t="s">
        <v>11</v>
      </c>
      <c r="C701" s="2" t="s">
        <v>12</v>
      </c>
      <c r="D701" s="2" t="s">
        <v>13</v>
      </c>
      <c r="E701" s="2" t="s">
        <v>14</v>
      </c>
      <c r="F701" s="2" t="s">
        <v>27</v>
      </c>
      <c r="G701" s="4">
        <v>58207</v>
      </c>
      <c r="H701" s="5" t="s">
        <v>130</v>
      </c>
      <c r="I701" s="4">
        <v>0</v>
      </c>
      <c r="J701" s="6">
        <v>44602</v>
      </c>
      <c r="K701" t="str">
        <f t="shared" si="20"/>
        <v>Q1 2022</v>
      </c>
      <c r="L701" t="str">
        <f t="shared" si="21"/>
        <v>Q1 2022</v>
      </c>
    </row>
    <row r="702" spans="1:12" ht="15.75" customHeight="1" x14ac:dyDescent="0.3">
      <c r="A702" s="2" t="s">
        <v>1022</v>
      </c>
      <c r="B702" s="2" t="s">
        <v>11</v>
      </c>
      <c r="C702" s="2" t="s">
        <v>12</v>
      </c>
      <c r="D702" s="2" t="s">
        <v>13</v>
      </c>
      <c r="E702" s="2" t="s">
        <v>14</v>
      </c>
      <c r="F702" s="2" t="s">
        <v>1023</v>
      </c>
      <c r="G702" s="4">
        <v>142316</v>
      </c>
      <c r="H702" s="5" t="s">
        <v>333</v>
      </c>
      <c r="I702" s="4">
        <v>0</v>
      </c>
      <c r="J702" s="6">
        <v>44598</v>
      </c>
      <c r="K702" t="str">
        <f t="shared" si="20"/>
        <v>Q1 2022</v>
      </c>
      <c r="L702" t="str">
        <f t="shared" si="21"/>
        <v>Q1 2022</v>
      </c>
    </row>
    <row r="703" spans="1:12" ht="15.75" customHeight="1" x14ac:dyDescent="0.3">
      <c r="A703" s="2" t="s">
        <v>1024</v>
      </c>
      <c r="B703" s="2" t="s">
        <v>20</v>
      </c>
      <c r="C703" s="2" t="s">
        <v>21</v>
      </c>
      <c r="D703" s="2" t="s">
        <v>13</v>
      </c>
      <c r="E703" s="2" t="s">
        <v>14</v>
      </c>
      <c r="F703" s="2" t="s">
        <v>1025</v>
      </c>
      <c r="G703" s="4">
        <v>86450</v>
      </c>
      <c r="H703" s="5" t="s">
        <v>1026</v>
      </c>
      <c r="I703" s="4">
        <v>43225</v>
      </c>
      <c r="J703" s="6">
        <v>44685</v>
      </c>
      <c r="K703" t="str">
        <f t="shared" si="20"/>
        <v>Q2 2022</v>
      </c>
      <c r="L703" t="str">
        <f t="shared" si="21"/>
        <v>Q2 2022</v>
      </c>
    </row>
    <row r="704" spans="1:12" ht="15.75" customHeight="1" x14ac:dyDescent="0.3">
      <c r="A704" s="2" t="s">
        <v>1027</v>
      </c>
      <c r="B704" s="2" t="s">
        <v>11</v>
      </c>
      <c r="C704" s="2" t="s">
        <v>12</v>
      </c>
      <c r="D704" s="2" t="s">
        <v>13</v>
      </c>
      <c r="E704" s="2" t="s">
        <v>14</v>
      </c>
      <c r="F704" s="2" t="s">
        <v>27</v>
      </c>
      <c r="G704" s="4">
        <v>45785</v>
      </c>
      <c r="H704" s="6">
        <v>44896</v>
      </c>
      <c r="I704" s="4">
        <v>0</v>
      </c>
      <c r="J704" s="6">
        <v>44563</v>
      </c>
      <c r="K704" t="str">
        <f t="shared" si="20"/>
        <v>Q1 2022</v>
      </c>
      <c r="L704" t="str">
        <f t="shared" si="21"/>
        <v>Q1 2022</v>
      </c>
    </row>
    <row r="705" spans="1:12" ht="15.75" customHeight="1" x14ac:dyDescent="0.3">
      <c r="A705" s="2" t="s">
        <v>1028</v>
      </c>
      <c r="B705" s="2" t="s">
        <v>11</v>
      </c>
      <c r="C705" s="2" t="s">
        <v>12</v>
      </c>
      <c r="D705" s="2" t="s">
        <v>13</v>
      </c>
      <c r="E705" s="2" t="s">
        <v>14</v>
      </c>
      <c r="F705" s="2" t="s">
        <v>85</v>
      </c>
      <c r="G705" s="4">
        <v>62387</v>
      </c>
      <c r="H705" s="5" t="s">
        <v>30</v>
      </c>
      <c r="I705" s="4">
        <v>0</v>
      </c>
      <c r="J705" s="6">
        <v>44603</v>
      </c>
      <c r="K705" t="str">
        <f t="shared" si="20"/>
        <v>Q1 2022</v>
      </c>
      <c r="L705" t="str">
        <f t="shared" si="21"/>
        <v>Q1 2022</v>
      </c>
    </row>
    <row r="706" spans="1:12" ht="15.75" customHeight="1" x14ac:dyDescent="0.3">
      <c r="A706" s="2" t="s">
        <v>1029</v>
      </c>
      <c r="B706" s="2" t="s">
        <v>11</v>
      </c>
      <c r="C706" s="2" t="s">
        <v>12</v>
      </c>
      <c r="D706" s="2" t="s">
        <v>13</v>
      </c>
      <c r="E706" s="2" t="s">
        <v>14</v>
      </c>
      <c r="F706" s="2" t="s">
        <v>1030</v>
      </c>
      <c r="G706" s="4">
        <v>106557</v>
      </c>
      <c r="H706" s="6">
        <v>44262</v>
      </c>
      <c r="I706" s="4">
        <v>0</v>
      </c>
      <c r="J706" s="6">
        <v>44205</v>
      </c>
      <c r="K706" t="str">
        <f t="shared" ref="K706:K769" si="22">"Q" &amp; ROUNDUP(MONTH(J:J)/3,0) &amp; " " &amp; YEAR(J:J)</f>
        <v>Q1 2021</v>
      </c>
      <c r="L706" t="str">
        <f t="shared" ref="L706:L769" si="23">"Q" &amp; ROUNDUP(MONTH(J:J)/3,0) &amp; " " &amp; YEAR(J:J)</f>
        <v>Q1 2021</v>
      </c>
    </row>
    <row r="707" spans="1:12" ht="15.75" customHeight="1" x14ac:dyDescent="0.3">
      <c r="A707" s="2" t="s">
        <v>1031</v>
      </c>
      <c r="B707" s="2" t="s">
        <v>11</v>
      </c>
      <c r="C707" s="2" t="s">
        <v>12</v>
      </c>
      <c r="D707" s="2" t="s">
        <v>13</v>
      </c>
      <c r="E707" s="2" t="s">
        <v>14</v>
      </c>
      <c r="F707" s="2" t="s">
        <v>27</v>
      </c>
      <c r="G707" s="4">
        <v>105996</v>
      </c>
      <c r="H707" s="5" t="s">
        <v>82</v>
      </c>
      <c r="I707" s="4">
        <v>0</v>
      </c>
      <c r="J707" s="6">
        <v>44597</v>
      </c>
      <c r="K707" t="str">
        <f t="shared" si="22"/>
        <v>Q1 2022</v>
      </c>
      <c r="L707" t="str">
        <f t="shared" si="23"/>
        <v>Q1 2022</v>
      </c>
    </row>
    <row r="708" spans="1:12" ht="15.75" customHeight="1" x14ac:dyDescent="0.3">
      <c r="A708" s="2" t="s">
        <v>1032</v>
      </c>
      <c r="B708" s="2" t="s">
        <v>11</v>
      </c>
      <c r="C708" s="2" t="s">
        <v>12</v>
      </c>
      <c r="D708" s="2" t="s">
        <v>13</v>
      </c>
      <c r="E708" s="2" t="s">
        <v>22</v>
      </c>
      <c r="F708" s="2" t="s">
        <v>46</v>
      </c>
      <c r="G708" s="4">
        <v>71497</v>
      </c>
      <c r="H708" s="6">
        <v>44867</v>
      </c>
      <c r="I708" s="4">
        <v>0</v>
      </c>
      <c r="J708" s="6">
        <v>44596</v>
      </c>
      <c r="K708" t="str">
        <f t="shared" si="22"/>
        <v>Q1 2022</v>
      </c>
      <c r="L708" t="str">
        <f t="shared" si="23"/>
        <v>Q1 2022</v>
      </c>
    </row>
    <row r="709" spans="1:12" ht="15.75" customHeight="1" x14ac:dyDescent="0.3">
      <c r="A709" s="2" t="s">
        <v>1033</v>
      </c>
      <c r="B709" s="2" t="s">
        <v>11</v>
      </c>
      <c r="C709" s="2" t="s">
        <v>12</v>
      </c>
      <c r="D709" s="2" t="s">
        <v>13</v>
      </c>
      <c r="E709" s="2" t="s">
        <v>14</v>
      </c>
      <c r="F709" s="2" t="s">
        <v>46</v>
      </c>
      <c r="G709" s="4">
        <v>95892</v>
      </c>
      <c r="H709" s="5" t="s">
        <v>39</v>
      </c>
      <c r="I709" s="4">
        <v>0</v>
      </c>
      <c r="J709" s="6">
        <v>44603</v>
      </c>
      <c r="K709" t="str">
        <f t="shared" si="22"/>
        <v>Q1 2022</v>
      </c>
      <c r="L709" t="str">
        <f t="shared" si="23"/>
        <v>Q1 2022</v>
      </c>
    </row>
    <row r="710" spans="1:12" ht="15.75" customHeight="1" x14ac:dyDescent="0.3">
      <c r="A710" s="2" t="s">
        <v>1034</v>
      </c>
      <c r="B710" s="2" t="s">
        <v>11</v>
      </c>
      <c r="C710" s="2" t="s">
        <v>12</v>
      </c>
      <c r="D710" s="2" t="s">
        <v>13</v>
      </c>
      <c r="E710" s="2" t="s">
        <v>14</v>
      </c>
      <c r="F710" s="2" t="s">
        <v>670</v>
      </c>
      <c r="G710" s="2"/>
      <c r="H710" s="5" t="s">
        <v>25</v>
      </c>
      <c r="I710" s="4">
        <v>0</v>
      </c>
      <c r="J710" s="6">
        <v>44603</v>
      </c>
      <c r="K710" t="str">
        <f t="shared" si="22"/>
        <v>Q1 2022</v>
      </c>
      <c r="L710" t="str">
        <f t="shared" si="23"/>
        <v>Q1 2022</v>
      </c>
    </row>
    <row r="711" spans="1:12" ht="15.75" customHeight="1" x14ac:dyDescent="0.3">
      <c r="A711" s="2" t="s">
        <v>1035</v>
      </c>
      <c r="B711" s="2" t="s">
        <v>11</v>
      </c>
      <c r="C711" s="2" t="s">
        <v>12</v>
      </c>
      <c r="D711" s="2" t="s">
        <v>13</v>
      </c>
      <c r="E711" s="2" t="s">
        <v>14</v>
      </c>
      <c r="F711" s="2" t="s">
        <v>46</v>
      </c>
      <c r="G711" s="4">
        <v>35978</v>
      </c>
      <c r="H711" s="5" t="s">
        <v>39</v>
      </c>
      <c r="I711" s="4">
        <v>0</v>
      </c>
      <c r="J711" s="6">
        <v>44603</v>
      </c>
      <c r="K711" t="str">
        <f t="shared" si="22"/>
        <v>Q1 2022</v>
      </c>
      <c r="L711" t="str">
        <f t="shared" si="23"/>
        <v>Q1 2022</v>
      </c>
    </row>
    <row r="712" spans="1:12" ht="15.75" customHeight="1" x14ac:dyDescent="0.3">
      <c r="A712" s="2" t="s">
        <v>1036</v>
      </c>
      <c r="B712" s="2" t="s">
        <v>11</v>
      </c>
      <c r="C712" s="2" t="s">
        <v>12</v>
      </c>
      <c r="D712" s="2" t="s">
        <v>13</v>
      </c>
      <c r="E712" s="2" t="s">
        <v>22</v>
      </c>
      <c r="F712" s="2" t="s">
        <v>594</v>
      </c>
      <c r="G712" s="4">
        <v>475854</v>
      </c>
      <c r="H712" s="5" t="s">
        <v>25</v>
      </c>
      <c r="I712" s="4">
        <v>0</v>
      </c>
      <c r="J712" s="6">
        <v>44603</v>
      </c>
      <c r="K712" t="str">
        <f t="shared" si="22"/>
        <v>Q1 2022</v>
      </c>
      <c r="L712" t="str">
        <f t="shared" si="23"/>
        <v>Q1 2022</v>
      </c>
    </row>
    <row r="713" spans="1:12" ht="15.75" customHeight="1" x14ac:dyDescent="0.3">
      <c r="A713" s="2" t="s">
        <v>1037</v>
      </c>
      <c r="B713" s="2" t="s">
        <v>11</v>
      </c>
      <c r="C713" s="2" t="s">
        <v>12</v>
      </c>
      <c r="D713" s="2" t="s">
        <v>13</v>
      </c>
      <c r="E713" s="2" t="s">
        <v>14</v>
      </c>
      <c r="F713" s="2" t="s">
        <v>46</v>
      </c>
      <c r="G713" s="4">
        <v>300192</v>
      </c>
      <c r="H713" s="5" t="s">
        <v>1038</v>
      </c>
      <c r="I713" s="4">
        <v>0</v>
      </c>
      <c r="J713" s="6">
        <v>44237</v>
      </c>
      <c r="K713" t="str">
        <f t="shared" si="22"/>
        <v>Q1 2021</v>
      </c>
      <c r="L713" t="str">
        <f t="shared" si="23"/>
        <v>Q1 2021</v>
      </c>
    </row>
    <row r="714" spans="1:12" ht="15.75" customHeight="1" x14ac:dyDescent="0.3">
      <c r="A714" s="2" t="s">
        <v>1039</v>
      </c>
      <c r="B714" s="2" t="s">
        <v>11</v>
      </c>
      <c r="C714" s="2" t="s">
        <v>12</v>
      </c>
      <c r="D714" s="2" t="s">
        <v>13</v>
      </c>
      <c r="E714" s="2" t="s">
        <v>14</v>
      </c>
      <c r="F714" s="2" t="s">
        <v>1040</v>
      </c>
      <c r="G714" s="4">
        <v>130594</v>
      </c>
      <c r="H714" s="6">
        <v>44630</v>
      </c>
      <c r="I714" s="4">
        <v>0</v>
      </c>
      <c r="J714" s="6">
        <v>44603</v>
      </c>
      <c r="K714" t="str">
        <f t="shared" si="22"/>
        <v>Q1 2022</v>
      </c>
      <c r="L714" t="str">
        <f t="shared" si="23"/>
        <v>Q1 2022</v>
      </c>
    </row>
    <row r="715" spans="1:12" ht="15.75" customHeight="1" x14ac:dyDescent="0.3">
      <c r="A715" s="2" t="s">
        <v>1041</v>
      </c>
      <c r="B715" s="2" t="s">
        <v>11</v>
      </c>
      <c r="C715" s="2" t="s">
        <v>12</v>
      </c>
      <c r="D715" s="2" t="s">
        <v>13</v>
      </c>
      <c r="E715" s="2" t="s">
        <v>14</v>
      </c>
      <c r="F715" s="2" t="s">
        <v>46</v>
      </c>
      <c r="G715" s="4">
        <v>65897</v>
      </c>
      <c r="H715" s="5" t="s">
        <v>42</v>
      </c>
      <c r="I715" s="4">
        <v>0</v>
      </c>
      <c r="J715" s="6">
        <v>44603</v>
      </c>
      <c r="K715" t="str">
        <f t="shared" si="22"/>
        <v>Q1 2022</v>
      </c>
      <c r="L715" t="str">
        <f t="shared" si="23"/>
        <v>Q1 2022</v>
      </c>
    </row>
    <row r="716" spans="1:12" ht="15.75" customHeight="1" x14ac:dyDescent="0.3">
      <c r="A716" s="2" t="s">
        <v>1042</v>
      </c>
      <c r="B716" s="2" t="s">
        <v>11</v>
      </c>
      <c r="C716" s="2" t="s">
        <v>12</v>
      </c>
      <c r="D716" s="2" t="s">
        <v>13</v>
      </c>
      <c r="E716" s="2" t="s">
        <v>14</v>
      </c>
      <c r="F716" s="2" t="s">
        <v>239</v>
      </c>
      <c r="G716" s="4">
        <v>36896</v>
      </c>
      <c r="H716" s="5" t="s">
        <v>71</v>
      </c>
      <c r="I716" s="4">
        <v>0</v>
      </c>
      <c r="J716" s="6">
        <v>44603</v>
      </c>
      <c r="K716" t="str">
        <f t="shared" si="22"/>
        <v>Q1 2022</v>
      </c>
      <c r="L716" t="str">
        <f t="shared" si="23"/>
        <v>Q1 2022</v>
      </c>
    </row>
    <row r="717" spans="1:12" ht="15.75" customHeight="1" x14ac:dyDescent="0.3">
      <c r="A717" s="2" t="s">
        <v>1043</v>
      </c>
      <c r="B717" s="2" t="s">
        <v>11</v>
      </c>
      <c r="C717" s="2" t="s">
        <v>12</v>
      </c>
      <c r="D717" s="2" t="s">
        <v>13</v>
      </c>
      <c r="E717" s="2" t="s">
        <v>14</v>
      </c>
      <c r="F717" s="2" t="s">
        <v>46</v>
      </c>
      <c r="G717" s="4">
        <v>71126</v>
      </c>
      <c r="H717" s="5" t="s">
        <v>130</v>
      </c>
      <c r="I717" s="4">
        <v>0</v>
      </c>
      <c r="J717" s="6">
        <v>44601</v>
      </c>
      <c r="K717" t="str">
        <f t="shared" si="22"/>
        <v>Q1 2022</v>
      </c>
      <c r="L717" t="str">
        <f t="shared" si="23"/>
        <v>Q1 2022</v>
      </c>
    </row>
    <row r="718" spans="1:12" ht="15.75" customHeight="1" x14ac:dyDescent="0.3">
      <c r="A718" s="2" t="s">
        <v>1044</v>
      </c>
      <c r="B718" s="2" t="s">
        <v>11</v>
      </c>
      <c r="C718" s="2" t="s">
        <v>12</v>
      </c>
      <c r="D718" s="2" t="s">
        <v>13</v>
      </c>
      <c r="E718" s="2" t="s">
        <v>14</v>
      </c>
      <c r="F718" s="2" t="s">
        <v>46</v>
      </c>
      <c r="G718" s="4">
        <v>30000000</v>
      </c>
      <c r="H718" s="6">
        <v>44623</v>
      </c>
      <c r="I718" s="4">
        <v>0</v>
      </c>
      <c r="J718" s="6">
        <v>44596</v>
      </c>
      <c r="K718" t="str">
        <f t="shared" si="22"/>
        <v>Q1 2022</v>
      </c>
      <c r="L718" t="str">
        <f t="shared" si="23"/>
        <v>Q1 2022</v>
      </c>
    </row>
    <row r="719" spans="1:12" ht="15.75" customHeight="1" x14ac:dyDescent="0.3">
      <c r="A719" s="2" t="s">
        <v>1045</v>
      </c>
      <c r="B719" s="2" t="s">
        <v>11</v>
      </c>
      <c r="C719" s="2" t="s">
        <v>12</v>
      </c>
      <c r="D719" s="2" t="s">
        <v>13</v>
      </c>
      <c r="E719" s="2" t="s">
        <v>14</v>
      </c>
      <c r="F719" s="2" t="s">
        <v>46</v>
      </c>
      <c r="G719" s="4">
        <v>143801</v>
      </c>
      <c r="H719" s="5" t="s">
        <v>179</v>
      </c>
      <c r="I719" s="4">
        <v>0</v>
      </c>
      <c r="J719" s="6">
        <v>44594</v>
      </c>
      <c r="K719" t="str">
        <f t="shared" si="22"/>
        <v>Q1 2022</v>
      </c>
      <c r="L719" t="str">
        <f t="shared" si="23"/>
        <v>Q1 2022</v>
      </c>
    </row>
    <row r="720" spans="1:12" ht="15.75" customHeight="1" x14ac:dyDescent="0.3">
      <c r="A720" s="2" t="s">
        <v>1046</v>
      </c>
      <c r="B720" s="2" t="s">
        <v>11</v>
      </c>
      <c r="C720" s="2" t="s">
        <v>12</v>
      </c>
      <c r="D720" s="2" t="s">
        <v>13</v>
      </c>
      <c r="E720" s="2" t="s">
        <v>14</v>
      </c>
      <c r="F720" s="2" t="s">
        <v>239</v>
      </c>
      <c r="G720" s="2"/>
      <c r="H720" s="6">
        <v>44630</v>
      </c>
      <c r="I720" s="4">
        <v>0</v>
      </c>
      <c r="J720" s="6">
        <v>44603</v>
      </c>
      <c r="K720" t="str">
        <f t="shared" si="22"/>
        <v>Q1 2022</v>
      </c>
      <c r="L720" t="str">
        <f t="shared" si="23"/>
        <v>Q1 2022</v>
      </c>
    </row>
    <row r="721" spans="1:12" ht="15.75" customHeight="1" x14ac:dyDescent="0.3">
      <c r="A721" s="2" t="s">
        <v>1047</v>
      </c>
      <c r="B721" s="2" t="s">
        <v>11</v>
      </c>
      <c r="C721" s="2" t="s">
        <v>12</v>
      </c>
      <c r="D721" s="2" t="s">
        <v>13</v>
      </c>
      <c r="E721" s="2" t="s">
        <v>14</v>
      </c>
      <c r="F721" s="2" t="s">
        <v>27</v>
      </c>
      <c r="G721" s="4">
        <v>146756</v>
      </c>
      <c r="H721" s="6">
        <v>44630</v>
      </c>
      <c r="I721" s="4">
        <v>0</v>
      </c>
      <c r="J721" s="6">
        <v>44603</v>
      </c>
      <c r="K721" t="str">
        <f t="shared" si="22"/>
        <v>Q1 2022</v>
      </c>
      <c r="L721" t="str">
        <f t="shared" si="23"/>
        <v>Q1 2022</v>
      </c>
    </row>
    <row r="722" spans="1:12" ht="15.75" customHeight="1" x14ac:dyDescent="0.3">
      <c r="A722" s="2" t="s">
        <v>1048</v>
      </c>
      <c r="B722" s="2" t="s">
        <v>11</v>
      </c>
      <c r="C722" s="2" t="s">
        <v>12</v>
      </c>
      <c r="D722" s="2" t="s">
        <v>13</v>
      </c>
      <c r="E722" s="2" t="s">
        <v>14</v>
      </c>
      <c r="F722" s="2" t="s">
        <v>178</v>
      </c>
      <c r="G722" s="4">
        <v>69888</v>
      </c>
      <c r="H722" s="5" t="s">
        <v>82</v>
      </c>
      <c r="I722" s="4">
        <v>0</v>
      </c>
      <c r="J722" s="6">
        <v>44596</v>
      </c>
      <c r="K722" t="str">
        <f t="shared" si="22"/>
        <v>Q1 2022</v>
      </c>
      <c r="L722" t="str">
        <f t="shared" si="23"/>
        <v>Q1 2022</v>
      </c>
    </row>
    <row r="723" spans="1:12" ht="15.75" customHeight="1" x14ac:dyDescent="0.3">
      <c r="A723" s="80" t="s">
        <v>1049</v>
      </c>
      <c r="B723" s="2" t="s">
        <v>11</v>
      </c>
      <c r="C723" s="2" t="s">
        <v>12</v>
      </c>
      <c r="D723" s="2" t="s">
        <v>13</v>
      </c>
      <c r="E723" s="2" t="s">
        <v>14</v>
      </c>
      <c r="F723" s="2" t="s">
        <v>15</v>
      </c>
      <c r="G723" s="4">
        <v>123799</v>
      </c>
      <c r="H723" s="6">
        <v>44623</v>
      </c>
      <c r="I723" s="4">
        <v>0</v>
      </c>
      <c r="J723" s="6">
        <v>44597</v>
      </c>
      <c r="K723" t="str">
        <f t="shared" si="22"/>
        <v>Q1 2022</v>
      </c>
      <c r="L723" t="str">
        <f t="shared" si="23"/>
        <v>Q1 2022</v>
      </c>
    </row>
    <row r="724" spans="1:12" ht="15.75" customHeight="1" x14ac:dyDescent="0.3">
      <c r="A724" s="2" t="s">
        <v>1050</v>
      </c>
      <c r="B724" s="2" t="s">
        <v>20</v>
      </c>
      <c r="C724" s="2" t="s">
        <v>57</v>
      </c>
      <c r="D724" s="2" t="s">
        <v>1051</v>
      </c>
      <c r="E724" s="2" t="s">
        <v>1052</v>
      </c>
      <c r="F724" s="2" t="s">
        <v>1053</v>
      </c>
      <c r="G724" s="4">
        <v>704276</v>
      </c>
      <c r="H724" s="5" t="s">
        <v>1054</v>
      </c>
      <c r="I724" s="4">
        <v>88034</v>
      </c>
      <c r="J724" s="5" t="s">
        <v>1055</v>
      </c>
      <c r="K724" t="str">
        <f t="shared" si="22"/>
        <v>Q3 2022</v>
      </c>
      <c r="L724" t="str">
        <f t="shared" si="23"/>
        <v>Q3 2022</v>
      </c>
    </row>
    <row r="725" spans="1:12" ht="15.75" customHeight="1" x14ac:dyDescent="0.3">
      <c r="A725" s="2" t="s">
        <v>1056</v>
      </c>
      <c r="B725" s="2" t="s">
        <v>20</v>
      </c>
      <c r="C725" s="2" t="s">
        <v>21</v>
      </c>
      <c r="D725" s="2" t="s">
        <v>1051</v>
      </c>
      <c r="E725" s="2" t="s">
        <v>1052</v>
      </c>
      <c r="F725" s="2" t="s">
        <v>1057</v>
      </c>
      <c r="G725" s="4">
        <v>85170</v>
      </c>
      <c r="H725" s="5" t="s">
        <v>123</v>
      </c>
      <c r="I725" s="4">
        <v>5010</v>
      </c>
      <c r="J725" s="5" t="s">
        <v>1058</v>
      </c>
      <c r="K725" t="str">
        <f t="shared" si="22"/>
        <v>Q1 2022</v>
      </c>
      <c r="L725" t="str">
        <f t="shared" si="23"/>
        <v>Q1 2022</v>
      </c>
    </row>
    <row r="726" spans="1:12" ht="15.75" customHeight="1" x14ac:dyDescent="0.3">
      <c r="A726" s="2" t="s">
        <v>1059</v>
      </c>
      <c r="B726" s="2" t="s">
        <v>20</v>
      </c>
      <c r="C726" s="2" t="s">
        <v>21</v>
      </c>
      <c r="D726" s="2" t="s">
        <v>1051</v>
      </c>
      <c r="E726" s="2" t="s">
        <v>1052</v>
      </c>
      <c r="F726" s="2" t="s">
        <v>1060</v>
      </c>
      <c r="G726" s="4">
        <v>136967</v>
      </c>
      <c r="H726" s="6">
        <v>44774</v>
      </c>
      <c r="I726" s="4">
        <v>68484</v>
      </c>
      <c r="J726" s="5" t="s">
        <v>1061</v>
      </c>
      <c r="K726" t="str">
        <f t="shared" si="22"/>
        <v>Q1 2022</v>
      </c>
      <c r="L726" t="str">
        <f t="shared" si="23"/>
        <v>Q1 2022</v>
      </c>
    </row>
    <row r="727" spans="1:12" ht="15.75" customHeight="1" x14ac:dyDescent="0.3">
      <c r="A727" s="2" t="s">
        <v>1062</v>
      </c>
      <c r="B727" s="2" t="s">
        <v>20</v>
      </c>
      <c r="C727" s="2" t="s">
        <v>21</v>
      </c>
      <c r="D727" s="2" t="s">
        <v>1051</v>
      </c>
      <c r="E727" s="2" t="s">
        <v>1052</v>
      </c>
      <c r="F727" s="2" t="s">
        <v>1063</v>
      </c>
      <c r="G727" s="4">
        <v>28516</v>
      </c>
      <c r="H727" s="5" t="s">
        <v>65</v>
      </c>
      <c r="I727" s="4">
        <v>4753</v>
      </c>
      <c r="J727" s="6">
        <v>44784</v>
      </c>
      <c r="K727" t="str">
        <f t="shared" si="22"/>
        <v>Q3 2022</v>
      </c>
      <c r="L727" t="str">
        <f t="shared" si="23"/>
        <v>Q3 2022</v>
      </c>
    </row>
    <row r="728" spans="1:12" ht="15.75" customHeight="1" x14ac:dyDescent="0.3">
      <c r="A728" s="2" t="s">
        <v>1064</v>
      </c>
      <c r="B728" s="2" t="s">
        <v>20</v>
      </c>
      <c r="C728" s="2" t="s">
        <v>21</v>
      </c>
      <c r="D728" s="2" t="s">
        <v>1051</v>
      </c>
      <c r="E728" s="2" t="s">
        <v>1065</v>
      </c>
      <c r="F728" s="2" t="s">
        <v>1066</v>
      </c>
      <c r="G728" s="4">
        <v>54719</v>
      </c>
      <c r="H728" s="6">
        <v>44746</v>
      </c>
      <c r="I728" s="4">
        <v>4560</v>
      </c>
      <c r="J728" s="5" t="s">
        <v>1067</v>
      </c>
      <c r="K728" t="str">
        <f t="shared" si="22"/>
        <v>Q2 2022</v>
      </c>
      <c r="L728" t="str">
        <f t="shared" si="23"/>
        <v>Q2 2022</v>
      </c>
    </row>
    <row r="729" spans="1:12" ht="15.75" customHeight="1" x14ac:dyDescent="0.3">
      <c r="A729" s="2" t="s">
        <v>1068</v>
      </c>
      <c r="B729" s="2" t="s">
        <v>11</v>
      </c>
      <c r="C729" s="2" t="s">
        <v>12</v>
      </c>
      <c r="D729" s="2" t="s">
        <v>1051</v>
      </c>
      <c r="E729" s="2" t="s">
        <v>1052</v>
      </c>
      <c r="F729" s="2" t="s">
        <v>46</v>
      </c>
      <c r="G729" s="4">
        <v>56377</v>
      </c>
      <c r="H729" s="5" t="s">
        <v>25</v>
      </c>
      <c r="I729" s="4">
        <v>0</v>
      </c>
      <c r="J729" s="6">
        <v>44603</v>
      </c>
      <c r="K729" t="str">
        <f t="shared" si="22"/>
        <v>Q1 2022</v>
      </c>
      <c r="L729" t="str">
        <f t="shared" si="23"/>
        <v>Q1 2022</v>
      </c>
    </row>
    <row r="730" spans="1:12" ht="15.75" customHeight="1" x14ac:dyDescent="0.3">
      <c r="A730" s="2" t="s">
        <v>1069</v>
      </c>
      <c r="B730" s="2" t="s">
        <v>20</v>
      </c>
      <c r="C730" s="2" t="s">
        <v>21</v>
      </c>
      <c r="D730" s="2" t="s">
        <v>1051</v>
      </c>
      <c r="E730" s="2" t="s">
        <v>1052</v>
      </c>
      <c r="F730" s="2" t="s">
        <v>1070</v>
      </c>
      <c r="G730" s="4">
        <v>72731</v>
      </c>
      <c r="H730" s="6">
        <v>44631</v>
      </c>
      <c r="I730" s="4">
        <v>14546</v>
      </c>
      <c r="J730" s="5" t="s">
        <v>97</v>
      </c>
      <c r="K730" t="str">
        <f t="shared" si="22"/>
        <v>Q4 2022</v>
      </c>
      <c r="L730" t="str">
        <f t="shared" si="23"/>
        <v>Q4 2022</v>
      </c>
    </row>
    <row r="731" spans="1:12" ht="15.75" customHeight="1" x14ac:dyDescent="0.3">
      <c r="A731" s="2" t="s">
        <v>1071</v>
      </c>
      <c r="B731" s="2" t="s">
        <v>20</v>
      </c>
      <c r="C731" s="2" t="s">
        <v>21</v>
      </c>
      <c r="D731" s="2" t="s">
        <v>1051</v>
      </c>
      <c r="E731" s="2" t="s">
        <v>1072</v>
      </c>
      <c r="F731" s="2" t="s">
        <v>1073</v>
      </c>
      <c r="G731" s="4">
        <v>62221</v>
      </c>
      <c r="H731" s="6">
        <v>44571</v>
      </c>
      <c r="I731" s="4">
        <v>31111</v>
      </c>
      <c r="J731" s="5" t="s">
        <v>36</v>
      </c>
      <c r="K731" t="str">
        <f t="shared" si="22"/>
        <v>Q4 2022</v>
      </c>
      <c r="L731" t="str">
        <f t="shared" si="23"/>
        <v>Q4 2022</v>
      </c>
    </row>
    <row r="732" spans="1:12" ht="15.75" customHeight="1" x14ac:dyDescent="0.3">
      <c r="A732" s="2" t="s">
        <v>1074</v>
      </c>
      <c r="B732" s="2" t="s">
        <v>20</v>
      </c>
      <c r="C732" s="2" t="s">
        <v>21</v>
      </c>
      <c r="D732" s="2" t="s">
        <v>1051</v>
      </c>
      <c r="E732" s="2" t="s">
        <v>1075</v>
      </c>
      <c r="F732" s="2" t="s">
        <v>1076</v>
      </c>
      <c r="G732" s="4">
        <v>27912</v>
      </c>
      <c r="H732" s="5" t="s">
        <v>195</v>
      </c>
      <c r="I732" s="4">
        <v>13956</v>
      </c>
      <c r="J732" s="5" t="s">
        <v>333</v>
      </c>
      <c r="K732" t="str">
        <f t="shared" si="22"/>
        <v>Q2 2022</v>
      </c>
      <c r="L732" t="str">
        <f t="shared" si="23"/>
        <v>Q2 2022</v>
      </c>
    </row>
    <row r="733" spans="1:12" ht="15.75" customHeight="1" x14ac:dyDescent="0.3">
      <c r="A733" s="2" t="s">
        <v>1077</v>
      </c>
      <c r="B733" s="2" t="s">
        <v>20</v>
      </c>
      <c r="C733" s="2" t="s">
        <v>21</v>
      </c>
      <c r="D733" s="2" t="s">
        <v>1051</v>
      </c>
      <c r="E733" s="2" t="s">
        <v>1052</v>
      </c>
      <c r="F733" s="2" t="s">
        <v>1078</v>
      </c>
      <c r="G733" s="4">
        <v>45775</v>
      </c>
      <c r="H733" s="5" t="s">
        <v>1079</v>
      </c>
      <c r="I733" s="4">
        <v>22888</v>
      </c>
      <c r="J733" s="5" t="s">
        <v>1080</v>
      </c>
      <c r="K733" t="str">
        <f t="shared" si="22"/>
        <v>Q2 2022</v>
      </c>
      <c r="L733" t="str">
        <f t="shared" si="23"/>
        <v>Q2 2022</v>
      </c>
    </row>
    <row r="734" spans="1:12" ht="15.75" customHeight="1" x14ac:dyDescent="0.3">
      <c r="A734" s="2" t="s">
        <v>1081</v>
      </c>
      <c r="B734" s="2" t="s">
        <v>20</v>
      </c>
      <c r="C734" s="2" t="s">
        <v>21</v>
      </c>
      <c r="D734" s="2" t="s">
        <v>1051</v>
      </c>
      <c r="E734" s="2" t="s">
        <v>1052</v>
      </c>
      <c r="F734" s="2" t="s">
        <v>1082</v>
      </c>
      <c r="G734" s="4">
        <v>94837</v>
      </c>
      <c r="H734" s="6">
        <v>44600</v>
      </c>
      <c r="I734" s="4">
        <v>11855</v>
      </c>
      <c r="J734" s="6">
        <v>44874</v>
      </c>
      <c r="K734" t="str">
        <f t="shared" si="22"/>
        <v>Q4 2022</v>
      </c>
      <c r="L734" t="str">
        <f t="shared" si="23"/>
        <v>Q4 2022</v>
      </c>
    </row>
    <row r="735" spans="1:12" ht="15.75" customHeight="1" x14ac:dyDescent="0.3">
      <c r="A735" s="2" t="s">
        <v>1083</v>
      </c>
      <c r="B735" s="2" t="s">
        <v>20</v>
      </c>
      <c r="C735" s="2" t="s">
        <v>21</v>
      </c>
      <c r="D735" s="2" t="s">
        <v>1051</v>
      </c>
      <c r="E735" s="2" t="s">
        <v>1072</v>
      </c>
      <c r="F735" s="2" t="s">
        <v>46</v>
      </c>
      <c r="G735" s="4">
        <v>109362</v>
      </c>
      <c r="H735" s="6">
        <v>44904</v>
      </c>
      <c r="I735" s="4">
        <v>54681</v>
      </c>
      <c r="J735" s="7">
        <v>44876</v>
      </c>
      <c r="K735" t="str">
        <f t="shared" si="22"/>
        <v>Q4 2022</v>
      </c>
      <c r="L735" t="str">
        <f t="shared" si="23"/>
        <v>Q4 2022</v>
      </c>
    </row>
    <row r="736" spans="1:12" ht="15.75" customHeight="1" x14ac:dyDescent="0.3">
      <c r="A736" s="2" t="s">
        <v>1084</v>
      </c>
      <c r="B736" s="2" t="s">
        <v>20</v>
      </c>
      <c r="C736" s="2" t="s">
        <v>21</v>
      </c>
      <c r="D736" s="2" t="s">
        <v>1051</v>
      </c>
      <c r="E736" s="2" t="s">
        <v>1072</v>
      </c>
      <c r="F736" s="2" t="s">
        <v>1085</v>
      </c>
      <c r="G736" s="4">
        <v>98851</v>
      </c>
      <c r="H736" s="5" t="s">
        <v>600</v>
      </c>
      <c r="I736" s="4">
        <v>49426</v>
      </c>
      <c r="J736" s="5" t="s">
        <v>513</v>
      </c>
      <c r="K736" t="str">
        <f t="shared" si="22"/>
        <v>Q2 2022</v>
      </c>
      <c r="L736" t="str">
        <f t="shared" si="23"/>
        <v>Q2 2022</v>
      </c>
    </row>
    <row r="737" spans="1:12" ht="15.75" customHeight="1" x14ac:dyDescent="0.3">
      <c r="A737" s="2" t="s">
        <v>1086</v>
      </c>
      <c r="B737" s="2" t="s">
        <v>20</v>
      </c>
      <c r="C737" s="2" t="s">
        <v>57</v>
      </c>
      <c r="D737" s="2" t="s">
        <v>1051</v>
      </c>
      <c r="E737" s="2" t="s">
        <v>1052</v>
      </c>
      <c r="F737" s="2" t="s">
        <v>1087</v>
      </c>
      <c r="G737" s="4">
        <v>101564</v>
      </c>
      <c r="H737" s="6">
        <v>44662</v>
      </c>
      <c r="I737" s="4">
        <v>20313</v>
      </c>
      <c r="J737" s="5" t="s">
        <v>210</v>
      </c>
      <c r="K737" t="str">
        <f t="shared" si="22"/>
        <v>Q4 2022</v>
      </c>
      <c r="L737" t="str">
        <f t="shared" si="23"/>
        <v>Q4 2022</v>
      </c>
    </row>
    <row r="738" spans="1:12" ht="15.75" customHeight="1" x14ac:dyDescent="0.3">
      <c r="A738" s="2" t="s">
        <v>1088</v>
      </c>
      <c r="B738" s="2" t="s">
        <v>20</v>
      </c>
      <c r="C738" s="2" t="s">
        <v>21</v>
      </c>
      <c r="D738" s="2" t="s">
        <v>1051</v>
      </c>
      <c r="E738" s="2" t="s">
        <v>1052</v>
      </c>
      <c r="F738" s="2" t="s">
        <v>1089</v>
      </c>
      <c r="G738" s="4">
        <v>54000</v>
      </c>
      <c r="H738" s="6">
        <v>44661</v>
      </c>
      <c r="I738" s="4">
        <v>27000</v>
      </c>
      <c r="J738" s="5" t="s">
        <v>97</v>
      </c>
      <c r="K738" t="str">
        <f t="shared" si="22"/>
        <v>Q4 2022</v>
      </c>
      <c r="L738" t="str">
        <f t="shared" si="23"/>
        <v>Q4 2022</v>
      </c>
    </row>
    <row r="739" spans="1:12" ht="15.75" customHeight="1" x14ac:dyDescent="0.3">
      <c r="A739" s="2" t="s">
        <v>1090</v>
      </c>
      <c r="B739" s="2" t="s">
        <v>20</v>
      </c>
      <c r="C739" s="2" t="s">
        <v>57</v>
      </c>
      <c r="D739" s="2" t="s">
        <v>1051</v>
      </c>
      <c r="E739" s="2" t="s">
        <v>1052</v>
      </c>
      <c r="F739" s="2" t="s">
        <v>1091</v>
      </c>
      <c r="G739" s="4">
        <v>42421</v>
      </c>
      <c r="H739" s="6">
        <v>44690</v>
      </c>
      <c r="I739" s="4">
        <v>5303</v>
      </c>
      <c r="J739" s="5" t="s">
        <v>210</v>
      </c>
      <c r="K739" t="str">
        <f t="shared" si="22"/>
        <v>Q4 2022</v>
      </c>
      <c r="L739" t="str">
        <f t="shared" si="23"/>
        <v>Q4 2022</v>
      </c>
    </row>
    <row r="740" spans="1:12" ht="15.75" customHeight="1" x14ac:dyDescent="0.3">
      <c r="A740" s="2" t="s">
        <v>1092</v>
      </c>
      <c r="B740" s="2" t="s">
        <v>11</v>
      </c>
      <c r="C740" s="2" t="s">
        <v>12</v>
      </c>
      <c r="D740" s="2" t="s">
        <v>1051</v>
      </c>
      <c r="E740" s="2" t="s">
        <v>1052</v>
      </c>
      <c r="F740" s="2" t="s">
        <v>1093</v>
      </c>
      <c r="G740" s="2"/>
      <c r="H740" s="5" t="s">
        <v>1094</v>
      </c>
      <c r="I740" s="4">
        <v>0</v>
      </c>
      <c r="J740" s="6">
        <v>44692</v>
      </c>
      <c r="K740" t="str">
        <f t="shared" si="22"/>
        <v>Q2 2022</v>
      </c>
      <c r="L740" t="str">
        <f t="shared" si="23"/>
        <v>Q2 2022</v>
      </c>
    </row>
    <row r="741" spans="1:12" ht="15.75" customHeight="1" x14ac:dyDescent="0.3">
      <c r="A741" s="2" t="s">
        <v>1095</v>
      </c>
      <c r="B741" s="2" t="s">
        <v>20</v>
      </c>
      <c r="C741" s="2" t="s">
        <v>21</v>
      </c>
      <c r="D741" s="2" t="s">
        <v>1051</v>
      </c>
      <c r="E741" s="2" t="s">
        <v>1052</v>
      </c>
      <c r="F741" s="2" t="s">
        <v>46</v>
      </c>
      <c r="G741" s="4">
        <v>141806</v>
      </c>
      <c r="H741" s="7">
        <v>44845</v>
      </c>
      <c r="I741" s="4">
        <v>70903</v>
      </c>
      <c r="J741" s="5" t="s">
        <v>36</v>
      </c>
      <c r="K741" t="str">
        <f t="shared" si="22"/>
        <v>Q4 2022</v>
      </c>
      <c r="L741" t="str">
        <f t="shared" si="23"/>
        <v>Q4 2022</v>
      </c>
    </row>
    <row r="742" spans="1:12" ht="15.75" customHeight="1" x14ac:dyDescent="0.3">
      <c r="A742" s="2" t="s">
        <v>1096</v>
      </c>
      <c r="B742" s="2" t="s">
        <v>20</v>
      </c>
      <c r="C742" s="2" t="s">
        <v>21</v>
      </c>
      <c r="D742" s="2" t="s">
        <v>1051</v>
      </c>
      <c r="E742" s="2" t="s">
        <v>1052</v>
      </c>
      <c r="F742" s="2" t="s">
        <v>1097</v>
      </c>
      <c r="G742" s="4">
        <v>139350</v>
      </c>
      <c r="H742" s="6">
        <v>44904</v>
      </c>
      <c r="I742" s="4">
        <v>69675</v>
      </c>
      <c r="J742" s="7">
        <v>44876</v>
      </c>
      <c r="K742" t="str">
        <f t="shared" si="22"/>
        <v>Q4 2022</v>
      </c>
      <c r="L742" t="str">
        <f t="shared" si="23"/>
        <v>Q4 2022</v>
      </c>
    </row>
    <row r="743" spans="1:12" ht="15.75" customHeight="1" x14ac:dyDescent="0.3">
      <c r="A743" s="2" t="s">
        <v>1098</v>
      </c>
      <c r="B743" s="2" t="s">
        <v>20</v>
      </c>
      <c r="C743" s="2" t="s">
        <v>21</v>
      </c>
      <c r="D743" s="2" t="s">
        <v>1051</v>
      </c>
      <c r="E743" s="2" t="s">
        <v>1052</v>
      </c>
      <c r="F743" s="2" t="s">
        <v>1099</v>
      </c>
      <c r="G743" s="4">
        <v>50152</v>
      </c>
      <c r="H743" s="5" t="s">
        <v>1016</v>
      </c>
      <c r="I743" s="4">
        <v>25076</v>
      </c>
      <c r="J743" s="6">
        <v>44869</v>
      </c>
      <c r="K743" t="str">
        <f t="shared" si="22"/>
        <v>Q4 2022</v>
      </c>
      <c r="L743" t="str">
        <f t="shared" si="23"/>
        <v>Q4 2022</v>
      </c>
    </row>
    <row r="744" spans="1:12" ht="15.75" customHeight="1" x14ac:dyDescent="0.3">
      <c r="A744" s="2" t="s">
        <v>1100</v>
      </c>
      <c r="B744" s="2" t="s">
        <v>20</v>
      </c>
      <c r="C744" s="2" t="s">
        <v>21</v>
      </c>
      <c r="D744" s="2" t="s">
        <v>1051</v>
      </c>
      <c r="E744" s="2" t="s">
        <v>1052</v>
      </c>
      <c r="F744" s="2" t="s">
        <v>1101</v>
      </c>
      <c r="G744" s="4">
        <v>62420</v>
      </c>
      <c r="H744" s="6">
        <v>44775</v>
      </c>
      <c r="I744" s="4">
        <v>31210</v>
      </c>
      <c r="J744" s="5" t="s">
        <v>1102</v>
      </c>
      <c r="K744" t="str">
        <f t="shared" si="22"/>
        <v>Q1 2022</v>
      </c>
      <c r="L744" t="str">
        <f t="shared" si="23"/>
        <v>Q1 2022</v>
      </c>
    </row>
    <row r="745" spans="1:12" ht="15.75" customHeight="1" x14ac:dyDescent="0.3">
      <c r="A745" s="2" t="s">
        <v>1103</v>
      </c>
      <c r="B745" s="2" t="s">
        <v>20</v>
      </c>
      <c r="C745" s="2" t="s">
        <v>21</v>
      </c>
      <c r="D745" s="2" t="s">
        <v>1051</v>
      </c>
      <c r="E745" s="2" t="s">
        <v>1052</v>
      </c>
      <c r="F745" s="2" t="s">
        <v>1104</v>
      </c>
      <c r="G745" s="4">
        <v>72195</v>
      </c>
      <c r="H745" s="6">
        <v>44806</v>
      </c>
      <c r="I745" s="4">
        <v>8022</v>
      </c>
      <c r="J745" s="5" t="s">
        <v>54</v>
      </c>
      <c r="K745" t="str">
        <f t="shared" si="22"/>
        <v>Q2 2022</v>
      </c>
      <c r="L745" t="str">
        <f t="shared" si="23"/>
        <v>Q2 2022</v>
      </c>
    </row>
    <row r="746" spans="1:12" ht="15.75" customHeight="1" x14ac:dyDescent="0.3">
      <c r="A746" s="2" t="s">
        <v>1105</v>
      </c>
      <c r="B746" s="2" t="s">
        <v>20</v>
      </c>
      <c r="C746" s="2" t="s">
        <v>21</v>
      </c>
      <c r="D746" s="2" t="s">
        <v>1051</v>
      </c>
      <c r="E746" s="2" t="s">
        <v>1052</v>
      </c>
      <c r="F746" s="2" t="s">
        <v>1093</v>
      </c>
      <c r="G746" s="4">
        <v>152450</v>
      </c>
      <c r="H746" s="6">
        <v>44928</v>
      </c>
      <c r="I746" s="4">
        <v>76225</v>
      </c>
      <c r="J746" s="5" t="s">
        <v>760</v>
      </c>
      <c r="K746" t="str">
        <f t="shared" si="22"/>
        <v>Q1 2023</v>
      </c>
      <c r="L746" t="str">
        <f t="shared" si="23"/>
        <v>Q1 2023</v>
      </c>
    </row>
    <row r="747" spans="1:12" ht="15.75" customHeight="1" x14ac:dyDescent="0.3">
      <c r="A747" s="2" t="s">
        <v>1106</v>
      </c>
      <c r="B747" s="2" t="s">
        <v>20</v>
      </c>
      <c r="C747" s="2" t="s">
        <v>21</v>
      </c>
      <c r="D747" s="2" t="s">
        <v>1051</v>
      </c>
      <c r="E747" s="2" t="s">
        <v>1052</v>
      </c>
      <c r="F747" s="2" t="s">
        <v>1107</v>
      </c>
      <c r="G747" s="4">
        <v>96000</v>
      </c>
      <c r="H747" s="5" t="s">
        <v>585</v>
      </c>
      <c r="I747" s="4">
        <v>5647</v>
      </c>
      <c r="J747" s="5" t="s">
        <v>197</v>
      </c>
      <c r="K747" t="str">
        <f t="shared" si="22"/>
        <v>Q3 2022</v>
      </c>
      <c r="L747" t="str">
        <f t="shared" si="23"/>
        <v>Q3 2022</v>
      </c>
    </row>
    <row r="748" spans="1:12" ht="15.75" customHeight="1" x14ac:dyDescent="0.3">
      <c r="A748" s="2" t="s">
        <v>1108</v>
      </c>
      <c r="B748" s="2" t="s">
        <v>20</v>
      </c>
      <c r="C748" s="2" t="s">
        <v>21</v>
      </c>
      <c r="D748" s="2" t="s">
        <v>1051</v>
      </c>
      <c r="E748" s="2" t="s">
        <v>1052</v>
      </c>
      <c r="F748" s="2" t="s">
        <v>1109</v>
      </c>
      <c r="G748" s="4">
        <v>149175</v>
      </c>
      <c r="H748" s="5" t="s">
        <v>1110</v>
      </c>
      <c r="I748" s="4">
        <v>49725</v>
      </c>
      <c r="J748" s="5" t="s">
        <v>305</v>
      </c>
      <c r="K748" t="str">
        <f t="shared" si="22"/>
        <v>Q1 2022</v>
      </c>
      <c r="L748" t="str">
        <f t="shared" si="23"/>
        <v>Q1 2022</v>
      </c>
    </row>
    <row r="749" spans="1:12" ht="15.75" customHeight="1" x14ac:dyDescent="0.3">
      <c r="A749" s="2" t="s">
        <v>1111</v>
      </c>
      <c r="B749" s="2" t="s">
        <v>20</v>
      </c>
      <c r="C749" s="2" t="s">
        <v>21</v>
      </c>
      <c r="D749" s="2" t="s">
        <v>1051</v>
      </c>
      <c r="E749" s="2" t="s">
        <v>1052</v>
      </c>
      <c r="F749" s="2" t="s">
        <v>46</v>
      </c>
      <c r="G749" s="4">
        <v>95986</v>
      </c>
      <c r="H749" s="5" t="s">
        <v>1112</v>
      </c>
      <c r="I749" s="4">
        <v>47993</v>
      </c>
      <c r="J749" s="6">
        <v>44775</v>
      </c>
      <c r="K749" t="str">
        <f t="shared" si="22"/>
        <v>Q3 2022</v>
      </c>
      <c r="L749" t="str">
        <f t="shared" si="23"/>
        <v>Q3 2022</v>
      </c>
    </row>
    <row r="750" spans="1:12" ht="15.75" customHeight="1" x14ac:dyDescent="0.3">
      <c r="A750" s="2" t="s">
        <v>1113</v>
      </c>
      <c r="B750" s="2" t="s">
        <v>20</v>
      </c>
      <c r="C750" s="2" t="s">
        <v>21</v>
      </c>
      <c r="D750" s="2" t="s">
        <v>1051</v>
      </c>
      <c r="E750" s="2" t="s">
        <v>1052</v>
      </c>
      <c r="F750" s="2" t="s">
        <v>1114</v>
      </c>
      <c r="G750" s="4">
        <v>97713</v>
      </c>
      <c r="H750" s="6">
        <v>44631</v>
      </c>
      <c r="I750" s="4">
        <v>4248</v>
      </c>
      <c r="J750" s="5" t="s">
        <v>97</v>
      </c>
      <c r="K750" t="str">
        <f t="shared" si="22"/>
        <v>Q4 2022</v>
      </c>
      <c r="L750" t="str">
        <f t="shared" si="23"/>
        <v>Q4 2022</v>
      </c>
    </row>
    <row r="751" spans="1:12" ht="15.75" customHeight="1" x14ac:dyDescent="0.3">
      <c r="A751" s="2" t="s">
        <v>1115</v>
      </c>
      <c r="B751" s="2" t="s">
        <v>20</v>
      </c>
      <c r="C751" s="2" t="s">
        <v>21</v>
      </c>
      <c r="D751" s="2" t="s">
        <v>1051</v>
      </c>
      <c r="E751" s="2" t="s">
        <v>1075</v>
      </c>
      <c r="F751" s="2" t="s">
        <v>1116</v>
      </c>
      <c r="G751" s="4">
        <v>60997</v>
      </c>
      <c r="H751" s="7">
        <v>44875</v>
      </c>
      <c r="I751" s="4">
        <v>7625</v>
      </c>
      <c r="J751" s="5" t="s">
        <v>36</v>
      </c>
      <c r="K751" t="str">
        <f t="shared" si="22"/>
        <v>Q4 2022</v>
      </c>
      <c r="L751" t="str">
        <f t="shared" si="23"/>
        <v>Q4 2022</v>
      </c>
    </row>
    <row r="752" spans="1:12" ht="15.75" customHeight="1" x14ac:dyDescent="0.3">
      <c r="A752" s="2" t="s">
        <v>1117</v>
      </c>
      <c r="B752" s="2" t="s">
        <v>20</v>
      </c>
      <c r="C752" s="2" t="s">
        <v>57</v>
      </c>
      <c r="D752" s="2" t="s">
        <v>1051</v>
      </c>
      <c r="E752" s="2" t="s">
        <v>1118</v>
      </c>
      <c r="F752" s="2" t="s">
        <v>239</v>
      </c>
      <c r="G752" s="4">
        <v>130556</v>
      </c>
      <c r="H752" s="5" t="s">
        <v>1119</v>
      </c>
      <c r="I752" s="4">
        <v>14506</v>
      </c>
      <c r="J752" s="6">
        <v>44777</v>
      </c>
      <c r="K752" t="str">
        <f t="shared" si="22"/>
        <v>Q3 2022</v>
      </c>
      <c r="L752" t="str">
        <f t="shared" si="23"/>
        <v>Q3 2022</v>
      </c>
    </row>
    <row r="753" spans="1:12" ht="15.75" customHeight="1" x14ac:dyDescent="0.3">
      <c r="A753" s="2" t="s">
        <v>1120</v>
      </c>
      <c r="B753" s="2" t="s">
        <v>20</v>
      </c>
      <c r="C753" s="2" t="s">
        <v>21</v>
      </c>
      <c r="D753" s="2" t="s">
        <v>1051</v>
      </c>
      <c r="E753" s="2" t="s">
        <v>1052</v>
      </c>
      <c r="F753" s="2" t="s">
        <v>1121</v>
      </c>
      <c r="G753" s="4">
        <v>80522</v>
      </c>
      <c r="H753" s="6">
        <v>44568</v>
      </c>
      <c r="I753" s="4">
        <v>26841</v>
      </c>
      <c r="J753" s="5" t="s">
        <v>1122</v>
      </c>
      <c r="K753" t="str">
        <f t="shared" si="22"/>
        <v>Q3 2022</v>
      </c>
      <c r="L753" t="str">
        <f t="shared" si="23"/>
        <v>Q3 2022</v>
      </c>
    </row>
    <row r="754" spans="1:12" ht="15.75" customHeight="1" x14ac:dyDescent="0.3">
      <c r="A754" s="2" t="s">
        <v>1123</v>
      </c>
      <c r="B754" s="2" t="s">
        <v>11</v>
      </c>
      <c r="C754" s="2" t="s">
        <v>12</v>
      </c>
      <c r="D754" s="2" t="s">
        <v>1051</v>
      </c>
      <c r="E754" s="2" t="s">
        <v>1052</v>
      </c>
      <c r="F754" s="2" t="s">
        <v>1093</v>
      </c>
      <c r="G754" s="2"/>
      <c r="H754" s="5" t="s">
        <v>422</v>
      </c>
      <c r="I754" s="4">
        <v>0</v>
      </c>
      <c r="J754" s="5" t="s">
        <v>301</v>
      </c>
      <c r="K754" t="str">
        <f t="shared" si="22"/>
        <v>Q4 2022</v>
      </c>
      <c r="L754" t="str">
        <f t="shared" si="23"/>
        <v>Q4 2022</v>
      </c>
    </row>
    <row r="755" spans="1:12" ht="15.75" customHeight="1" x14ac:dyDescent="0.3">
      <c r="A755" s="2" t="s">
        <v>1124</v>
      </c>
      <c r="B755" s="2" t="s">
        <v>20</v>
      </c>
      <c r="C755" s="2" t="s">
        <v>21</v>
      </c>
      <c r="D755" s="2" t="s">
        <v>1051</v>
      </c>
      <c r="E755" s="2" t="s">
        <v>1052</v>
      </c>
      <c r="F755" s="2" t="s">
        <v>1125</v>
      </c>
      <c r="G755" s="4">
        <v>171662</v>
      </c>
      <c r="H755" s="6">
        <v>44569</v>
      </c>
      <c r="I755" s="4">
        <v>57221</v>
      </c>
      <c r="J755" s="6">
        <v>44873</v>
      </c>
      <c r="K755" t="str">
        <f t="shared" si="22"/>
        <v>Q4 2022</v>
      </c>
      <c r="L755" t="str">
        <f t="shared" si="23"/>
        <v>Q4 2022</v>
      </c>
    </row>
    <row r="756" spans="1:12" ht="15.75" customHeight="1" x14ac:dyDescent="0.3">
      <c r="A756" s="2" t="s">
        <v>1126</v>
      </c>
      <c r="B756" s="2" t="s">
        <v>20</v>
      </c>
      <c r="C756" s="2" t="s">
        <v>21</v>
      </c>
      <c r="D756" s="2" t="s">
        <v>1051</v>
      </c>
      <c r="E756" s="2" t="s">
        <v>1052</v>
      </c>
      <c r="F756" s="2" t="s">
        <v>1127</v>
      </c>
      <c r="G756" s="4">
        <v>72238</v>
      </c>
      <c r="H756" s="5" t="s">
        <v>209</v>
      </c>
      <c r="I756" s="4">
        <v>4816</v>
      </c>
      <c r="J756" s="5" t="s">
        <v>210</v>
      </c>
      <c r="K756" t="str">
        <f t="shared" si="22"/>
        <v>Q4 2022</v>
      </c>
      <c r="L756" t="str">
        <f t="shared" si="23"/>
        <v>Q4 2022</v>
      </c>
    </row>
    <row r="757" spans="1:12" ht="15.75" customHeight="1" x14ac:dyDescent="0.3">
      <c r="A757" s="2" t="s">
        <v>1128</v>
      </c>
      <c r="B757" s="2" t="s">
        <v>20</v>
      </c>
      <c r="C757" s="2" t="s">
        <v>21</v>
      </c>
      <c r="D757" s="2" t="s">
        <v>1051</v>
      </c>
      <c r="E757" s="2" t="s">
        <v>1075</v>
      </c>
      <c r="F757" s="2" t="s">
        <v>1129</v>
      </c>
      <c r="G757" s="4">
        <v>38848</v>
      </c>
      <c r="H757" s="5" t="s">
        <v>882</v>
      </c>
      <c r="I757" s="4">
        <v>19424</v>
      </c>
      <c r="J757" s="6">
        <v>44784</v>
      </c>
      <c r="K757" t="str">
        <f t="shared" si="22"/>
        <v>Q3 2022</v>
      </c>
      <c r="L757" t="str">
        <f t="shared" si="23"/>
        <v>Q3 2022</v>
      </c>
    </row>
    <row r="758" spans="1:12" ht="15.75" customHeight="1" x14ac:dyDescent="0.3">
      <c r="A758" s="2" t="s">
        <v>1130</v>
      </c>
      <c r="B758" s="2" t="s">
        <v>20</v>
      </c>
      <c r="C758" s="2" t="s">
        <v>21</v>
      </c>
      <c r="D758" s="2" t="s">
        <v>1051</v>
      </c>
      <c r="E758" s="2" t="s">
        <v>1052</v>
      </c>
      <c r="F758" s="2" t="s">
        <v>1131</v>
      </c>
      <c r="G758" s="4">
        <v>277828</v>
      </c>
      <c r="H758" s="5" t="s">
        <v>1132</v>
      </c>
      <c r="I758" s="4">
        <v>34728</v>
      </c>
      <c r="J758" s="6">
        <v>44692</v>
      </c>
      <c r="K758" t="str">
        <f t="shared" si="22"/>
        <v>Q2 2022</v>
      </c>
      <c r="L758" t="str">
        <f t="shared" si="23"/>
        <v>Q2 2022</v>
      </c>
    </row>
    <row r="759" spans="1:12" ht="15.75" customHeight="1" x14ac:dyDescent="0.3">
      <c r="A759" s="2" t="s">
        <v>1133</v>
      </c>
      <c r="B759" s="2" t="s">
        <v>20</v>
      </c>
      <c r="C759" s="2" t="s">
        <v>21</v>
      </c>
      <c r="D759" s="2" t="s">
        <v>1051</v>
      </c>
      <c r="E759" s="2" t="s">
        <v>1075</v>
      </c>
      <c r="F759" s="2" t="s">
        <v>1134</v>
      </c>
      <c r="G759" s="4">
        <v>43898</v>
      </c>
      <c r="H759" s="5" t="s">
        <v>422</v>
      </c>
      <c r="I759" s="4">
        <v>43898</v>
      </c>
      <c r="J759" s="5" t="s">
        <v>301</v>
      </c>
      <c r="K759" t="str">
        <f t="shared" si="22"/>
        <v>Q4 2022</v>
      </c>
      <c r="L759" t="str">
        <f t="shared" si="23"/>
        <v>Q4 2022</v>
      </c>
    </row>
    <row r="760" spans="1:12" ht="15.75" customHeight="1" x14ac:dyDescent="0.3">
      <c r="A760" s="2" t="s">
        <v>1135</v>
      </c>
      <c r="B760" s="2" t="s">
        <v>20</v>
      </c>
      <c r="C760" s="2" t="s">
        <v>12</v>
      </c>
      <c r="D760" s="2" t="s">
        <v>1051</v>
      </c>
      <c r="E760" s="2" t="s">
        <v>1052</v>
      </c>
      <c r="F760" s="2" t="s">
        <v>1136</v>
      </c>
      <c r="G760" s="4">
        <v>112690</v>
      </c>
      <c r="H760" s="5" t="s">
        <v>422</v>
      </c>
      <c r="I760" s="8">
        <v>56345</v>
      </c>
      <c r="J760" s="5" t="s">
        <v>301</v>
      </c>
      <c r="K760" t="str">
        <f t="shared" si="22"/>
        <v>Q4 2022</v>
      </c>
      <c r="L760" t="str">
        <f t="shared" si="23"/>
        <v>Q4 2022</v>
      </c>
    </row>
    <row r="761" spans="1:12" ht="15.75" customHeight="1" x14ac:dyDescent="0.3">
      <c r="A761" s="2" t="s">
        <v>1137</v>
      </c>
      <c r="B761" s="2" t="s">
        <v>11</v>
      </c>
      <c r="C761" s="2" t="s">
        <v>12</v>
      </c>
      <c r="D761" s="2" t="s">
        <v>1051</v>
      </c>
      <c r="E761" s="2" t="s">
        <v>1052</v>
      </c>
      <c r="F761" s="2" t="s">
        <v>1138</v>
      </c>
      <c r="G761" s="2"/>
      <c r="H761" s="6">
        <v>44691</v>
      </c>
      <c r="I761" s="4">
        <v>0</v>
      </c>
      <c r="J761" s="5" t="s">
        <v>210</v>
      </c>
      <c r="K761" t="str">
        <f t="shared" si="22"/>
        <v>Q4 2022</v>
      </c>
      <c r="L761" t="str">
        <f t="shared" si="23"/>
        <v>Q4 2022</v>
      </c>
    </row>
    <row r="762" spans="1:12" ht="15.75" customHeight="1" x14ac:dyDescent="0.3">
      <c r="A762" s="2" t="s">
        <v>1139</v>
      </c>
      <c r="B762" s="2" t="s">
        <v>11</v>
      </c>
      <c r="C762" s="2" t="s">
        <v>12</v>
      </c>
      <c r="D762" s="2" t="s">
        <v>1051</v>
      </c>
      <c r="E762" s="2" t="s">
        <v>1052</v>
      </c>
      <c r="F762" s="2" t="s">
        <v>1093</v>
      </c>
      <c r="G762" s="2"/>
      <c r="H762" s="5" t="s">
        <v>1140</v>
      </c>
      <c r="I762" s="4">
        <v>0</v>
      </c>
      <c r="J762" s="5" t="s">
        <v>397</v>
      </c>
      <c r="K762" t="str">
        <f t="shared" si="22"/>
        <v>Q1 2022</v>
      </c>
      <c r="L762" t="str">
        <f t="shared" si="23"/>
        <v>Q1 2022</v>
      </c>
    </row>
    <row r="763" spans="1:12" ht="15.75" customHeight="1" x14ac:dyDescent="0.3">
      <c r="A763" s="2" t="s">
        <v>1141</v>
      </c>
      <c r="B763" s="2" t="s">
        <v>20</v>
      </c>
      <c r="C763" s="2" t="s">
        <v>21</v>
      </c>
      <c r="D763" s="2" t="s">
        <v>1051</v>
      </c>
      <c r="E763" s="2" t="s">
        <v>1075</v>
      </c>
      <c r="F763" s="2" t="s">
        <v>1142</v>
      </c>
      <c r="G763" s="4">
        <v>67021</v>
      </c>
      <c r="H763" s="5" t="s">
        <v>439</v>
      </c>
      <c r="I763" s="4">
        <v>8378</v>
      </c>
      <c r="J763" s="5" t="s">
        <v>137</v>
      </c>
      <c r="K763" t="str">
        <f t="shared" si="22"/>
        <v>Q2 2022</v>
      </c>
      <c r="L763" t="str">
        <f t="shared" si="23"/>
        <v>Q2 2022</v>
      </c>
    </row>
    <row r="764" spans="1:12" ht="15.75" customHeight="1" x14ac:dyDescent="0.3">
      <c r="A764" s="2" t="s">
        <v>1143</v>
      </c>
      <c r="B764" s="2" t="s">
        <v>20</v>
      </c>
      <c r="C764" s="2" t="s">
        <v>21</v>
      </c>
      <c r="D764" s="2" t="s">
        <v>1051</v>
      </c>
      <c r="E764" s="2" t="s">
        <v>1052</v>
      </c>
      <c r="F764" s="2" t="s">
        <v>1144</v>
      </c>
      <c r="G764" s="4">
        <v>124052</v>
      </c>
      <c r="H764" s="5" t="s">
        <v>1145</v>
      </c>
      <c r="I764" s="4">
        <v>62026</v>
      </c>
      <c r="J764" s="5" t="s">
        <v>1146</v>
      </c>
      <c r="K764" t="str">
        <f t="shared" si="22"/>
        <v>Q4 2022</v>
      </c>
      <c r="L764" t="str">
        <f t="shared" si="23"/>
        <v>Q4 2022</v>
      </c>
    </row>
    <row r="765" spans="1:12" ht="15.75" customHeight="1" x14ac:dyDescent="0.3">
      <c r="A765" s="2" t="s">
        <v>1147</v>
      </c>
      <c r="B765" s="2" t="s">
        <v>20</v>
      </c>
      <c r="C765" s="2" t="s">
        <v>21</v>
      </c>
      <c r="D765" s="2" t="s">
        <v>1051</v>
      </c>
      <c r="E765" s="2" t="s">
        <v>1052</v>
      </c>
      <c r="F765" s="2" t="s">
        <v>1148</v>
      </c>
      <c r="G765" s="4">
        <v>138637</v>
      </c>
      <c r="H765" s="5" t="s">
        <v>261</v>
      </c>
      <c r="I765" s="4">
        <v>69318</v>
      </c>
      <c r="J765" s="5" t="s">
        <v>1149</v>
      </c>
      <c r="K765" t="str">
        <f t="shared" si="22"/>
        <v>Q3 2022</v>
      </c>
      <c r="L765" t="str">
        <f t="shared" si="23"/>
        <v>Q3 2022</v>
      </c>
    </row>
    <row r="766" spans="1:12" ht="15.75" customHeight="1" x14ac:dyDescent="0.3">
      <c r="A766" s="2" t="s">
        <v>1150</v>
      </c>
      <c r="B766" s="2" t="s">
        <v>20</v>
      </c>
      <c r="C766" s="2" t="s">
        <v>21</v>
      </c>
      <c r="D766" s="2" t="s">
        <v>1051</v>
      </c>
      <c r="E766" s="2" t="s">
        <v>1052</v>
      </c>
      <c r="F766" s="2" t="s">
        <v>1093</v>
      </c>
      <c r="G766" s="4">
        <v>86682</v>
      </c>
      <c r="H766" s="6">
        <v>44813</v>
      </c>
      <c r="I766" s="4">
        <v>43341</v>
      </c>
      <c r="J766" s="6">
        <v>44784</v>
      </c>
      <c r="K766" t="str">
        <f t="shared" si="22"/>
        <v>Q3 2022</v>
      </c>
      <c r="L766" t="str">
        <f t="shared" si="23"/>
        <v>Q3 2022</v>
      </c>
    </row>
    <row r="767" spans="1:12" ht="15.75" customHeight="1" x14ac:dyDescent="0.3">
      <c r="A767" s="2" t="s">
        <v>1151</v>
      </c>
      <c r="B767" s="2" t="s">
        <v>11</v>
      </c>
      <c r="C767" s="2" t="s">
        <v>12</v>
      </c>
      <c r="D767" s="2" t="s">
        <v>1051</v>
      </c>
      <c r="E767" s="2" t="s">
        <v>1052</v>
      </c>
      <c r="F767" s="2" t="s">
        <v>1152</v>
      </c>
      <c r="G767" s="2"/>
      <c r="H767" s="5" t="s">
        <v>1153</v>
      </c>
      <c r="I767" s="4">
        <v>0</v>
      </c>
      <c r="J767" s="5" t="s">
        <v>1154</v>
      </c>
      <c r="K767" t="str">
        <f t="shared" si="22"/>
        <v>Q2 2022</v>
      </c>
      <c r="L767" t="str">
        <f t="shared" si="23"/>
        <v>Q2 2022</v>
      </c>
    </row>
    <row r="768" spans="1:12" ht="15.75" customHeight="1" x14ac:dyDescent="0.3">
      <c r="A768" s="2" t="s">
        <v>1155</v>
      </c>
      <c r="B768" s="2" t="s">
        <v>20</v>
      </c>
      <c r="C768" s="2" t="s">
        <v>21</v>
      </c>
      <c r="D768" s="2" t="s">
        <v>1051</v>
      </c>
      <c r="E768" s="2" t="s">
        <v>1052</v>
      </c>
      <c r="F768" s="2" t="s">
        <v>1156</v>
      </c>
      <c r="G768" s="4">
        <v>118608</v>
      </c>
      <c r="H768" s="6">
        <v>44813</v>
      </c>
      <c r="I768" s="4">
        <v>59304</v>
      </c>
      <c r="J768" s="6">
        <v>44784</v>
      </c>
      <c r="K768" t="str">
        <f t="shared" si="22"/>
        <v>Q3 2022</v>
      </c>
      <c r="L768" t="str">
        <f t="shared" si="23"/>
        <v>Q3 2022</v>
      </c>
    </row>
    <row r="769" spans="1:12" ht="15.75" customHeight="1" x14ac:dyDescent="0.3">
      <c r="A769" s="2" t="s">
        <v>1157</v>
      </c>
      <c r="B769" s="2" t="s">
        <v>20</v>
      </c>
      <c r="C769" s="2" t="s">
        <v>21</v>
      </c>
      <c r="D769" s="2" t="s">
        <v>1051</v>
      </c>
      <c r="E769" s="2" t="s">
        <v>1158</v>
      </c>
      <c r="F769" s="2" t="s">
        <v>1159</v>
      </c>
      <c r="G769" s="4">
        <v>145364</v>
      </c>
      <c r="H769" s="5" t="s">
        <v>1132</v>
      </c>
      <c r="I769" s="4">
        <v>24227</v>
      </c>
      <c r="J769" s="6">
        <v>44692</v>
      </c>
      <c r="K769" t="str">
        <f t="shared" si="22"/>
        <v>Q2 2022</v>
      </c>
      <c r="L769" t="str">
        <f t="shared" si="23"/>
        <v>Q2 2022</v>
      </c>
    </row>
    <row r="770" spans="1:12" ht="15.75" customHeight="1" x14ac:dyDescent="0.3">
      <c r="A770" s="2" t="s">
        <v>1160</v>
      </c>
      <c r="B770" s="2" t="s">
        <v>20</v>
      </c>
      <c r="C770" s="2" t="s">
        <v>21</v>
      </c>
      <c r="D770" s="2" t="s">
        <v>1051</v>
      </c>
      <c r="E770" s="2" t="s">
        <v>1052</v>
      </c>
      <c r="F770" s="2" t="s">
        <v>1161</v>
      </c>
      <c r="G770" s="4">
        <v>115107</v>
      </c>
      <c r="H770" s="6">
        <v>44627</v>
      </c>
      <c r="I770" s="4">
        <v>6058</v>
      </c>
      <c r="J770" s="6">
        <v>44874</v>
      </c>
      <c r="K770" t="str">
        <f t="shared" ref="K770:K833" si="24">"Q" &amp; ROUNDUP(MONTH(J:J)/3,0) &amp; " " &amp; YEAR(J:J)</f>
        <v>Q4 2022</v>
      </c>
      <c r="L770" t="str">
        <f t="shared" ref="L770:L833" si="25">"Q" &amp; ROUNDUP(MONTH(J:J)/3,0) &amp; " " &amp; YEAR(J:J)</f>
        <v>Q4 2022</v>
      </c>
    </row>
    <row r="771" spans="1:12" ht="15.75" customHeight="1" x14ac:dyDescent="0.3">
      <c r="A771" s="2" t="s">
        <v>1162</v>
      </c>
      <c r="B771" s="2" t="s">
        <v>20</v>
      </c>
      <c r="C771" s="2" t="s">
        <v>21</v>
      </c>
      <c r="D771" s="2" t="s">
        <v>1051</v>
      </c>
      <c r="E771" s="2" t="s">
        <v>1072</v>
      </c>
      <c r="F771" s="2" t="s">
        <v>1085</v>
      </c>
      <c r="G771" s="4">
        <v>76393</v>
      </c>
      <c r="H771" s="6">
        <v>44783</v>
      </c>
      <c r="I771" s="4">
        <v>19098</v>
      </c>
      <c r="J771" s="5" t="s">
        <v>1146</v>
      </c>
      <c r="K771" t="str">
        <f t="shared" si="24"/>
        <v>Q4 2022</v>
      </c>
      <c r="L771" t="str">
        <f t="shared" si="25"/>
        <v>Q4 2022</v>
      </c>
    </row>
    <row r="772" spans="1:12" ht="15.75" customHeight="1" x14ac:dyDescent="0.3">
      <c r="A772" s="2" t="s">
        <v>1163</v>
      </c>
      <c r="B772" s="2" t="s">
        <v>20</v>
      </c>
      <c r="C772" s="2" t="s">
        <v>21</v>
      </c>
      <c r="D772" s="2" t="s">
        <v>1051</v>
      </c>
      <c r="E772" s="2" t="s">
        <v>1052</v>
      </c>
      <c r="F772" s="2" t="s">
        <v>1164</v>
      </c>
      <c r="G772" s="4">
        <v>109545</v>
      </c>
      <c r="H772" s="6">
        <v>44686</v>
      </c>
      <c r="I772" s="4">
        <v>9129</v>
      </c>
      <c r="J772" s="5" t="s">
        <v>265</v>
      </c>
      <c r="K772" t="str">
        <f t="shared" si="24"/>
        <v>Q3 2022</v>
      </c>
      <c r="L772" t="str">
        <f t="shared" si="25"/>
        <v>Q3 2022</v>
      </c>
    </row>
    <row r="773" spans="1:12" ht="15.75" customHeight="1" x14ac:dyDescent="0.3">
      <c r="A773" s="2" t="s">
        <v>1165</v>
      </c>
      <c r="B773" s="2" t="s">
        <v>20</v>
      </c>
      <c r="C773" s="2" t="s">
        <v>21</v>
      </c>
      <c r="D773" s="2" t="s">
        <v>1051</v>
      </c>
      <c r="E773" s="2" t="s">
        <v>1052</v>
      </c>
      <c r="F773" s="2" t="s">
        <v>1093</v>
      </c>
      <c r="G773" s="4">
        <v>139353</v>
      </c>
      <c r="H773" s="5" t="s">
        <v>93</v>
      </c>
      <c r="I773" s="4">
        <v>34838</v>
      </c>
      <c r="J773" s="7">
        <v>44876</v>
      </c>
      <c r="K773" t="str">
        <f t="shared" si="24"/>
        <v>Q4 2022</v>
      </c>
      <c r="L773" t="str">
        <f t="shared" si="25"/>
        <v>Q4 2022</v>
      </c>
    </row>
    <row r="774" spans="1:12" ht="15.75" customHeight="1" x14ac:dyDescent="0.3">
      <c r="A774" s="2" t="s">
        <v>1166</v>
      </c>
      <c r="B774" s="2" t="s">
        <v>20</v>
      </c>
      <c r="C774" s="2" t="s">
        <v>21</v>
      </c>
      <c r="D774" s="2" t="s">
        <v>1051</v>
      </c>
      <c r="E774" s="2" t="s">
        <v>1052</v>
      </c>
      <c r="F774" s="2" t="s">
        <v>1161</v>
      </c>
      <c r="G774" s="4">
        <v>122795</v>
      </c>
      <c r="H774" s="5" t="s">
        <v>1167</v>
      </c>
      <c r="I774" s="4">
        <v>61397</v>
      </c>
      <c r="J774" s="6">
        <v>44685</v>
      </c>
      <c r="K774" t="str">
        <f t="shared" si="24"/>
        <v>Q2 2022</v>
      </c>
      <c r="L774" t="str">
        <f t="shared" si="25"/>
        <v>Q2 2022</v>
      </c>
    </row>
    <row r="775" spans="1:12" ht="15.75" customHeight="1" x14ac:dyDescent="0.3">
      <c r="A775" s="2" t="s">
        <v>1168</v>
      </c>
      <c r="B775" s="2" t="s">
        <v>20</v>
      </c>
      <c r="C775" s="2" t="s">
        <v>21</v>
      </c>
      <c r="D775" s="2" t="s">
        <v>1051</v>
      </c>
      <c r="E775" s="2" t="s">
        <v>1052</v>
      </c>
      <c r="F775" s="2" t="s">
        <v>1169</v>
      </c>
      <c r="G775" s="4">
        <v>143585</v>
      </c>
      <c r="H775" s="5" t="s">
        <v>1170</v>
      </c>
      <c r="I775" s="4">
        <v>71792</v>
      </c>
      <c r="J775" s="5" t="s">
        <v>397</v>
      </c>
      <c r="K775" t="str">
        <f t="shared" si="24"/>
        <v>Q1 2022</v>
      </c>
      <c r="L775" t="str">
        <f t="shared" si="25"/>
        <v>Q1 2022</v>
      </c>
    </row>
    <row r="776" spans="1:12" ht="15.75" customHeight="1" x14ac:dyDescent="0.3">
      <c r="A776" s="2" t="s">
        <v>1171</v>
      </c>
      <c r="B776" s="2" t="s">
        <v>11</v>
      </c>
      <c r="C776" s="2" t="s">
        <v>12</v>
      </c>
      <c r="D776" s="2" t="s">
        <v>1051</v>
      </c>
      <c r="E776" s="2" t="s">
        <v>1052</v>
      </c>
      <c r="F776" s="2" t="s">
        <v>1172</v>
      </c>
      <c r="G776" s="4">
        <v>142013</v>
      </c>
      <c r="H776" s="6">
        <v>44298</v>
      </c>
      <c r="I776" s="4">
        <v>0</v>
      </c>
      <c r="J776" s="6">
        <v>44594</v>
      </c>
      <c r="K776" t="str">
        <f t="shared" si="24"/>
        <v>Q1 2022</v>
      </c>
      <c r="L776" t="str">
        <f t="shared" si="25"/>
        <v>Q1 2022</v>
      </c>
    </row>
    <row r="777" spans="1:12" ht="15.75" customHeight="1" x14ac:dyDescent="0.3">
      <c r="A777" s="2" t="s">
        <v>1173</v>
      </c>
      <c r="B777" s="2" t="s">
        <v>20</v>
      </c>
      <c r="C777" s="2" t="s">
        <v>21</v>
      </c>
      <c r="D777" s="2" t="s">
        <v>1051</v>
      </c>
      <c r="E777" s="2" t="s">
        <v>1075</v>
      </c>
      <c r="F777" s="2" t="s">
        <v>1174</v>
      </c>
      <c r="G777" s="4">
        <v>143456</v>
      </c>
      <c r="H777" s="5" t="s">
        <v>1175</v>
      </c>
      <c r="I777" s="4">
        <v>71728</v>
      </c>
      <c r="J777" s="6">
        <v>44868</v>
      </c>
      <c r="K777" t="str">
        <f t="shared" si="24"/>
        <v>Q4 2022</v>
      </c>
      <c r="L777" t="str">
        <f t="shared" si="25"/>
        <v>Q4 2022</v>
      </c>
    </row>
    <row r="778" spans="1:12" ht="15.75" customHeight="1" x14ac:dyDescent="0.3">
      <c r="A778" s="2" t="s">
        <v>1176</v>
      </c>
      <c r="B778" s="2" t="s">
        <v>20</v>
      </c>
      <c r="C778" s="2" t="s">
        <v>21</v>
      </c>
      <c r="D778" s="2" t="s">
        <v>1051</v>
      </c>
      <c r="E778" s="2" t="s">
        <v>1075</v>
      </c>
      <c r="F778" s="2" t="s">
        <v>1177</v>
      </c>
      <c r="G778" s="4">
        <v>43894</v>
      </c>
      <c r="H778" s="5" t="s">
        <v>1178</v>
      </c>
      <c r="I778" s="4">
        <v>10973</v>
      </c>
      <c r="J778" s="6">
        <v>45139</v>
      </c>
      <c r="K778" t="str">
        <f t="shared" si="24"/>
        <v>Q3 2023</v>
      </c>
      <c r="L778" t="str">
        <f t="shared" si="25"/>
        <v>Q3 2023</v>
      </c>
    </row>
    <row r="779" spans="1:12" ht="15.75" customHeight="1" x14ac:dyDescent="0.3">
      <c r="A779" s="2" t="s">
        <v>1179</v>
      </c>
      <c r="B779" s="2" t="s">
        <v>11</v>
      </c>
      <c r="C779" s="2" t="s">
        <v>12</v>
      </c>
      <c r="D779" s="2" t="s">
        <v>1051</v>
      </c>
      <c r="E779" s="2" t="s">
        <v>1052</v>
      </c>
      <c r="F779" s="2" t="s">
        <v>46</v>
      </c>
      <c r="G779" s="4">
        <v>142258</v>
      </c>
      <c r="H779" s="5" t="s">
        <v>30</v>
      </c>
      <c r="I779" s="4">
        <v>0</v>
      </c>
      <c r="J779" s="6">
        <v>44603</v>
      </c>
      <c r="K779" t="str">
        <f t="shared" si="24"/>
        <v>Q1 2022</v>
      </c>
      <c r="L779" t="str">
        <f t="shared" si="25"/>
        <v>Q1 2022</v>
      </c>
    </row>
    <row r="780" spans="1:12" ht="15.75" customHeight="1" x14ac:dyDescent="0.3">
      <c r="A780" s="2" t="s">
        <v>1180</v>
      </c>
      <c r="B780" s="2" t="s">
        <v>20</v>
      </c>
      <c r="C780" s="2" t="s">
        <v>21</v>
      </c>
      <c r="D780" s="2" t="s">
        <v>1051</v>
      </c>
      <c r="E780" s="2" t="s">
        <v>1052</v>
      </c>
      <c r="F780" s="2" t="s">
        <v>1181</v>
      </c>
      <c r="G780" s="4">
        <v>101564</v>
      </c>
      <c r="H780" s="5" t="s">
        <v>1182</v>
      </c>
      <c r="I780" s="4">
        <v>25391</v>
      </c>
      <c r="J780" s="6">
        <v>44683</v>
      </c>
      <c r="K780" t="str">
        <f t="shared" si="24"/>
        <v>Q2 2022</v>
      </c>
      <c r="L780" t="str">
        <f t="shared" si="25"/>
        <v>Q2 2022</v>
      </c>
    </row>
    <row r="781" spans="1:12" ht="15.75" customHeight="1" x14ac:dyDescent="0.3">
      <c r="A781" s="2" t="s">
        <v>1183</v>
      </c>
      <c r="B781" s="2" t="s">
        <v>20</v>
      </c>
      <c r="C781" s="2" t="s">
        <v>21</v>
      </c>
      <c r="D781" s="2" t="s">
        <v>1051</v>
      </c>
      <c r="E781" s="2" t="s">
        <v>1075</v>
      </c>
      <c r="F781" s="2" t="s">
        <v>1184</v>
      </c>
      <c r="G781" s="4">
        <v>66263</v>
      </c>
      <c r="H781" s="5" t="s">
        <v>1185</v>
      </c>
      <c r="I781" s="4">
        <v>4418</v>
      </c>
      <c r="J781" s="6">
        <v>45142</v>
      </c>
      <c r="K781" t="str">
        <f t="shared" si="24"/>
        <v>Q3 2023</v>
      </c>
      <c r="L781" t="str">
        <f t="shared" si="25"/>
        <v>Q3 2023</v>
      </c>
    </row>
    <row r="782" spans="1:12" ht="15.75" customHeight="1" x14ac:dyDescent="0.3">
      <c r="A782" s="2" t="s">
        <v>1186</v>
      </c>
      <c r="B782" s="2" t="s">
        <v>11</v>
      </c>
      <c r="C782" s="2" t="s">
        <v>12</v>
      </c>
      <c r="D782" s="2" t="s">
        <v>1051</v>
      </c>
      <c r="E782" s="2" t="s">
        <v>1052</v>
      </c>
      <c r="F782" s="2" t="s">
        <v>1187</v>
      </c>
      <c r="G782" s="2"/>
      <c r="H782" s="5" t="s">
        <v>1188</v>
      </c>
      <c r="I782" s="4">
        <v>0</v>
      </c>
      <c r="J782" s="5" t="s">
        <v>1061</v>
      </c>
      <c r="K782" t="str">
        <f t="shared" si="24"/>
        <v>Q1 2022</v>
      </c>
      <c r="L782" t="str">
        <f t="shared" si="25"/>
        <v>Q1 2022</v>
      </c>
    </row>
    <row r="783" spans="1:12" ht="15.75" customHeight="1" x14ac:dyDescent="0.3">
      <c r="A783" s="2" t="s">
        <v>1189</v>
      </c>
      <c r="B783" s="2" t="s">
        <v>11</v>
      </c>
      <c r="C783" s="2" t="s">
        <v>12</v>
      </c>
      <c r="D783" s="2" t="s">
        <v>1051</v>
      </c>
      <c r="E783" s="2" t="s">
        <v>1052</v>
      </c>
      <c r="F783" s="2" t="s">
        <v>1190</v>
      </c>
      <c r="G783" s="2"/>
      <c r="H783" s="6">
        <v>44899</v>
      </c>
      <c r="I783" s="4">
        <v>0</v>
      </c>
      <c r="J783" s="6">
        <v>44871</v>
      </c>
      <c r="K783" t="str">
        <f t="shared" si="24"/>
        <v>Q4 2022</v>
      </c>
      <c r="L783" t="str">
        <f t="shared" si="25"/>
        <v>Q4 2022</v>
      </c>
    </row>
    <row r="784" spans="1:12" ht="15.75" customHeight="1" x14ac:dyDescent="0.3">
      <c r="A784" s="2" t="s">
        <v>1191</v>
      </c>
      <c r="B784" s="2" t="s">
        <v>20</v>
      </c>
      <c r="C784" s="2" t="s">
        <v>21</v>
      </c>
      <c r="D784" s="2" t="s">
        <v>1051</v>
      </c>
      <c r="E784" s="2" t="s">
        <v>1052</v>
      </c>
      <c r="F784" s="2" t="s">
        <v>1148</v>
      </c>
      <c r="G784" s="4">
        <v>92126</v>
      </c>
      <c r="H784" s="5" t="s">
        <v>1192</v>
      </c>
      <c r="I784" s="4">
        <v>23032</v>
      </c>
      <c r="J784" s="5" t="s">
        <v>123</v>
      </c>
      <c r="K784" t="str">
        <f t="shared" si="24"/>
        <v>Q4 2021</v>
      </c>
      <c r="L784" t="str">
        <f t="shared" si="25"/>
        <v>Q4 2021</v>
      </c>
    </row>
    <row r="785" spans="1:12" ht="15.75" customHeight="1" x14ac:dyDescent="0.3">
      <c r="A785" s="2" t="s">
        <v>1193</v>
      </c>
      <c r="B785" s="2" t="s">
        <v>20</v>
      </c>
      <c r="C785" s="2" t="s">
        <v>21</v>
      </c>
      <c r="D785" s="2" t="s">
        <v>1051</v>
      </c>
      <c r="E785" s="2" t="s">
        <v>1052</v>
      </c>
      <c r="F785" s="2" t="s">
        <v>1194</v>
      </c>
      <c r="G785" s="4">
        <v>94769</v>
      </c>
      <c r="H785" s="5" t="s">
        <v>1195</v>
      </c>
      <c r="I785" s="4">
        <v>47385</v>
      </c>
      <c r="J785" s="5" t="s">
        <v>301</v>
      </c>
      <c r="K785" t="str">
        <f t="shared" si="24"/>
        <v>Q4 2022</v>
      </c>
      <c r="L785" t="str">
        <f t="shared" si="25"/>
        <v>Q4 2022</v>
      </c>
    </row>
    <row r="786" spans="1:12" ht="15.75" customHeight="1" x14ac:dyDescent="0.3">
      <c r="A786" s="2" t="s">
        <v>1196</v>
      </c>
      <c r="B786" s="2" t="s">
        <v>20</v>
      </c>
      <c r="C786" s="2" t="s">
        <v>12</v>
      </c>
      <c r="D786" s="2" t="s">
        <v>1051</v>
      </c>
      <c r="E786" s="2" t="s">
        <v>1052</v>
      </c>
      <c r="F786" s="2" t="s">
        <v>1093</v>
      </c>
      <c r="G786" s="4">
        <v>62373</v>
      </c>
      <c r="H786" s="5" t="s">
        <v>1197</v>
      </c>
      <c r="I786" s="8">
        <v>6237</v>
      </c>
      <c r="J786" s="5" t="s">
        <v>1198</v>
      </c>
      <c r="K786" t="str">
        <f t="shared" si="24"/>
        <v>Q1 2023</v>
      </c>
      <c r="L786" t="str">
        <f t="shared" si="25"/>
        <v>Q1 2023</v>
      </c>
    </row>
    <row r="787" spans="1:12" ht="15.75" customHeight="1" x14ac:dyDescent="0.3">
      <c r="A787" s="2" t="s">
        <v>1199</v>
      </c>
      <c r="B787" s="2" t="s">
        <v>20</v>
      </c>
      <c r="C787" s="2" t="s">
        <v>21</v>
      </c>
      <c r="D787" s="2" t="s">
        <v>1051</v>
      </c>
      <c r="E787" s="2" t="s">
        <v>1052</v>
      </c>
      <c r="F787" s="2" t="s">
        <v>1200</v>
      </c>
      <c r="G787" s="4">
        <v>88677</v>
      </c>
      <c r="H787" s="6">
        <v>45108</v>
      </c>
      <c r="I787" s="4">
        <v>44338</v>
      </c>
      <c r="J787" s="5" t="s">
        <v>1198</v>
      </c>
      <c r="K787" t="str">
        <f t="shared" si="24"/>
        <v>Q1 2023</v>
      </c>
      <c r="L787" t="str">
        <f t="shared" si="25"/>
        <v>Q1 2023</v>
      </c>
    </row>
    <row r="788" spans="1:12" ht="15.75" customHeight="1" x14ac:dyDescent="0.3">
      <c r="A788" s="2" t="s">
        <v>1201</v>
      </c>
      <c r="B788" s="2" t="s">
        <v>20</v>
      </c>
      <c r="C788" s="2" t="s">
        <v>21</v>
      </c>
      <c r="D788" s="2" t="s">
        <v>1051</v>
      </c>
      <c r="E788" s="2" t="s">
        <v>1052</v>
      </c>
      <c r="F788" s="2" t="s">
        <v>1202</v>
      </c>
      <c r="G788" s="4">
        <v>54728</v>
      </c>
      <c r="H788" s="5" t="s">
        <v>1203</v>
      </c>
      <c r="I788" s="4">
        <v>27364</v>
      </c>
      <c r="J788" s="6">
        <v>44683</v>
      </c>
      <c r="K788" t="str">
        <f t="shared" si="24"/>
        <v>Q2 2022</v>
      </c>
      <c r="L788" t="str">
        <f t="shared" si="25"/>
        <v>Q2 2022</v>
      </c>
    </row>
    <row r="789" spans="1:12" ht="15.75" customHeight="1" x14ac:dyDescent="0.3">
      <c r="A789" s="2" t="s">
        <v>1204</v>
      </c>
      <c r="B789" s="2" t="s">
        <v>11</v>
      </c>
      <c r="C789" s="2" t="s">
        <v>12</v>
      </c>
      <c r="D789" s="2" t="s">
        <v>1051</v>
      </c>
      <c r="E789" s="2" t="s">
        <v>1052</v>
      </c>
      <c r="F789" s="2" t="s">
        <v>46</v>
      </c>
      <c r="G789" s="4">
        <v>40755</v>
      </c>
      <c r="H789" s="5" t="s">
        <v>322</v>
      </c>
      <c r="I789" s="4">
        <v>0</v>
      </c>
      <c r="J789" s="6">
        <v>44594</v>
      </c>
      <c r="K789" t="str">
        <f t="shared" si="24"/>
        <v>Q1 2022</v>
      </c>
      <c r="L789" t="str">
        <f t="shared" si="25"/>
        <v>Q1 2022</v>
      </c>
    </row>
    <row r="790" spans="1:12" ht="15.75" customHeight="1" x14ac:dyDescent="0.3">
      <c r="A790" s="2" t="s">
        <v>1205</v>
      </c>
      <c r="B790" s="2" t="s">
        <v>20</v>
      </c>
      <c r="C790" s="2" t="s">
        <v>21</v>
      </c>
      <c r="D790" s="2" t="s">
        <v>1051</v>
      </c>
      <c r="E790" s="2" t="s">
        <v>1052</v>
      </c>
      <c r="F790" s="2" t="s">
        <v>1206</v>
      </c>
      <c r="G790" s="4">
        <v>42040</v>
      </c>
      <c r="H790" s="6">
        <v>44686</v>
      </c>
      <c r="I790" s="4">
        <v>14013</v>
      </c>
      <c r="J790" s="5" t="s">
        <v>1154</v>
      </c>
      <c r="K790" t="str">
        <f t="shared" si="24"/>
        <v>Q2 2022</v>
      </c>
      <c r="L790" t="str">
        <f t="shared" si="25"/>
        <v>Q2 2022</v>
      </c>
    </row>
    <row r="791" spans="1:12" ht="15.75" customHeight="1" x14ac:dyDescent="0.3">
      <c r="A791" s="2" t="s">
        <v>1207</v>
      </c>
      <c r="B791" s="2" t="s">
        <v>20</v>
      </c>
      <c r="C791" s="2" t="s">
        <v>21</v>
      </c>
      <c r="D791" s="2" t="s">
        <v>1051</v>
      </c>
      <c r="E791" s="2" t="s">
        <v>1052</v>
      </c>
      <c r="F791" s="2" t="s">
        <v>1208</v>
      </c>
      <c r="G791" s="4">
        <v>58015</v>
      </c>
      <c r="H791" s="5" t="s">
        <v>1209</v>
      </c>
      <c r="I791" s="4">
        <v>3626</v>
      </c>
      <c r="J791" s="5" t="s">
        <v>1210</v>
      </c>
      <c r="K791" t="str">
        <f t="shared" si="24"/>
        <v>Q1 2023</v>
      </c>
      <c r="L791" t="str">
        <f t="shared" si="25"/>
        <v>Q1 2023</v>
      </c>
    </row>
    <row r="792" spans="1:12" ht="15.75" customHeight="1" x14ac:dyDescent="0.3">
      <c r="A792" s="2" t="s">
        <v>1211</v>
      </c>
      <c r="B792" s="2" t="s">
        <v>11</v>
      </c>
      <c r="C792" s="2" t="s">
        <v>12</v>
      </c>
      <c r="D792" s="2" t="s">
        <v>1051</v>
      </c>
      <c r="E792" s="2" t="s">
        <v>1052</v>
      </c>
      <c r="F792" s="2" t="s">
        <v>46</v>
      </c>
      <c r="G792" s="4">
        <v>76353</v>
      </c>
      <c r="H792" s="5" t="s">
        <v>30</v>
      </c>
      <c r="I792" s="4">
        <v>0</v>
      </c>
      <c r="J792" s="6">
        <v>44603</v>
      </c>
      <c r="K792" t="str">
        <f t="shared" si="24"/>
        <v>Q1 2022</v>
      </c>
      <c r="L792" t="str">
        <f t="shared" si="25"/>
        <v>Q1 2022</v>
      </c>
    </row>
    <row r="793" spans="1:12" ht="15.75" customHeight="1" x14ac:dyDescent="0.3">
      <c r="A793" s="2" t="s">
        <v>1212</v>
      </c>
      <c r="B793" s="2" t="s">
        <v>20</v>
      </c>
      <c r="C793" s="2" t="s">
        <v>21</v>
      </c>
      <c r="D793" s="2" t="s">
        <v>1051</v>
      </c>
      <c r="E793" s="2" t="s">
        <v>1052</v>
      </c>
      <c r="F793" s="2" t="s">
        <v>1161</v>
      </c>
      <c r="G793" s="4">
        <v>422947</v>
      </c>
      <c r="H793" s="6">
        <v>44904</v>
      </c>
      <c r="I793" s="4">
        <v>211474</v>
      </c>
      <c r="J793" s="7">
        <v>44876</v>
      </c>
      <c r="K793" t="str">
        <f t="shared" si="24"/>
        <v>Q4 2022</v>
      </c>
      <c r="L793" t="str">
        <f t="shared" si="25"/>
        <v>Q4 2022</v>
      </c>
    </row>
    <row r="794" spans="1:12" ht="15.75" customHeight="1" x14ac:dyDescent="0.3">
      <c r="A794" s="2" t="s">
        <v>1213</v>
      </c>
      <c r="B794" s="2" t="s">
        <v>20</v>
      </c>
      <c r="C794" s="2" t="s">
        <v>21</v>
      </c>
      <c r="D794" s="2" t="s">
        <v>1051</v>
      </c>
      <c r="E794" s="2" t="s">
        <v>1052</v>
      </c>
      <c r="F794" s="2" t="s">
        <v>1214</v>
      </c>
      <c r="G794" s="4">
        <v>105593</v>
      </c>
      <c r="H794" s="5" t="s">
        <v>1016</v>
      </c>
      <c r="I794" s="4">
        <v>17599</v>
      </c>
      <c r="J794" s="6">
        <v>44869</v>
      </c>
      <c r="K794" t="str">
        <f t="shared" si="24"/>
        <v>Q4 2022</v>
      </c>
      <c r="L794" t="str">
        <f t="shared" si="25"/>
        <v>Q4 2022</v>
      </c>
    </row>
    <row r="795" spans="1:12" ht="15.75" customHeight="1" x14ac:dyDescent="0.3">
      <c r="A795" s="2" t="s">
        <v>1215</v>
      </c>
      <c r="B795" s="2" t="s">
        <v>20</v>
      </c>
      <c r="C795" s="2" t="s">
        <v>21</v>
      </c>
      <c r="D795" s="2" t="s">
        <v>1051</v>
      </c>
      <c r="E795" s="2" t="s">
        <v>1052</v>
      </c>
      <c r="F795" s="2" t="s">
        <v>1093</v>
      </c>
      <c r="G795" s="4">
        <v>132323</v>
      </c>
      <c r="H795" s="6">
        <v>44874</v>
      </c>
      <c r="I795" s="4">
        <v>66162</v>
      </c>
      <c r="J795" s="5" t="s">
        <v>36</v>
      </c>
      <c r="K795" t="str">
        <f t="shared" si="24"/>
        <v>Q4 2022</v>
      </c>
      <c r="L795" t="str">
        <f t="shared" si="25"/>
        <v>Q4 2022</v>
      </c>
    </row>
    <row r="796" spans="1:12" ht="15.75" customHeight="1" x14ac:dyDescent="0.3">
      <c r="A796" s="2" t="s">
        <v>1216</v>
      </c>
      <c r="B796" s="2" t="s">
        <v>20</v>
      </c>
      <c r="C796" s="2" t="s">
        <v>21</v>
      </c>
      <c r="D796" s="2" t="s">
        <v>1051</v>
      </c>
      <c r="E796" s="2" t="s">
        <v>1052</v>
      </c>
      <c r="F796" s="2" t="s">
        <v>1148</v>
      </c>
      <c r="G796" s="4">
        <v>172856</v>
      </c>
      <c r="H796" s="6">
        <v>44659</v>
      </c>
      <c r="I796" s="4">
        <v>86428</v>
      </c>
      <c r="J796" s="5" t="s">
        <v>1217</v>
      </c>
      <c r="K796" t="str">
        <f t="shared" si="24"/>
        <v>Q3 2022</v>
      </c>
      <c r="L796" t="str">
        <f t="shared" si="25"/>
        <v>Q3 2022</v>
      </c>
    </row>
    <row r="797" spans="1:12" ht="15.75" customHeight="1" x14ac:dyDescent="0.3">
      <c r="A797" s="2" t="s">
        <v>1218</v>
      </c>
      <c r="B797" s="2" t="s">
        <v>20</v>
      </c>
      <c r="C797" s="2" t="s">
        <v>57</v>
      </c>
      <c r="D797" s="2" t="s">
        <v>1051</v>
      </c>
      <c r="E797" s="2" t="s">
        <v>1052</v>
      </c>
      <c r="F797" s="2" t="s">
        <v>1219</v>
      </c>
      <c r="G797" s="4">
        <v>96619</v>
      </c>
      <c r="H797" s="5" t="s">
        <v>1220</v>
      </c>
      <c r="I797" s="4">
        <v>48309</v>
      </c>
      <c r="J797" s="6">
        <v>44784</v>
      </c>
      <c r="K797" t="str">
        <f t="shared" si="24"/>
        <v>Q3 2022</v>
      </c>
      <c r="L797" t="str">
        <f t="shared" si="25"/>
        <v>Q3 2022</v>
      </c>
    </row>
    <row r="798" spans="1:12" ht="15.75" customHeight="1" x14ac:dyDescent="0.3">
      <c r="A798" s="2" t="s">
        <v>1221</v>
      </c>
      <c r="B798" s="2" t="s">
        <v>11</v>
      </c>
      <c r="C798" s="2" t="s">
        <v>12</v>
      </c>
      <c r="D798" s="2" t="s">
        <v>1051</v>
      </c>
      <c r="E798" s="2" t="s">
        <v>1052</v>
      </c>
      <c r="F798" s="2" t="s">
        <v>1222</v>
      </c>
      <c r="G798" s="2"/>
      <c r="H798" s="5" t="s">
        <v>717</v>
      </c>
      <c r="I798" s="4">
        <v>0</v>
      </c>
      <c r="J798" s="7">
        <v>44876</v>
      </c>
      <c r="K798" t="str">
        <f t="shared" si="24"/>
        <v>Q4 2022</v>
      </c>
      <c r="L798" t="str">
        <f t="shared" si="25"/>
        <v>Q4 2022</v>
      </c>
    </row>
    <row r="799" spans="1:12" ht="15.75" customHeight="1" x14ac:dyDescent="0.3">
      <c r="A799" s="2" t="s">
        <v>1223</v>
      </c>
      <c r="B799" s="2" t="s">
        <v>20</v>
      </c>
      <c r="C799" s="2" t="s">
        <v>57</v>
      </c>
      <c r="D799" s="2" t="s">
        <v>1224</v>
      </c>
      <c r="E799" s="2" t="s">
        <v>1075</v>
      </c>
      <c r="F799" s="2" t="s">
        <v>1225</v>
      </c>
      <c r="G799" s="4">
        <v>139497</v>
      </c>
      <c r="H799" s="5" t="s">
        <v>1195</v>
      </c>
      <c r="I799" s="4">
        <v>69749</v>
      </c>
      <c r="J799" s="5" t="s">
        <v>1146</v>
      </c>
      <c r="K799" t="str">
        <f t="shared" si="24"/>
        <v>Q4 2022</v>
      </c>
      <c r="L799" t="str">
        <f t="shared" si="25"/>
        <v>Q4 2022</v>
      </c>
    </row>
    <row r="800" spans="1:12" ht="15.75" customHeight="1" x14ac:dyDescent="0.3">
      <c r="A800" s="80" t="s">
        <v>1226</v>
      </c>
      <c r="B800" s="2" t="s">
        <v>11</v>
      </c>
      <c r="C800" s="2" t="s">
        <v>12</v>
      </c>
      <c r="D800" s="2" t="s">
        <v>1224</v>
      </c>
      <c r="E800" s="2" t="s">
        <v>187</v>
      </c>
      <c r="F800" s="2" t="s">
        <v>1227</v>
      </c>
      <c r="G800" s="4">
        <v>62392</v>
      </c>
      <c r="H800" s="6">
        <v>44562</v>
      </c>
      <c r="I800" s="4">
        <v>0</v>
      </c>
      <c r="J800" s="6">
        <v>44595</v>
      </c>
      <c r="K800" t="str">
        <f t="shared" si="24"/>
        <v>Q1 2022</v>
      </c>
      <c r="L800" t="str">
        <f t="shared" si="25"/>
        <v>Q1 2022</v>
      </c>
    </row>
    <row r="801" spans="1:12" ht="15.75" customHeight="1" x14ac:dyDescent="0.3">
      <c r="A801" s="2" t="s">
        <v>1228</v>
      </c>
      <c r="B801" s="2" t="s">
        <v>20</v>
      </c>
      <c r="C801" s="2" t="s">
        <v>21</v>
      </c>
      <c r="D801" s="2" t="s">
        <v>1224</v>
      </c>
      <c r="E801" s="2" t="s">
        <v>187</v>
      </c>
      <c r="F801" s="2" t="s">
        <v>1229</v>
      </c>
      <c r="G801" s="4">
        <v>118662</v>
      </c>
      <c r="H801" s="5" t="s">
        <v>1230</v>
      </c>
      <c r="I801" s="4">
        <v>59331</v>
      </c>
      <c r="J801" s="5" t="s">
        <v>1231</v>
      </c>
      <c r="K801" t="str">
        <f t="shared" si="24"/>
        <v>Q1 2023</v>
      </c>
      <c r="L801" t="str">
        <f t="shared" si="25"/>
        <v>Q1 2023</v>
      </c>
    </row>
    <row r="802" spans="1:12" ht="15.75" customHeight="1" x14ac:dyDescent="0.3">
      <c r="A802" s="2" t="s">
        <v>1232</v>
      </c>
      <c r="B802" s="2" t="s">
        <v>11</v>
      </c>
      <c r="C802" s="2" t="s">
        <v>12</v>
      </c>
      <c r="D802" s="2" t="s">
        <v>1224</v>
      </c>
      <c r="E802" s="2" t="s">
        <v>187</v>
      </c>
      <c r="F802" s="2" t="s">
        <v>1233</v>
      </c>
      <c r="G802" s="4">
        <v>80118</v>
      </c>
      <c r="H802" s="5" t="s">
        <v>42</v>
      </c>
      <c r="I802" s="4">
        <v>0</v>
      </c>
      <c r="J802" s="6">
        <v>44603</v>
      </c>
      <c r="K802" t="str">
        <f t="shared" si="24"/>
        <v>Q1 2022</v>
      </c>
      <c r="L802" t="str">
        <f t="shared" si="25"/>
        <v>Q1 2022</v>
      </c>
    </row>
    <row r="803" spans="1:12" ht="15.75" customHeight="1" x14ac:dyDescent="0.3">
      <c r="A803" s="2" t="s">
        <v>1234</v>
      </c>
      <c r="B803" s="2" t="s">
        <v>11</v>
      </c>
      <c r="C803" s="2" t="s">
        <v>12</v>
      </c>
      <c r="D803" s="2" t="s">
        <v>1224</v>
      </c>
      <c r="E803" s="2" t="s">
        <v>187</v>
      </c>
      <c r="F803" s="2" t="s">
        <v>46</v>
      </c>
      <c r="G803" s="4">
        <v>63692</v>
      </c>
      <c r="H803" s="5" t="s">
        <v>71</v>
      </c>
      <c r="I803" s="4">
        <v>0</v>
      </c>
      <c r="J803" s="6">
        <v>44603</v>
      </c>
      <c r="K803" t="str">
        <f t="shared" si="24"/>
        <v>Q1 2022</v>
      </c>
      <c r="L803" t="str">
        <f t="shared" si="25"/>
        <v>Q1 2022</v>
      </c>
    </row>
    <row r="804" spans="1:12" ht="15.75" customHeight="1" x14ac:dyDescent="0.3">
      <c r="A804" s="2" t="s">
        <v>1235</v>
      </c>
      <c r="B804" s="2" t="s">
        <v>11</v>
      </c>
      <c r="C804" s="2" t="s">
        <v>12</v>
      </c>
      <c r="D804" s="2" t="s">
        <v>1224</v>
      </c>
      <c r="E804" s="2" t="s">
        <v>187</v>
      </c>
      <c r="F804" s="2" t="s">
        <v>46</v>
      </c>
      <c r="G804" s="4">
        <v>112698</v>
      </c>
      <c r="H804" s="5" t="s">
        <v>30</v>
      </c>
      <c r="I804" s="4">
        <v>0</v>
      </c>
      <c r="J804" s="6">
        <v>44603</v>
      </c>
      <c r="K804" t="str">
        <f t="shared" si="24"/>
        <v>Q1 2022</v>
      </c>
      <c r="L804" t="str">
        <f t="shared" si="25"/>
        <v>Q1 2022</v>
      </c>
    </row>
    <row r="805" spans="1:12" ht="15.75" customHeight="1" x14ac:dyDescent="0.3">
      <c r="A805" s="2" t="s">
        <v>1236</v>
      </c>
      <c r="B805" s="2" t="s">
        <v>11</v>
      </c>
      <c r="C805" s="2" t="s">
        <v>12</v>
      </c>
      <c r="D805" s="2" t="s">
        <v>1224</v>
      </c>
      <c r="E805" s="2" t="s">
        <v>187</v>
      </c>
      <c r="F805" s="2" t="s">
        <v>1237</v>
      </c>
      <c r="G805" s="4">
        <v>107238</v>
      </c>
      <c r="H805" s="5" t="s">
        <v>71</v>
      </c>
      <c r="I805" s="4">
        <v>0</v>
      </c>
      <c r="J805" s="6">
        <v>44603</v>
      </c>
      <c r="K805" t="str">
        <f t="shared" si="24"/>
        <v>Q1 2022</v>
      </c>
      <c r="L805" t="str">
        <f t="shared" si="25"/>
        <v>Q1 2022</v>
      </c>
    </row>
    <row r="806" spans="1:12" ht="15.75" customHeight="1" x14ac:dyDescent="0.3">
      <c r="A806" s="2" t="s">
        <v>1238</v>
      </c>
      <c r="B806" s="2" t="s">
        <v>11</v>
      </c>
      <c r="C806" s="2" t="s">
        <v>12</v>
      </c>
      <c r="D806" s="2" t="s">
        <v>1224</v>
      </c>
      <c r="E806" s="2" t="s">
        <v>1118</v>
      </c>
      <c r="F806" s="2" t="s">
        <v>1239</v>
      </c>
      <c r="G806" s="4">
        <v>354937</v>
      </c>
      <c r="H806" s="5" t="s">
        <v>25</v>
      </c>
      <c r="I806" s="4">
        <v>0</v>
      </c>
      <c r="J806" s="6">
        <v>44603</v>
      </c>
      <c r="K806" t="str">
        <f t="shared" si="24"/>
        <v>Q1 2022</v>
      </c>
      <c r="L806" t="str">
        <f t="shared" si="25"/>
        <v>Q1 2022</v>
      </c>
    </row>
    <row r="807" spans="1:12" ht="15.75" customHeight="1" x14ac:dyDescent="0.3">
      <c r="A807" s="2" t="s">
        <v>1240</v>
      </c>
      <c r="B807" s="2" t="s">
        <v>11</v>
      </c>
      <c r="C807" s="2" t="s">
        <v>12</v>
      </c>
      <c r="D807" s="2" t="s">
        <v>1224</v>
      </c>
      <c r="E807" s="2" t="s">
        <v>187</v>
      </c>
      <c r="F807" s="2" t="s">
        <v>580</v>
      </c>
      <c r="G807" s="4">
        <v>109464</v>
      </c>
      <c r="H807" s="5" t="s">
        <v>30</v>
      </c>
      <c r="I807" s="4">
        <v>0</v>
      </c>
      <c r="J807" s="6">
        <v>44603</v>
      </c>
      <c r="K807" t="str">
        <f t="shared" si="24"/>
        <v>Q1 2022</v>
      </c>
      <c r="L807" t="str">
        <f t="shared" si="25"/>
        <v>Q1 2022</v>
      </c>
    </row>
    <row r="808" spans="1:12" ht="15.75" customHeight="1" x14ac:dyDescent="0.3">
      <c r="A808" s="2" t="s">
        <v>1241</v>
      </c>
      <c r="B808" s="2" t="s">
        <v>11</v>
      </c>
      <c r="C808" s="2" t="s">
        <v>12</v>
      </c>
      <c r="D808" s="2" t="s">
        <v>1224</v>
      </c>
      <c r="E808" s="2" t="s">
        <v>187</v>
      </c>
      <c r="F808" s="2" t="s">
        <v>46</v>
      </c>
      <c r="G808" s="4">
        <v>129233</v>
      </c>
      <c r="H808" s="5" t="s">
        <v>71</v>
      </c>
      <c r="I808" s="4">
        <v>0</v>
      </c>
      <c r="J808" s="6">
        <v>44603</v>
      </c>
      <c r="K808" t="str">
        <f t="shared" si="24"/>
        <v>Q1 2022</v>
      </c>
      <c r="L808" t="str">
        <f t="shared" si="25"/>
        <v>Q1 2022</v>
      </c>
    </row>
    <row r="809" spans="1:12" ht="15.75" customHeight="1" x14ac:dyDescent="0.3">
      <c r="A809" s="2" t="s">
        <v>1242</v>
      </c>
      <c r="B809" s="2" t="s">
        <v>11</v>
      </c>
      <c r="C809" s="2" t="s">
        <v>12</v>
      </c>
      <c r="D809" s="2" t="s">
        <v>1224</v>
      </c>
      <c r="E809" s="2" t="s">
        <v>187</v>
      </c>
      <c r="F809" s="2" t="s">
        <v>46</v>
      </c>
      <c r="G809" s="4">
        <v>88634</v>
      </c>
      <c r="H809" s="5" t="s">
        <v>42</v>
      </c>
      <c r="I809" s="4">
        <v>0</v>
      </c>
      <c r="J809" s="6">
        <v>44603</v>
      </c>
      <c r="K809" t="str">
        <f t="shared" si="24"/>
        <v>Q1 2022</v>
      </c>
      <c r="L809" t="str">
        <f t="shared" si="25"/>
        <v>Q1 2022</v>
      </c>
    </row>
    <row r="810" spans="1:12" ht="15.75" customHeight="1" x14ac:dyDescent="0.3">
      <c r="A810" s="2" t="s">
        <v>1243</v>
      </c>
      <c r="B810" s="2" t="s">
        <v>11</v>
      </c>
      <c r="C810" s="2" t="s">
        <v>12</v>
      </c>
      <c r="D810" s="2" t="s">
        <v>1224</v>
      </c>
      <c r="E810" s="2" t="s">
        <v>187</v>
      </c>
      <c r="F810" s="2" t="s">
        <v>580</v>
      </c>
      <c r="G810" s="4">
        <v>58220</v>
      </c>
      <c r="H810" s="6">
        <v>44629</v>
      </c>
      <c r="I810" s="4">
        <v>0</v>
      </c>
      <c r="J810" s="6">
        <v>44603</v>
      </c>
      <c r="K810" t="str">
        <f t="shared" si="24"/>
        <v>Q1 2022</v>
      </c>
      <c r="L810" t="str">
        <f t="shared" si="25"/>
        <v>Q1 2022</v>
      </c>
    </row>
    <row r="811" spans="1:12" ht="15.75" customHeight="1" x14ac:dyDescent="0.3">
      <c r="A811" s="2" t="s">
        <v>1244</v>
      </c>
      <c r="B811" s="2" t="s">
        <v>11</v>
      </c>
      <c r="C811" s="2" t="s">
        <v>12</v>
      </c>
      <c r="D811" s="2" t="s">
        <v>1224</v>
      </c>
      <c r="E811" s="2" t="s">
        <v>187</v>
      </c>
      <c r="F811" s="2" t="s">
        <v>46</v>
      </c>
      <c r="G811" s="4">
        <v>190697</v>
      </c>
      <c r="H811" s="5" t="s">
        <v>16</v>
      </c>
      <c r="I811" s="4">
        <v>0</v>
      </c>
      <c r="J811" s="6">
        <v>44596</v>
      </c>
      <c r="K811" t="str">
        <f t="shared" si="24"/>
        <v>Q1 2022</v>
      </c>
      <c r="L811" t="str">
        <f t="shared" si="25"/>
        <v>Q1 2022</v>
      </c>
    </row>
    <row r="812" spans="1:12" ht="15.75" customHeight="1" x14ac:dyDescent="0.3">
      <c r="A812" s="2" t="s">
        <v>1245</v>
      </c>
      <c r="B812" s="2" t="s">
        <v>11</v>
      </c>
      <c r="C812" s="2" t="s">
        <v>12</v>
      </c>
      <c r="D812" s="2" t="s">
        <v>1224</v>
      </c>
      <c r="E812" s="2" t="s">
        <v>187</v>
      </c>
      <c r="F812" s="2" t="s">
        <v>46</v>
      </c>
      <c r="G812" s="4">
        <v>97716</v>
      </c>
      <c r="H812" s="5" t="s">
        <v>179</v>
      </c>
      <c r="I812" s="4">
        <v>0</v>
      </c>
      <c r="J812" s="6">
        <v>44594</v>
      </c>
      <c r="K812" t="str">
        <f t="shared" si="24"/>
        <v>Q1 2022</v>
      </c>
      <c r="L812" t="str">
        <f t="shared" si="25"/>
        <v>Q1 2022</v>
      </c>
    </row>
    <row r="813" spans="1:12" ht="15.75" customHeight="1" x14ac:dyDescent="0.3">
      <c r="A813" s="2" t="s">
        <v>1246</v>
      </c>
      <c r="B813" s="2" t="s">
        <v>11</v>
      </c>
      <c r="C813" s="2" t="s">
        <v>12</v>
      </c>
      <c r="D813" s="2" t="s">
        <v>1224</v>
      </c>
      <c r="E813" s="2" t="s">
        <v>187</v>
      </c>
      <c r="F813" s="2" t="s">
        <v>580</v>
      </c>
      <c r="G813" s="4">
        <v>39598</v>
      </c>
      <c r="H813" s="6">
        <v>44235</v>
      </c>
      <c r="I813" s="4">
        <v>0</v>
      </c>
      <c r="J813" s="6">
        <v>44205</v>
      </c>
      <c r="K813" t="str">
        <f t="shared" si="24"/>
        <v>Q1 2021</v>
      </c>
      <c r="L813" t="str">
        <f t="shared" si="25"/>
        <v>Q1 2021</v>
      </c>
    </row>
    <row r="814" spans="1:12" ht="15.75" customHeight="1" x14ac:dyDescent="0.3">
      <c r="A814" s="2" t="s">
        <v>1247</v>
      </c>
      <c r="B814" s="2" t="s">
        <v>11</v>
      </c>
      <c r="C814" s="2" t="s">
        <v>12</v>
      </c>
      <c r="D814" s="2" t="s">
        <v>1224</v>
      </c>
      <c r="E814" s="2" t="s">
        <v>187</v>
      </c>
      <c r="F814" s="2" t="s">
        <v>46</v>
      </c>
      <c r="G814" s="4">
        <v>118603</v>
      </c>
      <c r="H814" s="6">
        <v>44625</v>
      </c>
      <c r="I814" s="4">
        <v>0</v>
      </c>
      <c r="J814" s="6">
        <v>44599</v>
      </c>
      <c r="K814" t="str">
        <f t="shared" si="24"/>
        <v>Q1 2022</v>
      </c>
      <c r="L814" t="str">
        <f t="shared" si="25"/>
        <v>Q1 2022</v>
      </c>
    </row>
    <row r="815" spans="1:12" ht="15.75" customHeight="1" x14ac:dyDescent="0.3">
      <c r="A815" s="2" t="s">
        <v>1248</v>
      </c>
      <c r="B815" s="2" t="s">
        <v>11</v>
      </c>
      <c r="C815" s="2" t="s">
        <v>12</v>
      </c>
      <c r="D815" s="2" t="s">
        <v>1224</v>
      </c>
      <c r="E815" s="2" t="s">
        <v>187</v>
      </c>
      <c r="F815" s="2" t="s">
        <v>580</v>
      </c>
      <c r="G815" s="4">
        <v>111780</v>
      </c>
      <c r="H815" s="6">
        <v>44629</v>
      </c>
      <c r="I815" s="4">
        <v>0</v>
      </c>
      <c r="J815" s="6">
        <v>44603</v>
      </c>
      <c r="K815" t="str">
        <f t="shared" si="24"/>
        <v>Q1 2022</v>
      </c>
      <c r="L815" t="str">
        <f t="shared" si="25"/>
        <v>Q1 2022</v>
      </c>
    </row>
    <row r="816" spans="1:12" ht="15.75" customHeight="1" x14ac:dyDescent="0.3">
      <c r="A816" s="2" t="s">
        <v>1249</v>
      </c>
      <c r="B816" s="2" t="s">
        <v>11</v>
      </c>
      <c r="C816" s="2" t="s">
        <v>12</v>
      </c>
      <c r="D816" s="2" t="s">
        <v>1224</v>
      </c>
      <c r="E816" s="2" t="s">
        <v>187</v>
      </c>
      <c r="F816" s="2" t="s">
        <v>1250</v>
      </c>
      <c r="G816" s="4">
        <v>185671</v>
      </c>
      <c r="H816" s="6">
        <v>44630</v>
      </c>
      <c r="I816" s="4">
        <v>0</v>
      </c>
      <c r="J816" s="6">
        <v>44603</v>
      </c>
      <c r="K816" t="str">
        <f t="shared" si="24"/>
        <v>Q1 2022</v>
      </c>
      <c r="L816" t="str">
        <f t="shared" si="25"/>
        <v>Q1 2022</v>
      </c>
    </row>
    <row r="817" spans="1:12" ht="15.75" customHeight="1" x14ac:dyDescent="0.3">
      <c r="A817" s="2" t="s">
        <v>1251</v>
      </c>
      <c r="B817" s="2" t="s">
        <v>11</v>
      </c>
      <c r="C817" s="2" t="s">
        <v>12</v>
      </c>
      <c r="D817" s="2" t="s">
        <v>1224</v>
      </c>
      <c r="E817" s="2" t="s">
        <v>187</v>
      </c>
      <c r="F817" s="2" t="s">
        <v>46</v>
      </c>
      <c r="G817" s="4">
        <v>101488</v>
      </c>
      <c r="H817" s="5" t="s">
        <v>600</v>
      </c>
      <c r="I817" s="4">
        <v>0</v>
      </c>
      <c r="J817" s="6">
        <v>44600</v>
      </c>
      <c r="K817" t="str">
        <f t="shared" si="24"/>
        <v>Q1 2022</v>
      </c>
      <c r="L817" t="str">
        <f t="shared" si="25"/>
        <v>Q1 2022</v>
      </c>
    </row>
    <row r="818" spans="1:12" ht="15.75" customHeight="1" x14ac:dyDescent="0.3">
      <c r="A818" s="2" t="s">
        <v>1252</v>
      </c>
      <c r="B818" s="2" t="s">
        <v>11</v>
      </c>
      <c r="C818" s="2" t="s">
        <v>12</v>
      </c>
      <c r="D818" s="2" t="s">
        <v>1224</v>
      </c>
      <c r="E818" s="2" t="s">
        <v>187</v>
      </c>
      <c r="F818" s="2" t="s">
        <v>1253</v>
      </c>
      <c r="G818" s="4">
        <v>154475</v>
      </c>
      <c r="H818" s="5" t="s">
        <v>39</v>
      </c>
      <c r="I818" s="4">
        <v>0</v>
      </c>
      <c r="J818" s="6">
        <v>44603</v>
      </c>
      <c r="K818" t="str">
        <f t="shared" si="24"/>
        <v>Q1 2022</v>
      </c>
      <c r="L818" t="str">
        <f t="shared" si="25"/>
        <v>Q1 2022</v>
      </c>
    </row>
    <row r="819" spans="1:12" ht="15.75" customHeight="1" x14ac:dyDescent="0.3">
      <c r="A819" s="2" t="s">
        <v>1254</v>
      </c>
      <c r="B819" s="2" t="s">
        <v>11</v>
      </c>
      <c r="C819" s="2" t="s">
        <v>12</v>
      </c>
      <c r="D819" s="2" t="s">
        <v>1224</v>
      </c>
      <c r="E819" s="2" t="s">
        <v>187</v>
      </c>
      <c r="F819" s="2" t="s">
        <v>46</v>
      </c>
      <c r="G819" s="4">
        <v>137347</v>
      </c>
      <c r="H819" s="5" t="s">
        <v>322</v>
      </c>
      <c r="I819" s="4">
        <v>0</v>
      </c>
      <c r="J819" s="6">
        <v>44594</v>
      </c>
      <c r="K819" t="str">
        <f t="shared" si="24"/>
        <v>Q1 2022</v>
      </c>
      <c r="L819" t="str">
        <f t="shared" si="25"/>
        <v>Q1 2022</v>
      </c>
    </row>
    <row r="820" spans="1:12" ht="15.75" customHeight="1" x14ac:dyDescent="0.3">
      <c r="A820" s="2" t="s">
        <v>1255</v>
      </c>
      <c r="B820" s="2" t="s">
        <v>11</v>
      </c>
      <c r="C820" s="2" t="s">
        <v>12</v>
      </c>
      <c r="D820" s="2" t="s">
        <v>1224</v>
      </c>
      <c r="E820" s="2" t="s">
        <v>187</v>
      </c>
      <c r="F820" s="2" t="s">
        <v>1256</v>
      </c>
      <c r="G820" s="4">
        <v>151866</v>
      </c>
      <c r="H820" s="5" t="s">
        <v>116</v>
      </c>
      <c r="I820" s="4">
        <v>0</v>
      </c>
      <c r="J820" s="6">
        <v>44959</v>
      </c>
      <c r="K820" t="str">
        <f t="shared" si="24"/>
        <v>Q1 2023</v>
      </c>
      <c r="L820" t="str">
        <f t="shared" si="25"/>
        <v>Q1 2023</v>
      </c>
    </row>
    <row r="821" spans="1:12" ht="15.75" customHeight="1" x14ac:dyDescent="0.3">
      <c r="A821" s="2" t="s">
        <v>1257</v>
      </c>
      <c r="B821" s="2" t="s">
        <v>11</v>
      </c>
      <c r="C821" s="2" t="s">
        <v>12</v>
      </c>
      <c r="D821" s="2" t="s">
        <v>1224</v>
      </c>
      <c r="E821" s="2" t="s">
        <v>187</v>
      </c>
      <c r="F821" s="2" t="s">
        <v>1258</v>
      </c>
      <c r="G821" s="4">
        <v>220506</v>
      </c>
      <c r="H821" s="6">
        <v>44628</v>
      </c>
      <c r="I821" s="4">
        <v>0</v>
      </c>
      <c r="J821" s="6">
        <v>44602</v>
      </c>
      <c r="K821" t="str">
        <f t="shared" si="24"/>
        <v>Q1 2022</v>
      </c>
      <c r="L821" t="str">
        <f t="shared" si="25"/>
        <v>Q1 2022</v>
      </c>
    </row>
    <row r="822" spans="1:12" ht="15.75" customHeight="1" x14ac:dyDescent="0.3">
      <c r="A822" s="2" t="s">
        <v>1259</v>
      </c>
      <c r="B822" s="2" t="s">
        <v>11</v>
      </c>
      <c r="C822" s="2" t="s">
        <v>12</v>
      </c>
      <c r="D822" s="2" t="s">
        <v>1224</v>
      </c>
      <c r="E822" s="2" t="s">
        <v>187</v>
      </c>
      <c r="F822" s="2" t="s">
        <v>1260</v>
      </c>
      <c r="G822" s="4">
        <v>62654</v>
      </c>
      <c r="H822" s="6">
        <v>44629</v>
      </c>
      <c r="I822" s="4">
        <v>0</v>
      </c>
      <c r="J822" s="6">
        <v>44603</v>
      </c>
      <c r="K822" t="str">
        <f t="shared" si="24"/>
        <v>Q1 2022</v>
      </c>
      <c r="L822" t="str">
        <f t="shared" si="25"/>
        <v>Q1 2022</v>
      </c>
    </row>
    <row r="823" spans="1:12" ht="15.75" customHeight="1" x14ac:dyDescent="0.3">
      <c r="A823" s="80" t="s">
        <v>1261</v>
      </c>
      <c r="B823" s="2" t="s">
        <v>11</v>
      </c>
      <c r="C823" s="2" t="s">
        <v>12</v>
      </c>
      <c r="D823" s="2" t="s">
        <v>1224</v>
      </c>
      <c r="E823" s="2" t="s">
        <v>187</v>
      </c>
      <c r="F823" s="2" t="s">
        <v>1262</v>
      </c>
      <c r="G823" s="4">
        <v>33511</v>
      </c>
      <c r="H823" s="5" t="s">
        <v>39</v>
      </c>
      <c r="I823" s="4">
        <v>0</v>
      </c>
      <c r="J823" s="6">
        <v>44603</v>
      </c>
      <c r="K823" t="str">
        <f t="shared" si="24"/>
        <v>Q1 2022</v>
      </c>
      <c r="L823" t="str">
        <f t="shared" si="25"/>
        <v>Q1 2022</v>
      </c>
    </row>
    <row r="824" spans="1:12" ht="15.75" customHeight="1" x14ac:dyDescent="0.3">
      <c r="A824" s="2" t="s">
        <v>1263</v>
      </c>
      <c r="B824" s="2" t="s">
        <v>11</v>
      </c>
      <c r="C824" s="2" t="s">
        <v>12</v>
      </c>
      <c r="D824" s="2" t="s">
        <v>1224</v>
      </c>
      <c r="E824" s="2" t="s">
        <v>187</v>
      </c>
      <c r="F824" s="2" t="s">
        <v>1264</v>
      </c>
      <c r="G824" s="4">
        <v>101471</v>
      </c>
      <c r="H824" s="5" t="s">
        <v>42</v>
      </c>
      <c r="I824" s="4">
        <v>0</v>
      </c>
      <c r="J824" s="6">
        <v>44603</v>
      </c>
      <c r="K824" t="str">
        <f t="shared" si="24"/>
        <v>Q1 2022</v>
      </c>
      <c r="L824" t="str">
        <f t="shared" si="25"/>
        <v>Q1 2022</v>
      </c>
    </row>
    <row r="825" spans="1:12" ht="15.75" customHeight="1" x14ac:dyDescent="0.3">
      <c r="A825" s="2" t="s">
        <v>1265</v>
      </c>
      <c r="B825" s="2" t="s">
        <v>11</v>
      </c>
      <c r="C825" s="2" t="s">
        <v>12</v>
      </c>
      <c r="D825" s="2" t="s">
        <v>1224</v>
      </c>
      <c r="E825" s="2" t="s">
        <v>187</v>
      </c>
      <c r="F825" s="2" t="s">
        <v>580</v>
      </c>
      <c r="G825" s="4">
        <v>109508</v>
      </c>
      <c r="H825" s="6">
        <v>44836</v>
      </c>
      <c r="I825" s="4">
        <v>0</v>
      </c>
      <c r="J825" s="6">
        <v>44595</v>
      </c>
      <c r="K825" t="str">
        <f t="shared" si="24"/>
        <v>Q1 2022</v>
      </c>
      <c r="L825" t="str">
        <f t="shared" si="25"/>
        <v>Q1 2022</v>
      </c>
    </row>
    <row r="826" spans="1:12" ht="15.75" customHeight="1" x14ac:dyDescent="0.3">
      <c r="A826" s="2" t="s">
        <v>1266</v>
      </c>
      <c r="B826" s="2" t="s">
        <v>11</v>
      </c>
      <c r="C826" s="2" t="s">
        <v>12</v>
      </c>
      <c r="D826" s="2" t="s">
        <v>1224</v>
      </c>
      <c r="E826" s="2" t="s">
        <v>187</v>
      </c>
      <c r="F826" s="2" t="s">
        <v>1267</v>
      </c>
      <c r="G826" s="4">
        <v>146585</v>
      </c>
      <c r="H826" s="6">
        <v>44629</v>
      </c>
      <c r="I826" s="4">
        <v>0</v>
      </c>
      <c r="J826" s="6">
        <v>44603</v>
      </c>
      <c r="K826" t="str">
        <f t="shared" si="24"/>
        <v>Q1 2022</v>
      </c>
      <c r="L826" t="str">
        <f t="shared" si="25"/>
        <v>Q1 2022</v>
      </c>
    </row>
    <row r="827" spans="1:12" ht="15.75" customHeight="1" x14ac:dyDescent="0.3">
      <c r="A827" s="2" t="s">
        <v>1268</v>
      </c>
      <c r="B827" s="2" t="s">
        <v>20</v>
      </c>
      <c r="C827" s="2" t="s">
        <v>21</v>
      </c>
      <c r="D827" s="2" t="s">
        <v>1224</v>
      </c>
      <c r="E827" s="2" t="s">
        <v>187</v>
      </c>
      <c r="F827" s="2" t="s">
        <v>580</v>
      </c>
      <c r="G827" s="4">
        <v>74209</v>
      </c>
      <c r="H827" s="5" t="s">
        <v>93</v>
      </c>
      <c r="I827" s="4">
        <v>14842</v>
      </c>
      <c r="J827" s="7">
        <v>44876</v>
      </c>
      <c r="K827" t="str">
        <f t="shared" si="24"/>
        <v>Q4 2022</v>
      </c>
      <c r="L827" t="str">
        <f t="shared" si="25"/>
        <v>Q4 2022</v>
      </c>
    </row>
    <row r="828" spans="1:12" ht="15.75" customHeight="1" x14ac:dyDescent="0.3">
      <c r="A828" s="2" t="s">
        <v>1269</v>
      </c>
      <c r="B828" s="2" t="s">
        <v>11</v>
      </c>
      <c r="C828" s="2" t="s">
        <v>12</v>
      </c>
      <c r="D828" s="2" t="s">
        <v>1224</v>
      </c>
      <c r="E828" s="2" t="s">
        <v>1118</v>
      </c>
      <c r="F828" s="2" t="s">
        <v>1270</v>
      </c>
      <c r="G828" s="4">
        <v>107240</v>
      </c>
      <c r="H828" s="6">
        <v>44621</v>
      </c>
      <c r="I828" s="4">
        <v>0</v>
      </c>
      <c r="J828" s="6">
        <v>44594</v>
      </c>
      <c r="K828" t="str">
        <f t="shared" si="24"/>
        <v>Q1 2022</v>
      </c>
      <c r="L828" t="str">
        <f t="shared" si="25"/>
        <v>Q1 2022</v>
      </c>
    </row>
    <row r="829" spans="1:12" ht="15.75" customHeight="1" x14ac:dyDescent="0.3">
      <c r="A829" s="2" t="s">
        <v>1271</v>
      </c>
      <c r="B829" s="2" t="s">
        <v>11</v>
      </c>
      <c r="C829" s="2" t="s">
        <v>12</v>
      </c>
      <c r="D829" s="2" t="s">
        <v>1224</v>
      </c>
      <c r="E829" s="2" t="s">
        <v>187</v>
      </c>
      <c r="F829" s="2" t="s">
        <v>46</v>
      </c>
      <c r="G829" s="4">
        <v>353393</v>
      </c>
      <c r="H829" s="5" t="s">
        <v>71</v>
      </c>
      <c r="I829" s="4">
        <v>0</v>
      </c>
      <c r="J829" s="6">
        <v>44603</v>
      </c>
      <c r="K829" t="str">
        <f t="shared" si="24"/>
        <v>Q1 2022</v>
      </c>
      <c r="L829" t="str">
        <f t="shared" si="25"/>
        <v>Q1 2022</v>
      </c>
    </row>
    <row r="830" spans="1:12" ht="15.75" customHeight="1" x14ac:dyDescent="0.3">
      <c r="A830" s="2" t="s">
        <v>1272</v>
      </c>
      <c r="B830" s="2" t="s">
        <v>11</v>
      </c>
      <c r="C830" s="2" t="s">
        <v>12</v>
      </c>
      <c r="D830" s="2" t="s">
        <v>1224</v>
      </c>
      <c r="E830" s="2" t="s">
        <v>187</v>
      </c>
      <c r="F830" s="2" t="s">
        <v>46</v>
      </c>
      <c r="G830" s="4">
        <v>199496</v>
      </c>
      <c r="H830" s="5" t="s">
        <v>39</v>
      </c>
      <c r="I830" s="4">
        <v>0</v>
      </c>
      <c r="J830" s="6">
        <v>44603</v>
      </c>
      <c r="K830" t="str">
        <f t="shared" si="24"/>
        <v>Q1 2022</v>
      </c>
      <c r="L830" t="str">
        <f t="shared" si="25"/>
        <v>Q1 2022</v>
      </c>
    </row>
    <row r="831" spans="1:12" ht="15.75" customHeight="1" x14ac:dyDescent="0.3">
      <c r="A831" s="2" t="s">
        <v>1273</v>
      </c>
      <c r="B831" s="2" t="s">
        <v>11</v>
      </c>
      <c r="C831" s="2" t="s">
        <v>12</v>
      </c>
      <c r="D831" s="2" t="s">
        <v>1224</v>
      </c>
      <c r="E831" s="2" t="s">
        <v>187</v>
      </c>
      <c r="F831" s="2" t="s">
        <v>1274</v>
      </c>
      <c r="G831" s="4">
        <v>117823</v>
      </c>
      <c r="H831" s="5" t="s">
        <v>1016</v>
      </c>
      <c r="I831" s="4">
        <v>0</v>
      </c>
      <c r="J831" s="6">
        <v>44595</v>
      </c>
      <c r="K831" t="str">
        <f t="shared" si="24"/>
        <v>Q1 2022</v>
      </c>
      <c r="L831" t="str">
        <f t="shared" si="25"/>
        <v>Q1 2022</v>
      </c>
    </row>
    <row r="832" spans="1:12" ht="15.75" customHeight="1" x14ac:dyDescent="0.3">
      <c r="A832" s="2" t="s">
        <v>1275</v>
      </c>
      <c r="B832" s="2" t="s">
        <v>11</v>
      </c>
      <c r="C832" s="2" t="s">
        <v>12</v>
      </c>
      <c r="D832" s="2" t="s">
        <v>1224</v>
      </c>
      <c r="E832" s="2" t="s">
        <v>187</v>
      </c>
      <c r="F832" s="2" t="s">
        <v>580</v>
      </c>
      <c r="G832" s="4">
        <v>101469</v>
      </c>
      <c r="H832" s="5" t="s">
        <v>137</v>
      </c>
      <c r="I832" s="4">
        <v>0</v>
      </c>
      <c r="J832" s="6">
        <v>44599</v>
      </c>
      <c r="K832" t="str">
        <f t="shared" si="24"/>
        <v>Q1 2022</v>
      </c>
      <c r="L832" t="str">
        <f t="shared" si="25"/>
        <v>Q1 2022</v>
      </c>
    </row>
    <row r="833" spans="1:12" ht="15.75" customHeight="1" x14ac:dyDescent="0.3">
      <c r="A833" s="2" t="s">
        <v>1276</v>
      </c>
      <c r="B833" s="2" t="s">
        <v>20</v>
      </c>
      <c r="C833" s="2" t="s">
        <v>12</v>
      </c>
      <c r="D833" s="2" t="s">
        <v>1224</v>
      </c>
      <c r="E833" s="2" t="s">
        <v>187</v>
      </c>
      <c r="F833" s="2" t="s">
        <v>1277</v>
      </c>
      <c r="G833" s="4">
        <v>355320</v>
      </c>
      <c r="H833" s="5" t="s">
        <v>35</v>
      </c>
      <c r="I833" s="8">
        <v>177660</v>
      </c>
      <c r="J833" s="5" t="s">
        <v>36</v>
      </c>
      <c r="K833" t="str">
        <f t="shared" si="24"/>
        <v>Q4 2022</v>
      </c>
      <c r="L833" t="str">
        <f t="shared" si="25"/>
        <v>Q4 2022</v>
      </c>
    </row>
    <row r="834" spans="1:12" ht="15.75" customHeight="1" x14ac:dyDescent="0.3">
      <c r="A834" s="2" t="s">
        <v>1278</v>
      </c>
      <c r="B834" s="2" t="s">
        <v>11</v>
      </c>
      <c r="C834" s="2" t="s">
        <v>12</v>
      </c>
      <c r="D834" s="2" t="s">
        <v>1224</v>
      </c>
      <c r="E834" s="2" t="s">
        <v>187</v>
      </c>
      <c r="F834" s="2" t="s">
        <v>1279</v>
      </c>
      <c r="G834" s="4">
        <v>131690</v>
      </c>
      <c r="H834" s="5" t="s">
        <v>30</v>
      </c>
      <c r="I834" s="4">
        <v>0</v>
      </c>
      <c r="J834" s="6">
        <v>44603</v>
      </c>
      <c r="K834" t="str">
        <f t="shared" ref="K834:K897" si="26">"Q" &amp; ROUNDUP(MONTH(J:J)/3,0) &amp; " " &amp; YEAR(J:J)</f>
        <v>Q1 2022</v>
      </c>
      <c r="L834" t="str">
        <f t="shared" ref="L834:L897" si="27">"Q" &amp; ROUNDUP(MONTH(J:J)/3,0) &amp; " " &amp; YEAR(J:J)</f>
        <v>Q1 2022</v>
      </c>
    </row>
    <row r="835" spans="1:12" ht="15.75" customHeight="1" x14ac:dyDescent="0.3">
      <c r="A835" s="2" t="s">
        <v>1280</v>
      </c>
      <c r="B835" s="2" t="s">
        <v>11</v>
      </c>
      <c r="C835" s="2" t="s">
        <v>12</v>
      </c>
      <c r="D835" s="2" t="s">
        <v>1224</v>
      </c>
      <c r="E835" s="2" t="s">
        <v>187</v>
      </c>
      <c r="F835" s="2" t="s">
        <v>46</v>
      </c>
      <c r="G835" s="4">
        <v>118547</v>
      </c>
      <c r="H835" s="5" t="s">
        <v>171</v>
      </c>
      <c r="I835" s="4">
        <v>0</v>
      </c>
      <c r="J835" s="6">
        <v>44959</v>
      </c>
      <c r="K835" t="str">
        <f t="shared" si="26"/>
        <v>Q1 2023</v>
      </c>
      <c r="L835" t="str">
        <f t="shared" si="27"/>
        <v>Q1 2023</v>
      </c>
    </row>
    <row r="836" spans="1:12" ht="15.75" customHeight="1" x14ac:dyDescent="0.3">
      <c r="A836" s="2" t="s">
        <v>1281</v>
      </c>
      <c r="B836" s="2" t="s">
        <v>11</v>
      </c>
      <c r="C836" s="2" t="s">
        <v>12</v>
      </c>
      <c r="D836" s="2" t="s">
        <v>1224</v>
      </c>
      <c r="E836" s="2" t="s">
        <v>187</v>
      </c>
      <c r="F836" s="2" t="s">
        <v>46</v>
      </c>
      <c r="G836" s="4">
        <v>492398</v>
      </c>
      <c r="H836" s="5" t="s">
        <v>333</v>
      </c>
      <c r="I836" s="4">
        <v>0</v>
      </c>
      <c r="J836" s="6">
        <v>44599</v>
      </c>
      <c r="K836" t="str">
        <f t="shared" si="26"/>
        <v>Q1 2022</v>
      </c>
      <c r="L836" t="str">
        <f t="shared" si="27"/>
        <v>Q1 2022</v>
      </c>
    </row>
    <row r="837" spans="1:12" ht="15.75" customHeight="1" x14ac:dyDescent="0.3">
      <c r="A837" s="2" t="s">
        <v>1282</v>
      </c>
      <c r="B837" s="2" t="s">
        <v>11</v>
      </c>
      <c r="C837" s="2" t="s">
        <v>12</v>
      </c>
      <c r="D837" s="2" t="s">
        <v>1224</v>
      </c>
      <c r="E837" s="2" t="s">
        <v>187</v>
      </c>
      <c r="F837" s="2" t="s">
        <v>1283</v>
      </c>
      <c r="G837" s="4">
        <v>118831</v>
      </c>
      <c r="H837" s="5" t="s">
        <v>236</v>
      </c>
      <c r="I837" s="4">
        <v>0</v>
      </c>
      <c r="J837" s="6">
        <v>44596</v>
      </c>
      <c r="K837" t="str">
        <f t="shared" si="26"/>
        <v>Q1 2022</v>
      </c>
      <c r="L837" t="str">
        <f t="shared" si="27"/>
        <v>Q1 2022</v>
      </c>
    </row>
    <row r="838" spans="1:12" ht="15.75" customHeight="1" x14ac:dyDescent="0.3">
      <c r="A838" s="2" t="s">
        <v>1284</v>
      </c>
      <c r="B838" s="2" t="s">
        <v>11</v>
      </c>
      <c r="C838" s="2" t="s">
        <v>12</v>
      </c>
      <c r="D838" s="2" t="s">
        <v>1224</v>
      </c>
      <c r="E838" s="2" t="s">
        <v>187</v>
      </c>
      <c r="F838" s="2" t="s">
        <v>188</v>
      </c>
      <c r="G838" s="4">
        <v>146675</v>
      </c>
      <c r="H838" s="5" t="s">
        <v>30</v>
      </c>
      <c r="I838" s="4">
        <v>0</v>
      </c>
      <c r="J838" s="6">
        <v>44603</v>
      </c>
      <c r="K838" t="str">
        <f t="shared" si="26"/>
        <v>Q1 2022</v>
      </c>
      <c r="L838" t="str">
        <f t="shared" si="27"/>
        <v>Q1 2022</v>
      </c>
    </row>
    <row r="839" spans="1:12" ht="15.75" customHeight="1" x14ac:dyDescent="0.3">
      <c r="A839" s="2" t="s">
        <v>1285</v>
      </c>
      <c r="B839" s="2" t="s">
        <v>11</v>
      </c>
      <c r="C839" s="2" t="s">
        <v>12</v>
      </c>
      <c r="D839" s="2" t="s">
        <v>1224</v>
      </c>
      <c r="E839" s="2" t="s">
        <v>187</v>
      </c>
      <c r="F839" s="2" t="s">
        <v>46</v>
      </c>
      <c r="G839" s="4">
        <v>77044</v>
      </c>
      <c r="H839" s="5" t="s">
        <v>25</v>
      </c>
      <c r="I839" s="4">
        <v>0</v>
      </c>
      <c r="J839" s="6">
        <v>44603</v>
      </c>
      <c r="K839" t="str">
        <f t="shared" si="26"/>
        <v>Q1 2022</v>
      </c>
      <c r="L839" t="str">
        <f t="shared" si="27"/>
        <v>Q1 2022</v>
      </c>
    </row>
    <row r="840" spans="1:12" ht="15.75" customHeight="1" x14ac:dyDescent="0.3">
      <c r="A840" s="2" t="s">
        <v>1286</v>
      </c>
      <c r="B840" s="2" t="s">
        <v>11</v>
      </c>
      <c r="C840" s="2" t="s">
        <v>12</v>
      </c>
      <c r="D840" s="2" t="s">
        <v>1224</v>
      </c>
      <c r="E840" s="2" t="s">
        <v>187</v>
      </c>
      <c r="F840" s="2" t="s">
        <v>46</v>
      </c>
      <c r="G840" s="4">
        <v>80585</v>
      </c>
      <c r="H840" s="5" t="s">
        <v>30</v>
      </c>
      <c r="I840" s="4">
        <v>0</v>
      </c>
      <c r="J840" s="6">
        <v>44603</v>
      </c>
      <c r="K840" t="str">
        <f t="shared" si="26"/>
        <v>Q1 2022</v>
      </c>
      <c r="L840" t="str">
        <f t="shared" si="27"/>
        <v>Q1 2022</v>
      </c>
    </row>
    <row r="841" spans="1:12" ht="15.75" customHeight="1" x14ac:dyDescent="0.3">
      <c r="A841" s="2" t="s">
        <v>1287</v>
      </c>
      <c r="B841" s="2" t="s">
        <v>11</v>
      </c>
      <c r="C841" s="2" t="s">
        <v>12</v>
      </c>
      <c r="D841" s="2" t="s">
        <v>1224</v>
      </c>
      <c r="E841" s="2" t="s">
        <v>187</v>
      </c>
      <c r="F841" s="2" t="s">
        <v>46</v>
      </c>
      <c r="G841" s="4">
        <v>115643</v>
      </c>
      <c r="H841" s="6">
        <v>44621</v>
      </c>
      <c r="I841" s="4">
        <v>0</v>
      </c>
      <c r="J841" s="6">
        <v>44594</v>
      </c>
      <c r="K841" t="str">
        <f t="shared" si="26"/>
        <v>Q1 2022</v>
      </c>
      <c r="L841" t="str">
        <f t="shared" si="27"/>
        <v>Q1 2022</v>
      </c>
    </row>
    <row r="842" spans="1:12" ht="15.75" customHeight="1" x14ac:dyDescent="0.3">
      <c r="A842" s="2" t="s">
        <v>1288</v>
      </c>
      <c r="B842" s="2" t="s">
        <v>11</v>
      </c>
      <c r="C842" s="2" t="s">
        <v>12</v>
      </c>
      <c r="D842" s="2" t="s">
        <v>1224</v>
      </c>
      <c r="E842" s="2" t="s">
        <v>187</v>
      </c>
      <c r="F842" s="2" t="s">
        <v>580</v>
      </c>
      <c r="G842" s="4">
        <v>99358</v>
      </c>
      <c r="H842" s="6">
        <v>44562</v>
      </c>
      <c r="I842" s="4">
        <v>0</v>
      </c>
      <c r="J842" s="6">
        <v>44595</v>
      </c>
      <c r="K842" t="str">
        <f t="shared" si="26"/>
        <v>Q1 2022</v>
      </c>
      <c r="L842" t="str">
        <f t="shared" si="27"/>
        <v>Q1 2022</v>
      </c>
    </row>
    <row r="843" spans="1:12" ht="15.75" customHeight="1" x14ac:dyDescent="0.3">
      <c r="A843" s="2" t="s">
        <v>1289</v>
      </c>
      <c r="B843" s="2" t="s">
        <v>11</v>
      </c>
      <c r="C843" s="2" t="s">
        <v>12</v>
      </c>
      <c r="D843" s="2" t="s">
        <v>1224</v>
      </c>
      <c r="E843" s="2" t="s">
        <v>187</v>
      </c>
      <c r="F843" s="2" t="s">
        <v>46</v>
      </c>
      <c r="G843" s="4">
        <v>52302</v>
      </c>
      <c r="H843" s="5" t="s">
        <v>71</v>
      </c>
      <c r="I843" s="4">
        <v>0</v>
      </c>
      <c r="J843" s="6">
        <v>44603</v>
      </c>
      <c r="K843" t="str">
        <f t="shared" si="26"/>
        <v>Q1 2022</v>
      </c>
      <c r="L843" t="str">
        <f t="shared" si="27"/>
        <v>Q1 2022</v>
      </c>
    </row>
    <row r="844" spans="1:12" ht="15.75" customHeight="1" x14ac:dyDescent="0.3">
      <c r="A844" s="2" t="s">
        <v>1290</v>
      </c>
      <c r="B844" s="2" t="s">
        <v>11</v>
      </c>
      <c r="C844" s="2" t="s">
        <v>12</v>
      </c>
      <c r="D844" s="2" t="s">
        <v>1224</v>
      </c>
      <c r="E844" s="2" t="s">
        <v>187</v>
      </c>
      <c r="F844" s="2" t="s">
        <v>580</v>
      </c>
      <c r="G844" s="4">
        <v>126160</v>
      </c>
      <c r="H844" s="6">
        <v>44897</v>
      </c>
      <c r="I844" s="4">
        <v>0</v>
      </c>
      <c r="J844" s="6">
        <v>44654</v>
      </c>
      <c r="K844" t="str">
        <f t="shared" si="26"/>
        <v>Q2 2022</v>
      </c>
      <c r="L844" t="str">
        <f t="shared" si="27"/>
        <v>Q2 2022</v>
      </c>
    </row>
    <row r="845" spans="1:12" ht="15.75" customHeight="1" x14ac:dyDescent="0.3">
      <c r="A845" s="2" t="s">
        <v>1291</v>
      </c>
      <c r="B845" s="2" t="s">
        <v>11</v>
      </c>
      <c r="C845" s="2" t="s">
        <v>12</v>
      </c>
      <c r="D845" s="2" t="s">
        <v>1224</v>
      </c>
      <c r="E845" s="2" t="s">
        <v>187</v>
      </c>
      <c r="F845" s="2" t="s">
        <v>46</v>
      </c>
      <c r="G845" s="4">
        <v>408591</v>
      </c>
      <c r="H845" s="5" t="s">
        <v>42</v>
      </c>
      <c r="I845" s="4">
        <v>0</v>
      </c>
      <c r="J845" s="6">
        <v>44603</v>
      </c>
      <c r="K845" t="str">
        <f t="shared" si="26"/>
        <v>Q1 2022</v>
      </c>
      <c r="L845" t="str">
        <f t="shared" si="27"/>
        <v>Q1 2022</v>
      </c>
    </row>
    <row r="846" spans="1:12" ht="15.75" customHeight="1" x14ac:dyDescent="0.3">
      <c r="A846" s="2" t="s">
        <v>1292</v>
      </c>
      <c r="B846" s="2" t="s">
        <v>11</v>
      </c>
      <c r="C846" s="2" t="s">
        <v>12</v>
      </c>
      <c r="D846" s="2" t="s">
        <v>1224</v>
      </c>
      <c r="E846" s="2" t="s">
        <v>187</v>
      </c>
      <c r="F846" s="2" t="s">
        <v>1293</v>
      </c>
      <c r="G846" s="4">
        <v>109569</v>
      </c>
      <c r="H846" s="5" t="s">
        <v>333</v>
      </c>
      <c r="I846" s="4">
        <v>0</v>
      </c>
      <c r="J846" s="6">
        <v>44598</v>
      </c>
      <c r="K846" t="str">
        <f t="shared" si="26"/>
        <v>Q1 2022</v>
      </c>
      <c r="L846" t="str">
        <f t="shared" si="27"/>
        <v>Q1 2022</v>
      </c>
    </row>
    <row r="847" spans="1:12" ht="15.75" customHeight="1" x14ac:dyDescent="0.3">
      <c r="A847" s="2" t="s">
        <v>1294</v>
      </c>
      <c r="B847" s="2" t="s">
        <v>11</v>
      </c>
      <c r="C847" s="2" t="s">
        <v>12</v>
      </c>
      <c r="D847" s="2" t="s">
        <v>1224</v>
      </c>
      <c r="E847" s="2" t="s">
        <v>187</v>
      </c>
      <c r="F847" s="2" t="s">
        <v>46</v>
      </c>
      <c r="G847" s="4">
        <v>157836</v>
      </c>
      <c r="H847" s="5" t="s">
        <v>25</v>
      </c>
      <c r="I847" s="4">
        <v>0</v>
      </c>
      <c r="J847" s="6">
        <v>44603</v>
      </c>
      <c r="K847" t="str">
        <f t="shared" si="26"/>
        <v>Q1 2022</v>
      </c>
      <c r="L847" t="str">
        <f t="shared" si="27"/>
        <v>Q1 2022</v>
      </c>
    </row>
    <row r="848" spans="1:12" ht="15.75" customHeight="1" x14ac:dyDescent="0.3">
      <c r="A848" s="2" t="s">
        <v>1295</v>
      </c>
      <c r="B848" s="2" t="s">
        <v>11</v>
      </c>
      <c r="C848" s="2" t="s">
        <v>12</v>
      </c>
      <c r="D848" s="2" t="s">
        <v>1224</v>
      </c>
      <c r="E848" s="2" t="s">
        <v>187</v>
      </c>
      <c r="F848" s="2" t="s">
        <v>46</v>
      </c>
      <c r="G848" s="2"/>
      <c r="H848" s="6">
        <v>44563</v>
      </c>
      <c r="I848" s="4">
        <v>0</v>
      </c>
      <c r="J848" s="6">
        <v>44596</v>
      </c>
      <c r="K848" t="str">
        <f t="shared" si="26"/>
        <v>Q1 2022</v>
      </c>
      <c r="L848" t="str">
        <f t="shared" si="27"/>
        <v>Q1 2022</v>
      </c>
    </row>
    <row r="849" spans="1:12" ht="15.75" customHeight="1" x14ac:dyDescent="0.3">
      <c r="A849" s="2" t="s">
        <v>1296</v>
      </c>
      <c r="B849" s="2" t="s">
        <v>20</v>
      </c>
      <c r="C849" s="2" t="s">
        <v>57</v>
      </c>
      <c r="D849" s="2" t="s">
        <v>1224</v>
      </c>
      <c r="E849" s="2" t="s">
        <v>187</v>
      </c>
      <c r="F849" s="2" t="s">
        <v>1297</v>
      </c>
      <c r="G849" s="4">
        <v>141208</v>
      </c>
      <c r="H849" s="6">
        <v>44568</v>
      </c>
      <c r="I849" s="4">
        <v>23535</v>
      </c>
      <c r="J849" s="5" t="s">
        <v>1122</v>
      </c>
      <c r="K849" t="str">
        <f t="shared" si="26"/>
        <v>Q3 2022</v>
      </c>
      <c r="L849" t="str">
        <f t="shared" si="27"/>
        <v>Q3 2022</v>
      </c>
    </row>
    <row r="850" spans="1:12" ht="15.75" customHeight="1" x14ac:dyDescent="0.3">
      <c r="A850" s="2" t="s">
        <v>1298</v>
      </c>
      <c r="B850" s="2" t="s">
        <v>11</v>
      </c>
      <c r="C850" s="2" t="s">
        <v>12</v>
      </c>
      <c r="D850" s="2" t="s">
        <v>1224</v>
      </c>
      <c r="E850" s="2" t="s">
        <v>187</v>
      </c>
      <c r="F850" s="2" t="s">
        <v>46</v>
      </c>
      <c r="G850" s="4">
        <v>43871</v>
      </c>
      <c r="H850" s="6">
        <v>44629</v>
      </c>
      <c r="I850" s="4">
        <v>0</v>
      </c>
      <c r="J850" s="6">
        <v>44603</v>
      </c>
      <c r="K850" t="str">
        <f t="shared" si="26"/>
        <v>Q1 2022</v>
      </c>
      <c r="L850" t="str">
        <f t="shared" si="27"/>
        <v>Q1 2022</v>
      </c>
    </row>
    <row r="851" spans="1:12" ht="15.75" customHeight="1" x14ac:dyDescent="0.3">
      <c r="A851" s="2" t="s">
        <v>1299</v>
      </c>
      <c r="B851" s="2" t="s">
        <v>11</v>
      </c>
      <c r="C851" s="2" t="s">
        <v>12</v>
      </c>
      <c r="D851" s="2" t="s">
        <v>1224</v>
      </c>
      <c r="E851" s="2" t="s">
        <v>187</v>
      </c>
      <c r="F851" s="2" t="s">
        <v>1300</v>
      </c>
      <c r="G851" s="4">
        <v>89964</v>
      </c>
      <c r="H851" s="5" t="s">
        <v>39</v>
      </c>
      <c r="I851" s="4">
        <v>0</v>
      </c>
      <c r="J851" s="6">
        <v>44603</v>
      </c>
      <c r="K851" t="str">
        <f t="shared" si="26"/>
        <v>Q1 2022</v>
      </c>
      <c r="L851" t="str">
        <f t="shared" si="27"/>
        <v>Q1 2022</v>
      </c>
    </row>
    <row r="852" spans="1:12" ht="15.75" customHeight="1" x14ac:dyDescent="0.3">
      <c r="A852" s="2" t="s">
        <v>1301</v>
      </c>
      <c r="B852" s="2" t="s">
        <v>11</v>
      </c>
      <c r="C852" s="2" t="s">
        <v>12</v>
      </c>
      <c r="D852" s="2" t="s">
        <v>1224</v>
      </c>
      <c r="E852" s="2" t="s">
        <v>187</v>
      </c>
      <c r="F852" s="2" t="s">
        <v>46</v>
      </c>
      <c r="G852" s="4">
        <v>53823</v>
      </c>
      <c r="H852" s="5" t="s">
        <v>25</v>
      </c>
      <c r="I852" s="4">
        <v>0</v>
      </c>
      <c r="J852" s="6">
        <v>44603</v>
      </c>
      <c r="K852" t="str">
        <f t="shared" si="26"/>
        <v>Q1 2022</v>
      </c>
      <c r="L852" t="str">
        <f t="shared" si="27"/>
        <v>Q1 2022</v>
      </c>
    </row>
    <row r="853" spans="1:12" ht="15.75" customHeight="1" x14ac:dyDescent="0.3">
      <c r="A853" s="2" t="s">
        <v>1302</v>
      </c>
      <c r="B853" s="2" t="s">
        <v>11</v>
      </c>
      <c r="C853" s="2" t="s">
        <v>12</v>
      </c>
      <c r="D853" s="2" t="s">
        <v>1224</v>
      </c>
      <c r="E853" s="2" t="s">
        <v>187</v>
      </c>
      <c r="F853" s="2" t="s">
        <v>1253</v>
      </c>
      <c r="G853" s="4">
        <v>106692</v>
      </c>
      <c r="H853" s="5" t="s">
        <v>25</v>
      </c>
      <c r="I853" s="4">
        <v>0</v>
      </c>
      <c r="J853" s="6">
        <v>44603</v>
      </c>
      <c r="K853" t="str">
        <f t="shared" si="26"/>
        <v>Q1 2022</v>
      </c>
      <c r="L853" t="str">
        <f t="shared" si="27"/>
        <v>Q1 2022</v>
      </c>
    </row>
    <row r="854" spans="1:12" ht="15.75" customHeight="1" x14ac:dyDescent="0.3">
      <c r="A854" s="2" t="s">
        <v>1303</v>
      </c>
      <c r="B854" s="2" t="s">
        <v>11</v>
      </c>
      <c r="C854" s="2" t="s">
        <v>12</v>
      </c>
      <c r="D854" s="2" t="s">
        <v>1224</v>
      </c>
      <c r="E854" s="2" t="s">
        <v>187</v>
      </c>
      <c r="F854" s="2" t="s">
        <v>46</v>
      </c>
      <c r="G854" s="4">
        <v>93335</v>
      </c>
      <c r="H854" s="5" t="s">
        <v>309</v>
      </c>
      <c r="I854" s="4">
        <v>0</v>
      </c>
      <c r="J854" s="6">
        <v>44594</v>
      </c>
      <c r="K854" t="str">
        <f t="shared" si="26"/>
        <v>Q1 2022</v>
      </c>
      <c r="L854" t="str">
        <f t="shared" si="27"/>
        <v>Q1 2022</v>
      </c>
    </row>
    <row r="855" spans="1:12" ht="15.75" customHeight="1" x14ac:dyDescent="0.3">
      <c r="A855" s="2" t="s">
        <v>1304</v>
      </c>
      <c r="B855" s="2" t="s">
        <v>11</v>
      </c>
      <c r="C855" s="2" t="s">
        <v>12</v>
      </c>
      <c r="D855" s="2" t="s">
        <v>1224</v>
      </c>
      <c r="E855" s="2" t="s">
        <v>187</v>
      </c>
      <c r="F855" s="2" t="s">
        <v>1305</v>
      </c>
      <c r="G855" s="4">
        <v>127546</v>
      </c>
      <c r="H855" s="5" t="s">
        <v>1306</v>
      </c>
      <c r="I855" s="4">
        <v>0</v>
      </c>
      <c r="J855" s="6">
        <v>44962</v>
      </c>
      <c r="K855" t="str">
        <f t="shared" si="26"/>
        <v>Q1 2023</v>
      </c>
      <c r="L855" t="str">
        <f t="shared" si="27"/>
        <v>Q1 2023</v>
      </c>
    </row>
    <row r="856" spans="1:12" ht="15.75" customHeight="1" x14ac:dyDescent="0.3">
      <c r="A856" s="2" t="s">
        <v>1307</v>
      </c>
      <c r="B856" s="2" t="s">
        <v>11</v>
      </c>
      <c r="C856" s="2" t="s">
        <v>12</v>
      </c>
      <c r="D856" s="2" t="s">
        <v>1224</v>
      </c>
      <c r="E856" s="2" t="s">
        <v>187</v>
      </c>
      <c r="F856" s="2" t="s">
        <v>188</v>
      </c>
      <c r="G856" s="4">
        <v>110101</v>
      </c>
      <c r="H856" s="6">
        <v>44598</v>
      </c>
      <c r="I856" s="4">
        <v>0</v>
      </c>
      <c r="J856" s="6">
        <v>44599</v>
      </c>
      <c r="K856" t="str">
        <f t="shared" si="26"/>
        <v>Q1 2022</v>
      </c>
      <c r="L856" t="str">
        <f t="shared" si="27"/>
        <v>Q1 2022</v>
      </c>
    </row>
    <row r="857" spans="1:12" ht="15.75" customHeight="1" x14ac:dyDescent="0.3">
      <c r="A857" s="2" t="s">
        <v>1308</v>
      </c>
      <c r="B857" s="2" t="s">
        <v>11</v>
      </c>
      <c r="C857" s="2" t="s">
        <v>12</v>
      </c>
      <c r="D857" s="2" t="s">
        <v>1224</v>
      </c>
      <c r="E857" s="2" t="s">
        <v>187</v>
      </c>
      <c r="F857" s="2" t="s">
        <v>580</v>
      </c>
      <c r="G857" s="4">
        <v>89776</v>
      </c>
      <c r="H857" s="5" t="s">
        <v>333</v>
      </c>
      <c r="I857" s="4">
        <v>0</v>
      </c>
      <c r="J857" s="6">
        <v>44598</v>
      </c>
      <c r="K857" t="str">
        <f t="shared" si="26"/>
        <v>Q1 2022</v>
      </c>
      <c r="L857" t="str">
        <f t="shared" si="27"/>
        <v>Q1 2022</v>
      </c>
    </row>
    <row r="858" spans="1:12" ht="15.75" customHeight="1" x14ac:dyDescent="0.3">
      <c r="A858" s="2" t="s">
        <v>1309</v>
      </c>
      <c r="B858" s="2" t="s">
        <v>20</v>
      </c>
      <c r="C858" s="2" t="s">
        <v>57</v>
      </c>
      <c r="D858" s="2" t="s">
        <v>1224</v>
      </c>
      <c r="E858" s="2" t="s">
        <v>187</v>
      </c>
      <c r="F858" s="2" t="s">
        <v>1310</v>
      </c>
      <c r="G858" s="4">
        <v>352914</v>
      </c>
      <c r="H858" s="5" t="s">
        <v>422</v>
      </c>
      <c r="I858" s="4">
        <v>176457</v>
      </c>
      <c r="J858" s="5" t="s">
        <v>301</v>
      </c>
      <c r="K858" t="str">
        <f t="shared" si="26"/>
        <v>Q4 2022</v>
      </c>
      <c r="L858" t="str">
        <f t="shared" si="27"/>
        <v>Q4 2022</v>
      </c>
    </row>
    <row r="859" spans="1:12" ht="15.75" customHeight="1" x14ac:dyDescent="0.3">
      <c r="A859" s="2" t="s">
        <v>1311</v>
      </c>
      <c r="B859" s="2" t="s">
        <v>11</v>
      </c>
      <c r="C859" s="2" t="s">
        <v>12</v>
      </c>
      <c r="D859" s="2" t="s">
        <v>1224</v>
      </c>
      <c r="E859" s="2" t="s">
        <v>187</v>
      </c>
      <c r="F859" s="2" t="s">
        <v>1312</v>
      </c>
      <c r="G859" s="4">
        <v>224151</v>
      </c>
      <c r="H859" s="5" t="s">
        <v>39</v>
      </c>
      <c r="I859" s="4">
        <v>0</v>
      </c>
      <c r="J859" s="6">
        <v>44603</v>
      </c>
      <c r="K859" t="str">
        <f t="shared" si="26"/>
        <v>Q1 2022</v>
      </c>
      <c r="L859" t="str">
        <f t="shared" si="27"/>
        <v>Q1 2022</v>
      </c>
    </row>
    <row r="860" spans="1:12" ht="15.75" customHeight="1" x14ac:dyDescent="0.3">
      <c r="A860" s="2" t="s">
        <v>1313</v>
      </c>
      <c r="B860" s="2" t="s">
        <v>11</v>
      </c>
      <c r="C860" s="2" t="s">
        <v>12</v>
      </c>
      <c r="D860" s="2" t="s">
        <v>1224</v>
      </c>
      <c r="E860" s="2" t="s">
        <v>187</v>
      </c>
      <c r="F860" s="2" t="s">
        <v>46</v>
      </c>
      <c r="G860" s="4">
        <v>132647</v>
      </c>
      <c r="H860" s="5" t="s">
        <v>25</v>
      </c>
      <c r="I860" s="4">
        <v>0</v>
      </c>
      <c r="J860" s="6">
        <v>44603</v>
      </c>
      <c r="K860" t="str">
        <f t="shared" si="26"/>
        <v>Q1 2022</v>
      </c>
      <c r="L860" t="str">
        <f t="shared" si="27"/>
        <v>Q1 2022</v>
      </c>
    </row>
    <row r="861" spans="1:12" ht="15.75" customHeight="1" x14ac:dyDescent="0.3">
      <c r="A861" s="2" t="s">
        <v>1314</v>
      </c>
      <c r="B861" s="2" t="s">
        <v>11</v>
      </c>
      <c r="C861" s="2" t="s">
        <v>12</v>
      </c>
      <c r="D861" s="2" t="s">
        <v>1224</v>
      </c>
      <c r="E861" s="2" t="s">
        <v>187</v>
      </c>
      <c r="F861" s="2" t="s">
        <v>1315</v>
      </c>
      <c r="G861" s="2"/>
      <c r="H861" s="6">
        <v>44630</v>
      </c>
      <c r="I861" s="4">
        <v>0</v>
      </c>
      <c r="J861" s="6">
        <v>44604</v>
      </c>
      <c r="K861" t="str">
        <f t="shared" si="26"/>
        <v>Q1 2022</v>
      </c>
      <c r="L861" t="str">
        <f t="shared" si="27"/>
        <v>Q1 2022</v>
      </c>
    </row>
    <row r="862" spans="1:12" ht="15.75" customHeight="1" x14ac:dyDescent="0.3">
      <c r="A862" s="2" t="s">
        <v>1316</v>
      </c>
      <c r="B862" s="2" t="s">
        <v>11</v>
      </c>
      <c r="C862" s="2" t="s">
        <v>12</v>
      </c>
      <c r="D862" s="2" t="s">
        <v>1224</v>
      </c>
      <c r="E862" s="2" t="s">
        <v>187</v>
      </c>
      <c r="F862" s="2" t="s">
        <v>1317</v>
      </c>
      <c r="G862" s="4">
        <v>157181</v>
      </c>
      <c r="H862" s="6">
        <v>44629</v>
      </c>
      <c r="I862" s="4">
        <v>0</v>
      </c>
      <c r="J862" s="6">
        <v>44603</v>
      </c>
      <c r="K862" t="str">
        <f t="shared" si="26"/>
        <v>Q1 2022</v>
      </c>
      <c r="L862" t="str">
        <f t="shared" si="27"/>
        <v>Q1 2022</v>
      </c>
    </row>
    <row r="863" spans="1:12" ht="15.75" customHeight="1" x14ac:dyDescent="0.3">
      <c r="A863" s="2" t="s">
        <v>1318</v>
      </c>
      <c r="B863" s="2" t="s">
        <v>11</v>
      </c>
      <c r="C863" s="2" t="s">
        <v>12</v>
      </c>
      <c r="D863" s="2" t="s">
        <v>1224</v>
      </c>
      <c r="E863" s="2" t="s">
        <v>187</v>
      </c>
      <c r="F863" s="2" t="s">
        <v>1319</v>
      </c>
      <c r="G863" s="4">
        <v>181162</v>
      </c>
      <c r="H863" s="5" t="s">
        <v>1320</v>
      </c>
      <c r="I863" s="4">
        <v>0</v>
      </c>
      <c r="J863" s="6">
        <v>44963</v>
      </c>
      <c r="K863" t="str">
        <f t="shared" si="26"/>
        <v>Q1 2023</v>
      </c>
      <c r="L863" t="str">
        <f t="shared" si="27"/>
        <v>Q1 2023</v>
      </c>
    </row>
    <row r="864" spans="1:12" ht="15.75" customHeight="1" x14ac:dyDescent="0.3">
      <c r="A864" s="2" t="s">
        <v>1321</v>
      </c>
      <c r="B864" s="2" t="s">
        <v>11</v>
      </c>
      <c r="C864" s="2" t="s">
        <v>12</v>
      </c>
      <c r="D864" s="2" t="s">
        <v>1224</v>
      </c>
      <c r="E864" s="2" t="s">
        <v>187</v>
      </c>
      <c r="F864" s="2" t="s">
        <v>46</v>
      </c>
      <c r="G864" s="4">
        <v>161491</v>
      </c>
      <c r="H864" s="5" t="s">
        <v>25</v>
      </c>
      <c r="I864" s="4">
        <v>0</v>
      </c>
      <c r="J864" s="6">
        <v>44603</v>
      </c>
      <c r="K864" t="str">
        <f t="shared" si="26"/>
        <v>Q1 2022</v>
      </c>
      <c r="L864" t="str">
        <f t="shared" si="27"/>
        <v>Q1 2022</v>
      </c>
    </row>
    <row r="865" spans="1:12" ht="15.75" customHeight="1" x14ac:dyDescent="0.3">
      <c r="A865" s="2" t="s">
        <v>1322</v>
      </c>
      <c r="B865" s="2" t="s">
        <v>20</v>
      </c>
      <c r="C865" s="2" t="s">
        <v>21</v>
      </c>
      <c r="D865" s="2" t="s">
        <v>1224</v>
      </c>
      <c r="E865" s="2" t="s">
        <v>1075</v>
      </c>
      <c r="F865" s="2" t="s">
        <v>1323</v>
      </c>
      <c r="G865" s="4">
        <v>140656</v>
      </c>
      <c r="H865" s="6">
        <v>45018</v>
      </c>
      <c r="I865" s="4">
        <v>17582</v>
      </c>
      <c r="J865" s="5" t="s">
        <v>1231</v>
      </c>
      <c r="K865" t="str">
        <f t="shared" si="26"/>
        <v>Q1 2023</v>
      </c>
      <c r="L865" t="str">
        <f t="shared" si="27"/>
        <v>Q1 2023</v>
      </c>
    </row>
    <row r="866" spans="1:12" ht="15.75" customHeight="1" x14ac:dyDescent="0.3">
      <c r="A866" s="2" t="s">
        <v>1324</v>
      </c>
      <c r="B866" s="2" t="s">
        <v>11</v>
      </c>
      <c r="C866" s="2" t="s">
        <v>12</v>
      </c>
      <c r="D866" s="2" t="s">
        <v>1224</v>
      </c>
      <c r="E866" s="2" t="s">
        <v>187</v>
      </c>
      <c r="F866" s="2" t="s">
        <v>46</v>
      </c>
      <c r="G866" s="4">
        <v>92058</v>
      </c>
      <c r="H866" s="5" t="s">
        <v>39</v>
      </c>
      <c r="I866" s="4">
        <v>0</v>
      </c>
      <c r="J866" s="6">
        <v>44603</v>
      </c>
      <c r="K866" t="str">
        <f t="shared" si="26"/>
        <v>Q1 2022</v>
      </c>
      <c r="L866" t="str">
        <f t="shared" si="27"/>
        <v>Q1 2022</v>
      </c>
    </row>
    <row r="867" spans="1:12" ht="15.75" customHeight="1" x14ac:dyDescent="0.3">
      <c r="A867" s="2" t="s">
        <v>1325</v>
      </c>
      <c r="B867" s="2" t="s">
        <v>20</v>
      </c>
      <c r="C867" s="2" t="s">
        <v>57</v>
      </c>
      <c r="D867" s="2" t="s">
        <v>1224</v>
      </c>
      <c r="E867" s="2" t="s">
        <v>187</v>
      </c>
      <c r="F867" s="2" t="s">
        <v>1326</v>
      </c>
      <c r="G867" s="4">
        <v>217631</v>
      </c>
      <c r="H867" s="5" t="s">
        <v>1132</v>
      </c>
      <c r="I867" s="4">
        <v>54408</v>
      </c>
      <c r="J867" s="6">
        <v>44692</v>
      </c>
      <c r="K867" t="str">
        <f t="shared" si="26"/>
        <v>Q2 2022</v>
      </c>
      <c r="L867" t="str">
        <f t="shared" si="27"/>
        <v>Q2 2022</v>
      </c>
    </row>
    <row r="868" spans="1:12" ht="15.75" customHeight="1" x14ac:dyDescent="0.3">
      <c r="A868" s="2" t="s">
        <v>1327</v>
      </c>
      <c r="B868" s="2" t="s">
        <v>11</v>
      </c>
      <c r="C868" s="2" t="s">
        <v>12</v>
      </c>
      <c r="D868" s="2" t="s">
        <v>1224</v>
      </c>
      <c r="E868" s="2" t="s">
        <v>187</v>
      </c>
      <c r="F868" s="2" t="s">
        <v>46</v>
      </c>
      <c r="G868" s="4">
        <v>190243</v>
      </c>
      <c r="H868" s="6">
        <v>44623</v>
      </c>
      <c r="I868" s="4">
        <v>0</v>
      </c>
      <c r="J868" s="6">
        <v>44597</v>
      </c>
      <c r="K868" t="str">
        <f t="shared" si="26"/>
        <v>Q1 2022</v>
      </c>
      <c r="L868" t="str">
        <f t="shared" si="27"/>
        <v>Q1 2022</v>
      </c>
    </row>
    <row r="869" spans="1:12" ht="15.75" customHeight="1" x14ac:dyDescent="0.3">
      <c r="A869" s="2" t="s">
        <v>1328</v>
      </c>
      <c r="B869" s="2" t="s">
        <v>11</v>
      </c>
      <c r="C869" s="2" t="s">
        <v>12</v>
      </c>
      <c r="D869" s="2" t="s">
        <v>1224</v>
      </c>
      <c r="E869" s="2" t="s">
        <v>187</v>
      </c>
      <c r="F869" s="2" t="s">
        <v>46</v>
      </c>
      <c r="G869" s="4">
        <v>46000</v>
      </c>
      <c r="H869" s="5" t="s">
        <v>189</v>
      </c>
      <c r="I869" s="4">
        <v>0</v>
      </c>
      <c r="J869" s="6">
        <v>44602</v>
      </c>
      <c r="K869" t="str">
        <f t="shared" si="26"/>
        <v>Q1 2022</v>
      </c>
      <c r="L869" t="str">
        <f t="shared" si="27"/>
        <v>Q1 2022</v>
      </c>
    </row>
    <row r="870" spans="1:12" ht="15.75" customHeight="1" x14ac:dyDescent="0.3">
      <c r="A870" s="2" t="s">
        <v>1329</v>
      </c>
      <c r="B870" s="2" t="s">
        <v>11</v>
      </c>
      <c r="C870" s="2" t="s">
        <v>12</v>
      </c>
      <c r="D870" s="2" t="s">
        <v>1224</v>
      </c>
      <c r="E870" s="2" t="s">
        <v>187</v>
      </c>
      <c r="F870" s="2" t="s">
        <v>1330</v>
      </c>
      <c r="G870" s="4">
        <v>164850</v>
      </c>
      <c r="H870" s="5" t="s">
        <v>192</v>
      </c>
      <c r="I870" s="4">
        <v>0</v>
      </c>
      <c r="J870" s="6">
        <v>44595</v>
      </c>
      <c r="K870" t="str">
        <f t="shared" si="26"/>
        <v>Q1 2022</v>
      </c>
      <c r="L870" t="str">
        <f t="shared" si="27"/>
        <v>Q1 2022</v>
      </c>
    </row>
    <row r="871" spans="1:12" ht="15.75" customHeight="1" x14ac:dyDescent="0.3">
      <c r="A871" s="2" t="s">
        <v>1331</v>
      </c>
      <c r="B871" s="2" t="s">
        <v>20</v>
      </c>
      <c r="C871" s="2" t="s">
        <v>21</v>
      </c>
      <c r="D871" s="2" t="s">
        <v>1224</v>
      </c>
      <c r="E871" s="2" t="s">
        <v>187</v>
      </c>
      <c r="F871" s="2" t="s">
        <v>1332</v>
      </c>
      <c r="G871" s="4">
        <v>33488</v>
      </c>
      <c r="H871" s="6">
        <v>44721</v>
      </c>
      <c r="I871" s="4">
        <v>1288</v>
      </c>
      <c r="J871" s="6">
        <v>44692</v>
      </c>
      <c r="K871" t="str">
        <f t="shared" si="26"/>
        <v>Q2 2022</v>
      </c>
      <c r="L871" t="str">
        <f t="shared" si="27"/>
        <v>Q2 2022</v>
      </c>
    </row>
    <row r="872" spans="1:12" ht="15.75" customHeight="1" x14ac:dyDescent="0.3">
      <c r="A872" s="2" t="s">
        <v>1333</v>
      </c>
      <c r="B872" s="2" t="s">
        <v>11</v>
      </c>
      <c r="C872" s="2" t="s">
        <v>12</v>
      </c>
      <c r="D872" s="2" t="s">
        <v>1224</v>
      </c>
      <c r="E872" s="2" t="s">
        <v>187</v>
      </c>
      <c r="F872" s="2" t="s">
        <v>46</v>
      </c>
      <c r="G872" s="4">
        <v>52649</v>
      </c>
      <c r="H872" s="5" t="s">
        <v>42</v>
      </c>
      <c r="I872" s="4">
        <v>0</v>
      </c>
      <c r="J872" s="6">
        <v>44603</v>
      </c>
      <c r="K872" t="str">
        <f t="shared" si="26"/>
        <v>Q1 2022</v>
      </c>
      <c r="L872" t="str">
        <f t="shared" si="27"/>
        <v>Q1 2022</v>
      </c>
    </row>
    <row r="873" spans="1:12" ht="15.75" customHeight="1" x14ac:dyDescent="0.3">
      <c r="A873" s="2" t="s">
        <v>1334</v>
      </c>
      <c r="B873" s="2" t="s">
        <v>11</v>
      </c>
      <c r="C873" s="2" t="s">
        <v>12</v>
      </c>
      <c r="D873" s="2" t="s">
        <v>1224</v>
      </c>
      <c r="E873" s="2" t="s">
        <v>187</v>
      </c>
      <c r="F873" s="2" t="s">
        <v>1335</v>
      </c>
      <c r="G873" s="4">
        <v>128469</v>
      </c>
      <c r="H873" s="5" t="s">
        <v>1336</v>
      </c>
      <c r="I873" s="4">
        <v>0</v>
      </c>
      <c r="J873" s="6">
        <v>44959</v>
      </c>
      <c r="K873" t="str">
        <f t="shared" si="26"/>
        <v>Q1 2023</v>
      </c>
      <c r="L873" t="str">
        <f t="shared" si="27"/>
        <v>Q1 2023</v>
      </c>
    </row>
    <row r="874" spans="1:12" ht="15.75" customHeight="1" x14ac:dyDescent="0.3">
      <c r="A874" s="2" t="s">
        <v>1337</v>
      </c>
      <c r="B874" s="2" t="s">
        <v>11</v>
      </c>
      <c r="C874" s="2" t="s">
        <v>12</v>
      </c>
      <c r="D874" s="2" t="s">
        <v>1224</v>
      </c>
      <c r="E874" s="2" t="s">
        <v>187</v>
      </c>
      <c r="F874" s="2" t="s">
        <v>46</v>
      </c>
      <c r="G874" s="4">
        <v>110361</v>
      </c>
      <c r="H874" s="5" t="s">
        <v>71</v>
      </c>
      <c r="I874" s="4">
        <v>0</v>
      </c>
      <c r="J874" s="6">
        <v>44603</v>
      </c>
      <c r="K874" t="str">
        <f t="shared" si="26"/>
        <v>Q1 2022</v>
      </c>
      <c r="L874" t="str">
        <f t="shared" si="27"/>
        <v>Q1 2022</v>
      </c>
    </row>
    <row r="875" spans="1:12" ht="15.75" customHeight="1" x14ac:dyDescent="0.3">
      <c r="A875" s="2" t="s">
        <v>1338</v>
      </c>
      <c r="B875" s="2" t="s">
        <v>11</v>
      </c>
      <c r="C875" s="2" t="s">
        <v>12</v>
      </c>
      <c r="D875" s="2" t="s">
        <v>1224</v>
      </c>
      <c r="E875" s="2" t="s">
        <v>187</v>
      </c>
      <c r="F875" s="2" t="s">
        <v>46</v>
      </c>
      <c r="G875" s="4">
        <v>74403</v>
      </c>
      <c r="H875" s="6">
        <v>44624</v>
      </c>
      <c r="I875" s="4">
        <v>0</v>
      </c>
      <c r="J875" s="6">
        <v>44598</v>
      </c>
      <c r="K875" t="str">
        <f t="shared" si="26"/>
        <v>Q1 2022</v>
      </c>
      <c r="L875" t="str">
        <f t="shared" si="27"/>
        <v>Q1 2022</v>
      </c>
    </row>
    <row r="876" spans="1:12" ht="15.75" customHeight="1" x14ac:dyDescent="0.3">
      <c r="A876" s="2" t="s">
        <v>1339</v>
      </c>
      <c r="B876" s="2" t="s">
        <v>11</v>
      </c>
      <c r="C876" s="2" t="s">
        <v>12</v>
      </c>
      <c r="D876" s="2" t="s">
        <v>1224</v>
      </c>
      <c r="E876" s="2" t="s">
        <v>187</v>
      </c>
      <c r="F876" s="2" t="s">
        <v>580</v>
      </c>
      <c r="G876" s="4">
        <v>152450</v>
      </c>
      <c r="H876" s="5" t="s">
        <v>142</v>
      </c>
      <c r="I876" s="4">
        <v>0</v>
      </c>
      <c r="J876" s="6">
        <v>44596</v>
      </c>
      <c r="K876" t="str">
        <f t="shared" si="26"/>
        <v>Q1 2022</v>
      </c>
      <c r="L876" t="str">
        <f t="shared" si="27"/>
        <v>Q1 2022</v>
      </c>
    </row>
    <row r="877" spans="1:12" ht="15.75" customHeight="1" x14ac:dyDescent="0.3">
      <c r="A877" s="2" t="s">
        <v>1340</v>
      </c>
      <c r="B877" s="2" t="s">
        <v>11</v>
      </c>
      <c r="C877" s="2" t="s">
        <v>12</v>
      </c>
      <c r="D877" s="2" t="s">
        <v>1224</v>
      </c>
      <c r="E877" s="2" t="s">
        <v>187</v>
      </c>
      <c r="F877" s="2" t="s">
        <v>46</v>
      </c>
      <c r="G877" s="4">
        <v>265033</v>
      </c>
      <c r="H877" s="6">
        <v>44629</v>
      </c>
      <c r="I877" s="4">
        <v>0</v>
      </c>
      <c r="J877" s="6">
        <v>44603</v>
      </c>
      <c r="K877" t="str">
        <f t="shared" si="26"/>
        <v>Q1 2022</v>
      </c>
      <c r="L877" t="str">
        <f t="shared" si="27"/>
        <v>Q1 2022</v>
      </c>
    </row>
    <row r="878" spans="1:12" ht="15.75" customHeight="1" x14ac:dyDescent="0.3">
      <c r="A878" s="2" t="s">
        <v>1341</v>
      </c>
      <c r="B878" s="2" t="s">
        <v>11</v>
      </c>
      <c r="C878" s="2" t="s">
        <v>12</v>
      </c>
      <c r="D878" s="2" t="s">
        <v>1224</v>
      </c>
      <c r="E878" s="2" t="s">
        <v>187</v>
      </c>
      <c r="F878" s="2" t="s">
        <v>1342</v>
      </c>
      <c r="G878" s="4">
        <v>383042</v>
      </c>
      <c r="H878" s="6">
        <v>44663</v>
      </c>
      <c r="I878" s="4">
        <v>0</v>
      </c>
      <c r="J878" s="6">
        <v>44959</v>
      </c>
      <c r="K878" t="str">
        <f t="shared" si="26"/>
        <v>Q1 2023</v>
      </c>
      <c r="L878" t="str">
        <f t="shared" si="27"/>
        <v>Q1 2023</v>
      </c>
    </row>
    <row r="879" spans="1:12" ht="15.75" customHeight="1" x14ac:dyDescent="0.3">
      <c r="A879" s="2" t="s">
        <v>1343</v>
      </c>
      <c r="B879" s="2" t="s">
        <v>11</v>
      </c>
      <c r="C879" s="2" t="s">
        <v>12</v>
      </c>
      <c r="D879" s="2" t="s">
        <v>1224</v>
      </c>
      <c r="E879" s="2" t="s">
        <v>187</v>
      </c>
      <c r="F879" s="2" t="s">
        <v>46</v>
      </c>
      <c r="G879" s="4">
        <v>90326</v>
      </c>
      <c r="H879" s="5" t="s">
        <v>42</v>
      </c>
      <c r="I879" s="4">
        <v>0</v>
      </c>
      <c r="J879" s="6">
        <v>44603</v>
      </c>
      <c r="K879" t="str">
        <f t="shared" si="26"/>
        <v>Q1 2022</v>
      </c>
      <c r="L879" t="str">
        <f t="shared" si="27"/>
        <v>Q1 2022</v>
      </c>
    </row>
    <row r="880" spans="1:12" ht="15.75" customHeight="1" x14ac:dyDescent="0.3">
      <c r="A880" s="2" t="s">
        <v>1344</v>
      </c>
      <c r="B880" s="2" t="s">
        <v>11</v>
      </c>
      <c r="C880" s="2" t="s">
        <v>12</v>
      </c>
      <c r="D880" s="2" t="s">
        <v>1224</v>
      </c>
      <c r="E880" s="2" t="s">
        <v>187</v>
      </c>
      <c r="F880" s="2" t="s">
        <v>580</v>
      </c>
      <c r="G880" s="4">
        <v>42344</v>
      </c>
      <c r="H880" s="5" t="s">
        <v>30</v>
      </c>
      <c r="I880" s="4">
        <v>0</v>
      </c>
      <c r="J880" s="6">
        <v>44603</v>
      </c>
      <c r="K880" t="str">
        <f t="shared" si="26"/>
        <v>Q1 2022</v>
      </c>
      <c r="L880" t="str">
        <f t="shared" si="27"/>
        <v>Q1 2022</v>
      </c>
    </row>
    <row r="881" spans="1:12" ht="15.75" customHeight="1" x14ac:dyDescent="0.3">
      <c r="A881" s="2" t="s">
        <v>1345</v>
      </c>
      <c r="B881" s="2" t="s">
        <v>11</v>
      </c>
      <c r="C881" s="2" t="s">
        <v>12</v>
      </c>
      <c r="D881" s="2" t="s">
        <v>1224</v>
      </c>
      <c r="E881" s="2" t="s">
        <v>187</v>
      </c>
      <c r="F881" s="2" t="s">
        <v>1346</v>
      </c>
      <c r="G881" s="4">
        <v>33531</v>
      </c>
      <c r="H881" s="5" t="s">
        <v>39</v>
      </c>
      <c r="I881" s="4">
        <v>0</v>
      </c>
      <c r="J881" s="6">
        <v>44603</v>
      </c>
      <c r="K881" t="str">
        <f t="shared" si="26"/>
        <v>Q1 2022</v>
      </c>
      <c r="L881" t="str">
        <f t="shared" si="27"/>
        <v>Q1 2022</v>
      </c>
    </row>
    <row r="882" spans="1:12" ht="15.75" customHeight="1" x14ac:dyDescent="0.3">
      <c r="A882" s="2" t="s">
        <v>1347</v>
      </c>
      <c r="B882" s="2" t="s">
        <v>11</v>
      </c>
      <c r="C882" s="2" t="s">
        <v>12</v>
      </c>
      <c r="D882" s="2" t="s">
        <v>1224</v>
      </c>
      <c r="E882" s="2" t="s">
        <v>187</v>
      </c>
      <c r="F882" s="2" t="s">
        <v>580</v>
      </c>
      <c r="G882" s="4">
        <v>37800</v>
      </c>
      <c r="H882" s="5" t="s">
        <v>121</v>
      </c>
      <c r="I882" s="4">
        <v>0</v>
      </c>
      <c r="J882" s="6">
        <v>44960</v>
      </c>
      <c r="K882" t="str">
        <f t="shared" si="26"/>
        <v>Q1 2023</v>
      </c>
      <c r="L882" t="str">
        <f t="shared" si="27"/>
        <v>Q1 2023</v>
      </c>
    </row>
    <row r="883" spans="1:12" ht="15.75" customHeight="1" x14ac:dyDescent="0.3">
      <c r="A883" s="2" t="s">
        <v>1348</v>
      </c>
      <c r="B883" s="2" t="s">
        <v>11</v>
      </c>
      <c r="C883" s="2" t="s">
        <v>12</v>
      </c>
      <c r="D883" s="2" t="s">
        <v>1224</v>
      </c>
      <c r="E883" s="2" t="s">
        <v>187</v>
      </c>
      <c r="F883" s="2" t="s">
        <v>46</v>
      </c>
      <c r="G883" s="4">
        <v>42040</v>
      </c>
      <c r="H883" s="6">
        <v>44629</v>
      </c>
      <c r="I883" s="4">
        <v>0</v>
      </c>
      <c r="J883" s="6">
        <v>44603</v>
      </c>
      <c r="K883" t="str">
        <f t="shared" si="26"/>
        <v>Q1 2022</v>
      </c>
      <c r="L883" t="str">
        <f t="shared" si="27"/>
        <v>Q1 2022</v>
      </c>
    </row>
    <row r="884" spans="1:12" ht="15.75" customHeight="1" x14ac:dyDescent="0.3">
      <c r="A884" s="2" t="s">
        <v>1349</v>
      </c>
      <c r="B884" s="2" t="s">
        <v>20</v>
      </c>
      <c r="C884" s="2" t="s">
        <v>57</v>
      </c>
      <c r="D884" s="2" t="s">
        <v>1224</v>
      </c>
      <c r="E884" s="2" t="s">
        <v>187</v>
      </c>
      <c r="F884" s="2" t="s">
        <v>1350</v>
      </c>
      <c r="G884" s="4">
        <v>100026</v>
      </c>
      <c r="H884" s="5" t="s">
        <v>1351</v>
      </c>
      <c r="I884" s="4">
        <v>50013</v>
      </c>
      <c r="J884" s="6">
        <v>44782</v>
      </c>
      <c r="K884" t="str">
        <f t="shared" si="26"/>
        <v>Q3 2022</v>
      </c>
      <c r="L884" t="str">
        <f t="shared" si="27"/>
        <v>Q3 2022</v>
      </c>
    </row>
    <row r="885" spans="1:12" ht="15.75" customHeight="1" x14ac:dyDescent="0.3">
      <c r="A885" s="2" t="s">
        <v>1352</v>
      </c>
      <c r="B885" s="2" t="s">
        <v>11</v>
      </c>
      <c r="C885" s="2" t="s">
        <v>12</v>
      </c>
      <c r="D885" s="2" t="s">
        <v>1224</v>
      </c>
      <c r="E885" s="2" t="s">
        <v>187</v>
      </c>
      <c r="F885" s="2" t="s">
        <v>1353</v>
      </c>
      <c r="G885" s="4">
        <v>80596</v>
      </c>
      <c r="H885" s="6">
        <v>44621</v>
      </c>
      <c r="I885" s="4">
        <v>0</v>
      </c>
      <c r="J885" s="6">
        <v>44594</v>
      </c>
      <c r="K885" t="str">
        <f t="shared" si="26"/>
        <v>Q1 2022</v>
      </c>
      <c r="L885" t="str">
        <f t="shared" si="27"/>
        <v>Q1 2022</v>
      </c>
    </row>
    <row r="886" spans="1:12" ht="15.75" customHeight="1" x14ac:dyDescent="0.3">
      <c r="A886" s="2" t="s">
        <v>1354</v>
      </c>
      <c r="B886" s="2" t="s">
        <v>11</v>
      </c>
      <c r="C886" s="2" t="s">
        <v>12</v>
      </c>
      <c r="D886" s="2" t="s">
        <v>1224</v>
      </c>
      <c r="E886" s="2" t="s">
        <v>187</v>
      </c>
      <c r="F886" s="2" t="s">
        <v>46</v>
      </c>
      <c r="G886" s="4">
        <v>133415</v>
      </c>
      <c r="H886" s="6">
        <v>44298</v>
      </c>
      <c r="I886" s="4">
        <v>0</v>
      </c>
      <c r="J886" s="6">
        <v>44594</v>
      </c>
      <c r="K886" t="str">
        <f t="shared" si="26"/>
        <v>Q1 2022</v>
      </c>
      <c r="L886" t="str">
        <f t="shared" si="27"/>
        <v>Q1 2022</v>
      </c>
    </row>
    <row r="887" spans="1:12" ht="15.75" customHeight="1" x14ac:dyDescent="0.3">
      <c r="A887" s="2" t="s">
        <v>1355</v>
      </c>
      <c r="B887" s="2" t="s">
        <v>11</v>
      </c>
      <c r="C887" s="2" t="s">
        <v>12</v>
      </c>
      <c r="D887" s="2" t="s">
        <v>1224</v>
      </c>
      <c r="E887" s="2" t="s">
        <v>187</v>
      </c>
      <c r="F887" s="2" t="s">
        <v>46</v>
      </c>
      <c r="G887" s="4">
        <v>166384</v>
      </c>
      <c r="H887" s="5" t="s">
        <v>25</v>
      </c>
      <c r="I887" s="4">
        <v>0</v>
      </c>
      <c r="J887" s="6">
        <v>44603</v>
      </c>
      <c r="K887" t="str">
        <f t="shared" si="26"/>
        <v>Q1 2022</v>
      </c>
      <c r="L887" t="str">
        <f t="shared" si="27"/>
        <v>Q1 2022</v>
      </c>
    </row>
    <row r="888" spans="1:12" ht="15.75" customHeight="1" x14ac:dyDescent="0.3">
      <c r="A888" s="2" t="s">
        <v>1356</v>
      </c>
      <c r="B888" s="2" t="s">
        <v>11</v>
      </c>
      <c r="C888" s="2" t="s">
        <v>12</v>
      </c>
      <c r="D888" s="2" t="s">
        <v>1224</v>
      </c>
      <c r="E888" s="2" t="s">
        <v>187</v>
      </c>
      <c r="F888" s="2" t="s">
        <v>1357</v>
      </c>
      <c r="G888" s="4">
        <v>155783</v>
      </c>
      <c r="H888" s="6">
        <v>44629</v>
      </c>
      <c r="I888" s="4">
        <v>0</v>
      </c>
      <c r="J888" s="6">
        <v>44603</v>
      </c>
      <c r="K888" t="str">
        <f t="shared" si="26"/>
        <v>Q1 2022</v>
      </c>
      <c r="L888" t="str">
        <f t="shared" si="27"/>
        <v>Q1 2022</v>
      </c>
    </row>
    <row r="889" spans="1:12" ht="15.75" customHeight="1" x14ac:dyDescent="0.3">
      <c r="A889" s="2" t="s">
        <v>1358</v>
      </c>
      <c r="B889" s="2" t="s">
        <v>11</v>
      </c>
      <c r="C889" s="2" t="s">
        <v>12</v>
      </c>
      <c r="D889" s="2" t="s">
        <v>1224</v>
      </c>
      <c r="E889" s="2" t="s">
        <v>187</v>
      </c>
      <c r="F889" s="2" t="s">
        <v>46</v>
      </c>
      <c r="G889" s="4">
        <v>75936</v>
      </c>
      <c r="H889" s="6">
        <v>44630</v>
      </c>
      <c r="I889" s="4">
        <v>0</v>
      </c>
      <c r="J889" s="6">
        <v>44603</v>
      </c>
      <c r="K889" t="str">
        <f t="shared" si="26"/>
        <v>Q1 2022</v>
      </c>
      <c r="L889" t="str">
        <f t="shared" si="27"/>
        <v>Q1 2022</v>
      </c>
    </row>
    <row r="890" spans="1:12" ht="15.75" customHeight="1" x14ac:dyDescent="0.3">
      <c r="A890" s="2" t="s">
        <v>1359</v>
      </c>
      <c r="B890" s="2" t="s">
        <v>11</v>
      </c>
      <c r="C890" s="2" t="s">
        <v>12</v>
      </c>
      <c r="D890" s="2" t="s">
        <v>1224</v>
      </c>
      <c r="E890" s="2" t="s">
        <v>187</v>
      </c>
      <c r="F890" s="2" t="s">
        <v>1360</v>
      </c>
      <c r="G890" s="4">
        <v>100035</v>
      </c>
      <c r="H890" s="6">
        <v>44629</v>
      </c>
      <c r="I890" s="4">
        <v>0</v>
      </c>
      <c r="J890" s="6">
        <v>44603</v>
      </c>
      <c r="K890" t="str">
        <f t="shared" si="26"/>
        <v>Q1 2022</v>
      </c>
      <c r="L890" t="str">
        <f t="shared" si="27"/>
        <v>Q1 2022</v>
      </c>
    </row>
    <row r="891" spans="1:12" ht="15.75" customHeight="1" x14ac:dyDescent="0.3">
      <c r="A891" s="2" t="s">
        <v>1361</v>
      </c>
      <c r="B891" s="2" t="s">
        <v>11</v>
      </c>
      <c r="C891" s="2" t="s">
        <v>12</v>
      </c>
      <c r="D891" s="2" t="s">
        <v>1224</v>
      </c>
      <c r="E891" s="2" t="s">
        <v>187</v>
      </c>
      <c r="F891" s="2" t="s">
        <v>46</v>
      </c>
      <c r="G891" s="4">
        <v>96217</v>
      </c>
      <c r="H891" s="5" t="s">
        <v>16</v>
      </c>
      <c r="I891" s="4">
        <v>0</v>
      </c>
      <c r="J891" s="6">
        <v>44596</v>
      </c>
      <c r="K891" t="str">
        <f t="shared" si="26"/>
        <v>Q1 2022</v>
      </c>
      <c r="L891" t="str">
        <f t="shared" si="27"/>
        <v>Q1 2022</v>
      </c>
    </row>
    <row r="892" spans="1:12" ht="15.75" customHeight="1" x14ac:dyDescent="0.3">
      <c r="A892" s="2" t="s">
        <v>1362</v>
      </c>
      <c r="B892" s="2" t="s">
        <v>11</v>
      </c>
      <c r="C892" s="2" t="s">
        <v>12</v>
      </c>
      <c r="D892" s="2" t="s">
        <v>1224</v>
      </c>
      <c r="E892" s="2" t="s">
        <v>187</v>
      </c>
      <c r="F892" s="2" t="s">
        <v>1363</v>
      </c>
      <c r="G892" s="4">
        <v>121682</v>
      </c>
      <c r="H892" s="5" t="s">
        <v>71</v>
      </c>
      <c r="I892" s="4">
        <v>0</v>
      </c>
      <c r="J892" s="6">
        <v>44603</v>
      </c>
      <c r="K892" t="str">
        <f t="shared" si="26"/>
        <v>Q1 2022</v>
      </c>
      <c r="L892" t="str">
        <f t="shared" si="27"/>
        <v>Q1 2022</v>
      </c>
    </row>
    <row r="893" spans="1:12" ht="15.75" customHeight="1" x14ac:dyDescent="0.3">
      <c r="A893" s="2" t="s">
        <v>1364</v>
      </c>
      <c r="B893" s="2" t="s">
        <v>11</v>
      </c>
      <c r="C893" s="2" t="s">
        <v>12</v>
      </c>
      <c r="D893" s="2" t="s">
        <v>1224</v>
      </c>
      <c r="E893" s="2" t="s">
        <v>187</v>
      </c>
      <c r="F893" s="2" t="s">
        <v>46</v>
      </c>
      <c r="G893" s="4">
        <v>45788</v>
      </c>
      <c r="H893" s="5" t="s">
        <v>42</v>
      </c>
      <c r="I893" s="4">
        <v>0</v>
      </c>
      <c r="J893" s="6">
        <v>44603</v>
      </c>
      <c r="K893" t="str">
        <f t="shared" si="26"/>
        <v>Q1 2022</v>
      </c>
      <c r="L893" t="str">
        <f t="shared" si="27"/>
        <v>Q1 2022</v>
      </c>
    </row>
    <row r="894" spans="1:12" ht="15.75" customHeight="1" x14ac:dyDescent="0.3">
      <c r="A894" s="2" t="s">
        <v>1365</v>
      </c>
      <c r="B894" s="2" t="s">
        <v>11</v>
      </c>
      <c r="C894" s="2" t="s">
        <v>12</v>
      </c>
      <c r="D894" s="2" t="s">
        <v>1224</v>
      </c>
      <c r="E894" s="2" t="s">
        <v>187</v>
      </c>
      <c r="F894" s="2" t="s">
        <v>46</v>
      </c>
      <c r="G894" s="4">
        <v>95495</v>
      </c>
      <c r="H894" s="5" t="s">
        <v>232</v>
      </c>
      <c r="I894" s="4">
        <v>0</v>
      </c>
      <c r="J894" s="6">
        <v>44594</v>
      </c>
      <c r="K894" t="str">
        <f t="shared" si="26"/>
        <v>Q1 2022</v>
      </c>
      <c r="L894" t="str">
        <f t="shared" si="27"/>
        <v>Q1 2022</v>
      </c>
    </row>
    <row r="895" spans="1:12" ht="15.75" customHeight="1" x14ac:dyDescent="0.3">
      <c r="A895" s="2" t="s">
        <v>1366</v>
      </c>
      <c r="B895" s="2" t="s">
        <v>11</v>
      </c>
      <c r="C895" s="2" t="s">
        <v>12</v>
      </c>
      <c r="D895" s="2" t="s">
        <v>1224</v>
      </c>
      <c r="E895" s="2" t="s">
        <v>187</v>
      </c>
      <c r="F895" s="2" t="s">
        <v>1367</v>
      </c>
      <c r="G895" s="4">
        <v>916552</v>
      </c>
      <c r="H895" s="5" t="s">
        <v>130</v>
      </c>
      <c r="I895" s="4">
        <v>0</v>
      </c>
      <c r="J895" s="6">
        <v>44602</v>
      </c>
      <c r="K895" t="str">
        <f t="shared" si="26"/>
        <v>Q1 2022</v>
      </c>
      <c r="L895" t="str">
        <f t="shared" si="27"/>
        <v>Q1 2022</v>
      </c>
    </row>
    <row r="896" spans="1:12" ht="15.75" customHeight="1" x14ac:dyDescent="0.3">
      <c r="A896" s="2" t="s">
        <v>1368</v>
      </c>
      <c r="B896" s="2" t="s">
        <v>11</v>
      </c>
      <c r="C896" s="2" t="s">
        <v>12</v>
      </c>
      <c r="D896" s="2" t="s">
        <v>1224</v>
      </c>
      <c r="E896" s="2" t="s">
        <v>187</v>
      </c>
      <c r="F896" s="2" t="s">
        <v>580</v>
      </c>
      <c r="G896" s="4">
        <v>108248</v>
      </c>
      <c r="H896" s="6">
        <v>44621</v>
      </c>
      <c r="I896" s="4">
        <v>0</v>
      </c>
      <c r="J896" s="6">
        <v>44594</v>
      </c>
      <c r="K896" t="str">
        <f t="shared" si="26"/>
        <v>Q1 2022</v>
      </c>
      <c r="L896" t="str">
        <f t="shared" si="27"/>
        <v>Q1 2022</v>
      </c>
    </row>
    <row r="897" spans="1:12" ht="15.75" customHeight="1" x14ac:dyDescent="0.3">
      <c r="A897" s="2" t="s">
        <v>1369</v>
      </c>
      <c r="B897" s="2" t="s">
        <v>11</v>
      </c>
      <c r="C897" s="2" t="s">
        <v>12</v>
      </c>
      <c r="D897" s="2" t="s">
        <v>1224</v>
      </c>
      <c r="E897" s="2" t="s">
        <v>187</v>
      </c>
      <c r="F897" s="2" t="s">
        <v>46</v>
      </c>
      <c r="G897" s="2"/>
      <c r="H897" s="5" t="s">
        <v>25</v>
      </c>
      <c r="I897" s="4">
        <v>0</v>
      </c>
      <c r="J897" s="6">
        <v>44603</v>
      </c>
      <c r="K897" t="str">
        <f t="shared" si="26"/>
        <v>Q1 2022</v>
      </c>
      <c r="L897" t="str">
        <f t="shared" si="27"/>
        <v>Q1 2022</v>
      </c>
    </row>
    <row r="898" spans="1:12" ht="15.75" customHeight="1" x14ac:dyDescent="0.3">
      <c r="A898" s="2" t="s">
        <v>1370</v>
      </c>
      <c r="B898" s="2" t="s">
        <v>11</v>
      </c>
      <c r="C898" s="2" t="s">
        <v>12</v>
      </c>
      <c r="D898" s="2" t="s">
        <v>1224</v>
      </c>
      <c r="E898" s="2" t="s">
        <v>187</v>
      </c>
      <c r="F898" s="2" t="s">
        <v>46</v>
      </c>
      <c r="G898" s="4">
        <v>106742</v>
      </c>
      <c r="H898" s="6">
        <v>44298</v>
      </c>
      <c r="I898" s="4">
        <v>0</v>
      </c>
      <c r="J898" s="6">
        <v>44594</v>
      </c>
      <c r="K898" t="str">
        <f t="shared" ref="K898:K961" si="28">"Q" &amp; ROUNDUP(MONTH(J:J)/3,0) &amp; " " &amp; YEAR(J:J)</f>
        <v>Q1 2022</v>
      </c>
      <c r="L898" t="str">
        <f t="shared" ref="L898:L961" si="29">"Q" &amp; ROUNDUP(MONTH(J:J)/3,0) &amp; " " &amp; YEAR(J:J)</f>
        <v>Q1 2022</v>
      </c>
    </row>
    <row r="899" spans="1:12" ht="15.75" customHeight="1" x14ac:dyDescent="0.3">
      <c r="A899" s="2" t="s">
        <v>1371</v>
      </c>
      <c r="B899" s="2" t="s">
        <v>11</v>
      </c>
      <c r="C899" s="2" t="s">
        <v>12</v>
      </c>
      <c r="D899" s="2" t="s">
        <v>1224</v>
      </c>
      <c r="E899" s="2" t="s">
        <v>187</v>
      </c>
      <c r="F899" s="2" t="s">
        <v>1372</v>
      </c>
      <c r="G899" s="4">
        <v>85439</v>
      </c>
      <c r="H899" s="5" t="s">
        <v>309</v>
      </c>
      <c r="I899" s="4">
        <v>0</v>
      </c>
      <c r="J899" s="6">
        <v>44594</v>
      </c>
      <c r="K899" t="str">
        <f t="shared" si="28"/>
        <v>Q1 2022</v>
      </c>
      <c r="L899" t="str">
        <f t="shared" si="29"/>
        <v>Q1 2022</v>
      </c>
    </row>
    <row r="900" spans="1:12" ht="15.75" customHeight="1" x14ac:dyDescent="0.3">
      <c r="A900" s="2" t="s">
        <v>1373</v>
      </c>
      <c r="B900" s="2" t="s">
        <v>11</v>
      </c>
      <c r="C900" s="2" t="s">
        <v>12</v>
      </c>
      <c r="D900" s="2" t="s">
        <v>1224</v>
      </c>
      <c r="E900" s="2" t="s">
        <v>187</v>
      </c>
      <c r="F900" s="2" t="s">
        <v>46</v>
      </c>
      <c r="G900" s="4">
        <v>136973</v>
      </c>
      <c r="H900" s="5" t="s">
        <v>25</v>
      </c>
      <c r="I900" s="4">
        <v>0</v>
      </c>
      <c r="J900" s="6">
        <v>44603</v>
      </c>
      <c r="K900" t="str">
        <f t="shared" si="28"/>
        <v>Q1 2022</v>
      </c>
      <c r="L900" t="str">
        <f t="shared" si="29"/>
        <v>Q1 2022</v>
      </c>
    </row>
    <row r="901" spans="1:12" ht="15.75" customHeight="1" x14ac:dyDescent="0.3">
      <c r="A901" s="2" t="s">
        <v>1374</v>
      </c>
      <c r="B901" s="2" t="s">
        <v>11</v>
      </c>
      <c r="C901" s="2" t="s">
        <v>12</v>
      </c>
      <c r="D901" s="2" t="s">
        <v>1224</v>
      </c>
      <c r="E901" s="2" t="s">
        <v>187</v>
      </c>
      <c r="F901" s="2" t="s">
        <v>580</v>
      </c>
      <c r="G901" s="4">
        <v>122603</v>
      </c>
      <c r="H901" s="5" t="s">
        <v>30</v>
      </c>
      <c r="I901" s="4">
        <v>0</v>
      </c>
      <c r="J901" s="6">
        <v>44603</v>
      </c>
      <c r="K901" t="str">
        <f t="shared" si="28"/>
        <v>Q1 2022</v>
      </c>
      <c r="L901" t="str">
        <f t="shared" si="29"/>
        <v>Q1 2022</v>
      </c>
    </row>
    <row r="902" spans="1:12" ht="15.75" customHeight="1" x14ac:dyDescent="0.3">
      <c r="A902" s="2" t="s">
        <v>1375</v>
      </c>
      <c r="B902" s="2" t="s">
        <v>11</v>
      </c>
      <c r="C902" s="2" t="s">
        <v>12</v>
      </c>
      <c r="D902" s="2" t="s">
        <v>1224</v>
      </c>
      <c r="E902" s="2" t="s">
        <v>187</v>
      </c>
      <c r="F902" s="2" t="s">
        <v>1376</v>
      </c>
      <c r="G902" s="4">
        <v>261417</v>
      </c>
      <c r="H902" s="5" t="s">
        <v>123</v>
      </c>
      <c r="I902" s="4">
        <v>0</v>
      </c>
      <c r="J902" s="6">
        <v>44594</v>
      </c>
      <c r="K902" t="str">
        <f t="shared" si="28"/>
        <v>Q1 2022</v>
      </c>
      <c r="L902" t="str">
        <f t="shared" si="29"/>
        <v>Q1 2022</v>
      </c>
    </row>
    <row r="903" spans="1:12" ht="15.75" customHeight="1" x14ac:dyDescent="0.3">
      <c r="A903" s="2" t="s">
        <v>1377</v>
      </c>
      <c r="B903" s="2" t="s">
        <v>11</v>
      </c>
      <c r="C903" s="2" t="s">
        <v>12</v>
      </c>
      <c r="D903" s="2" t="s">
        <v>1224</v>
      </c>
      <c r="E903" s="2" t="s">
        <v>187</v>
      </c>
      <c r="F903" s="2" t="s">
        <v>1378</v>
      </c>
      <c r="G903" s="2"/>
      <c r="H903" s="5" t="s">
        <v>232</v>
      </c>
      <c r="I903" s="4">
        <v>0</v>
      </c>
      <c r="J903" s="6">
        <v>44594</v>
      </c>
      <c r="K903" t="str">
        <f t="shared" si="28"/>
        <v>Q1 2022</v>
      </c>
      <c r="L903" t="str">
        <f t="shared" si="29"/>
        <v>Q1 2022</v>
      </c>
    </row>
    <row r="904" spans="1:12" ht="15.75" customHeight="1" x14ac:dyDescent="0.3">
      <c r="A904" s="2" t="s">
        <v>1379</v>
      </c>
      <c r="B904" s="2" t="s">
        <v>11</v>
      </c>
      <c r="C904" s="2" t="s">
        <v>12</v>
      </c>
      <c r="D904" s="2" t="s">
        <v>1224</v>
      </c>
      <c r="E904" s="2" t="s">
        <v>187</v>
      </c>
      <c r="F904" s="2" t="s">
        <v>46</v>
      </c>
      <c r="G904" s="4">
        <v>86456</v>
      </c>
      <c r="H904" s="5" t="s">
        <v>25</v>
      </c>
      <c r="I904" s="4">
        <v>0</v>
      </c>
      <c r="J904" s="6">
        <v>44603</v>
      </c>
      <c r="K904" t="str">
        <f t="shared" si="28"/>
        <v>Q1 2022</v>
      </c>
      <c r="L904" t="str">
        <f t="shared" si="29"/>
        <v>Q1 2022</v>
      </c>
    </row>
    <row r="905" spans="1:12" ht="15.75" customHeight="1" x14ac:dyDescent="0.3">
      <c r="A905" s="2" t="s">
        <v>1380</v>
      </c>
      <c r="B905" s="2" t="s">
        <v>11</v>
      </c>
      <c r="C905" s="2" t="s">
        <v>12</v>
      </c>
      <c r="D905" s="2" t="s">
        <v>1224</v>
      </c>
      <c r="E905" s="2" t="s">
        <v>187</v>
      </c>
      <c r="F905" s="2" t="s">
        <v>580</v>
      </c>
      <c r="G905" s="4">
        <v>125778</v>
      </c>
      <c r="H905" s="5" t="s">
        <v>71</v>
      </c>
      <c r="I905" s="4">
        <v>0</v>
      </c>
      <c r="J905" s="6">
        <v>44603</v>
      </c>
      <c r="K905" t="str">
        <f t="shared" si="28"/>
        <v>Q1 2022</v>
      </c>
      <c r="L905" t="str">
        <f t="shared" si="29"/>
        <v>Q1 2022</v>
      </c>
    </row>
    <row r="906" spans="1:12" ht="15.75" customHeight="1" x14ac:dyDescent="0.3">
      <c r="A906" s="2" t="s">
        <v>1381</v>
      </c>
      <c r="B906" s="2" t="s">
        <v>11</v>
      </c>
      <c r="C906" s="2" t="s">
        <v>12</v>
      </c>
      <c r="D906" s="2" t="s">
        <v>1224</v>
      </c>
      <c r="E906" s="2" t="s">
        <v>187</v>
      </c>
      <c r="F906" s="2" t="s">
        <v>46</v>
      </c>
      <c r="G906" s="2"/>
      <c r="H906" s="6">
        <v>44629</v>
      </c>
      <c r="I906" s="4">
        <v>0</v>
      </c>
      <c r="J906" s="6">
        <v>44603</v>
      </c>
      <c r="K906" t="str">
        <f t="shared" si="28"/>
        <v>Q1 2022</v>
      </c>
      <c r="L906" t="str">
        <f t="shared" si="29"/>
        <v>Q1 2022</v>
      </c>
    </row>
    <row r="907" spans="1:12" ht="15.75" customHeight="1" x14ac:dyDescent="0.3">
      <c r="A907" s="2" t="s">
        <v>1382</v>
      </c>
      <c r="B907" s="2" t="s">
        <v>11</v>
      </c>
      <c r="C907" s="2" t="s">
        <v>12</v>
      </c>
      <c r="D907" s="2" t="s">
        <v>1224</v>
      </c>
      <c r="E907" s="2" t="s">
        <v>187</v>
      </c>
      <c r="F907" s="2" t="s">
        <v>1383</v>
      </c>
      <c r="G907" s="4">
        <v>40191</v>
      </c>
      <c r="H907" s="6">
        <v>44629</v>
      </c>
      <c r="I907" s="4">
        <v>0</v>
      </c>
      <c r="J907" s="6">
        <v>44603</v>
      </c>
      <c r="K907" t="str">
        <f t="shared" si="28"/>
        <v>Q1 2022</v>
      </c>
      <c r="L907" t="str">
        <f t="shared" si="29"/>
        <v>Q1 2022</v>
      </c>
    </row>
    <row r="908" spans="1:12" ht="15.75" customHeight="1" x14ac:dyDescent="0.3">
      <c r="A908" s="2" t="s">
        <v>1384</v>
      </c>
      <c r="B908" s="2" t="s">
        <v>11</v>
      </c>
      <c r="C908" s="2" t="s">
        <v>12</v>
      </c>
      <c r="D908" s="2" t="s">
        <v>1224</v>
      </c>
      <c r="E908" s="2" t="s">
        <v>187</v>
      </c>
      <c r="F908" s="2" t="s">
        <v>1385</v>
      </c>
      <c r="G908" s="4">
        <v>143573</v>
      </c>
      <c r="H908" s="5" t="s">
        <v>42</v>
      </c>
      <c r="I908" s="4">
        <v>0</v>
      </c>
      <c r="J908" s="6">
        <v>44603</v>
      </c>
      <c r="K908" t="str">
        <f t="shared" si="28"/>
        <v>Q1 2022</v>
      </c>
      <c r="L908" t="str">
        <f t="shared" si="29"/>
        <v>Q1 2022</v>
      </c>
    </row>
    <row r="909" spans="1:12" ht="15.75" customHeight="1" x14ac:dyDescent="0.3">
      <c r="A909" s="2" t="s">
        <v>1386</v>
      </c>
      <c r="B909" s="2" t="s">
        <v>11</v>
      </c>
      <c r="C909" s="2" t="s">
        <v>12</v>
      </c>
      <c r="D909" s="2" t="s">
        <v>1224</v>
      </c>
      <c r="E909" s="2" t="s">
        <v>187</v>
      </c>
      <c r="F909" s="2" t="s">
        <v>46</v>
      </c>
      <c r="G909" s="4">
        <v>31875</v>
      </c>
      <c r="H909" s="6">
        <v>44603</v>
      </c>
      <c r="I909" s="4">
        <v>0</v>
      </c>
      <c r="J909" s="6">
        <v>44604</v>
      </c>
      <c r="K909" t="str">
        <f t="shared" si="28"/>
        <v>Q1 2022</v>
      </c>
      <c r="L909" t="str">
        <f t="shared" si="29"/>
        <v>Q1 2022</v>
      </c>
    </row>
    <row r="910" spans="1:12" ht="15.75" customHeight="1" x14ac:dyDescent="0.3">
      <c r="A910" s="2" t="s">
        <v>1387</v>
      </c>
      <c r="B910" s="2" t="s">
        <v>11</v>
      </c>
      <c r="C910" s="2" t="s">
        <v>12</v>
      </c>
      <c r="D910" s="2" t="s">
        <v>1224</v>
      </c>
      <c r="E910" s="2" t="s">
        <v>187</v>
      </c>
      <c r="F910" s="2" t="s">
        <v>1326</v>
      </c>
      <c r="G910" s="4">
        <v>139350</v>
      </c>
      <c r="H910" s="5" t="s">
        <v>333</v>
      </c>
      <c r="I910" s="4">
        <v>0</v>
      </c>
      <c r="J910" s="6">
        <v>44599</v>
      </c>
      <c r="K910" t="str">
        <f t="shared" si="28"/>
        <v>Q1 2022</v>
      </c>
      <c r="L910" t="str">
        <f t="shared" si="29"/>
        <v>Q1 2022</v>
      </c>
    </row>
    <row r="911" spans="1:12" ht="15.75" customHeight="1" x14ac:dyDescent="0.3">
      <c r="A911" s="2" t="s">
        <v>1388</v>
      </c>
      <c r="B911" s="2" t="s">
        <v>11</v>
      </c>
      <c r="C911" s="2" t="s">
        <v>12</v>
      </c>
      <c r="D911" s="2" t="s">
        <v>1224</v>
      </c>
      <c r="E911" s="2" t="s">
        <v>187</v>
      </c>
      <c r="F911" s="2" t="s">
        <v>1389</v>
      </c>
      <c r="G911" s="2"/>
      <c r="H911" s="5" t="s">
        <v>42</v>
      </c>
      <c r="I911" s="4">
        <v>0</v>
      </c>
      <c r="J911" s="6">
        <v>44603</v>
      </c>
      <c r="K911" t="str">
        <f t="shared" si="28"/>
        <v>Q1 2022</v>
      </c>
      <c r="L911" t="str">
        <f t="shared" si="29"/>
        <v>Q1 2022</v>
      </c>
    </row>
    <row r="912" spans="1:12" ht="15.75" customHeight="1" x14ac:dyDescent="0.3">
      <c r="A912" s="2" t="s">
        <v>1390</v>
      </c>
      <c r="B912" s="2" t="s">
        <v>11</v>
      </c>
      <c r="C912" s="2" t="s">
        <v>12</v>
      </c>
      <c r="D912" s="2" t="s">
        <v>1224</v>
      </c>
      <c r="E912" s="2" t="s">
        <v>187</v>
      </c>
      <c r="F912" s="2" t="s">
        <v>1391</v>
      </c>
      <c r="G912" s="4">
        <v>46921</v>
      </c>
      <c r="H912" s="5" t="s">
        <v>212</v>
      </c>
      <c r="I912" s="4">
        <v>0</v>
      </c>
      <c r="J912" s="6">
        <v>44597</v>
      </c>
      <c r="K912" t="str">
        <f t="shared" si="28"/>
        <v>Q1 2022</v>
      </c>
      <c r="L912" t="str">
        <f t="shared" si="29"/>
        <v>Q1 2022</v>
      </c>
    </row>
    <row r="913" spans="1:12" ht="15.75" customHeight="1" x14ac:dyDescent="0.3">
      <c r="A913" s="2" t="s">
        <v>1392</v>
      </c>
      <c r="B913" s="2" t="s">
        <v>11</v>
      </c>
      <c r="C913" s="2" t="s">
        <v>12</v>
      </c>
      <c r="D913" s="2" t="s">
        <v>1224</v>
      </c>
      <c r="E913" s="2" t="s">
        <v>187</v>
      </c>
      <c r="F913" s="2" t="s">
        <v>1393</v>
      </c>
      <c r="G913" s="4">
        <v>56360</v>
      </c>
      <c r="H913" s="5" t="s">
        <v>1394</v>
      </c>
      <c r="I913" s="4">
        <v>0</v>
      </c>
      <c r="J913" s="6">
        <v>44237</v>
      </c>
      <c r="K913" t="str">
        <f t="shared" si="28"/>
        <v>Q1 2021</v>
      </c>
      <c r="L913" t="str">
        <f t="shared" si="29"/>
        <v>Q1 2021</v>
      </c>
    </row>
    <row r="914" spans="1:12" ht="15.75" customHeight="1" x14ac:dyDescent="0.3">
      <c r="A914" s="2" t="s">
        <v>1395</v>
      </c>
      <c r="B914" s="2" t="s">
        <v>11</v>
      </c>
      <c r="C914" s="2" t="s">
        <v>12</v>
      </c>
      <c r="D914" s="2" t="s">
        <v>1224</v>
      </c>
      <c r="E914" s="2" t="s">
        <v>187</v>
      </c>
      <c r="F914" s="2" t="s">
        <v>46</v>
      </c>
      <c r="G914" s="4">
        <v>93812</v>
      </c>
      <c r="H914" s="5" t="s">
        <v>123</v>
      </c>
      <c r="I914" s="4">
        <v>0</v>
      </c>
      <c r="J914" s="6">
        <v>44594</v>
      </c>
      <c r="K914" t="str">
        <f t="shared" si="28"/>
        <v>Q1 2022</v>
      </c>
      <c r="L914" t="str">
        <f t="shared" si="29"/>
        <v>Q1 2022</v>
      </c>
    </row>
    <row r="915" spans="1:12" ht="15.75" customHeight="1" x14ac:dyDescent="0.3">
      <c r="A915" s="2" t="s">
        <v>1396</v>
      </c>
      <c r="B915" s="2" t="s">
        <v>11</v>
      </c>
      <c r="C915" s="2" t="s">
        <v>12</v>
      </c>
      <c r="D915" s="2" t="s">
        <v>1224</v>
      </c>
      <c r="E915" s="2" t="s">
        <v>187</v>
      </c>
      <c r="F915" s="2" t="s">
        <v>1397</v>
      </c>
      <c r="G915" s="4">
        <v>126203</v>
      </c>
      <c r="H915" s="6">
        <v>44663</v>
      </c>
      <c r="I915" s="4">
        <v>0</v>
      </c>
      <c r="J915" s="6">
        <v>44959</v>
      </c>
      <c r="K915" t="str">
        <f t="shared" si="28"/>
        <v>Q1 2023</v>
      </c>
      <c r="L915" t="str">
        <f t="shared" si="29"/>
        <v>Q1 2023</v>
      </c>
    </row>
    <row r="916" spans="1:12" ht="15.75" customHeight="1" x14ac:dyDescent="0.3">
      <c r="A916" s="2" t="s">
        <v>1398</v>
      </c>
      <c r="B916" s="2" t="s">
        <v>11</v>
      </c>
      <c r="C916" s="2" t="s">
        <v>12</v>
      </c>
      <c r="D916" s="2" t="s">
        <v>1224</v>
      </c>
      <c r="E916" s="2" t="s">
        <v>187</v>
      </c>
      <c r="F916" s="2" t="s">
        <v>46</v>
      </c>
      <c r="G916" s="4">
        <v>55106</v>
      </c>
      <c r="H916" s="5" t="s">
        <v>179</v>
      </c>
      <c r="I916" s="4">
        <v>0</v>
      </c>
      <c r="J916" s="6">
        <v>44594</v>
      </c>
      <c r="K916" t="str">
        <f t="shared" si="28"/>
        <v>Q1 2022</v>
      </c>
      <c r="L916" t="str">
        <f t="shared" si="29"/>
        <v>Q1 2022</v>
      </c>
    </row>
    <row r="917" spans="1:12" ht="15.75" customHeight="1" x14ac:dyDescent="0.3">
      <c r="A917" s="2" t="s">
        <v>1399</v>
      </c>
      <c r="B917" s="2" t="s">
        <v>20</v>
      </c>
      <c r="C917" s="2" t="s">
        <v>57</v>
      </c>
      <c r="D917" s="2" t="s">
        <v>1224</v>
      </c>
      <c r="E917" s="2" t="s">
        <v>1075</v>
      </c>
      <c r="F917" s="2" t="s">
        <v>1323</v>
      </c>
      <c r="G917" s="4">
        <v>111278</v>
      </c>
      <c r="H917" s="6">
        <v>44663</v>
      </c>
      <c r="I917" s="4">
        <v>13910</v>
      </c>
      <c r="J917" s="5" t="s">
        <v>255</v>
      </c>
      <c r="K917" t="str">
        <f t="shared" si="28"/>
        <v>Q1 2023</v>
      </c>
      <c r="L917" t="str">
        <f t="shared" si="29"/>
        <v>Q1 2023</v>
      </c>
    </row>
    <row r="918" spans="1:12" ht="15.75" customHeight="1" x14ac:dyDescent="0.3">
      <c r="A918" s="2" t="s">
        <v>1400</v>
      </c>
      <c r="B918" s="2" t="s">
        <v>11</v>
      </c>
      <c r="C918" s="2" t="s">
        <v>12</v>
      </c>
      <c r="D918" s="2" t="s">
        <v>1224</v>
      </c>
      <c r="E918" s="2" t="s">
        <v>187</v>
      </c>
      <c r="F918" s="2" t="s">
        <v>46</v>
      </c>
      <c r="G918" s="4">
        <v>138975</v>
      </c>
      <c r="H918" s="6">
        <v>44298</v>
      </c>
      <c r="I918" s="4">
        <v>0</v>
      </c>
      <c r="J918" s="6">
        <v>44594</v>
      </c>
      <c r="K918" t="str">
        <f t="shared" si="28"/>
        <v>Q1 2022</v>
      </c>
      <c r="L918" t="str">
        <f t="shared" si="29"/>
        <v>Q1 2022</v>
      </c>
    </row>
    <row r="919" spans="1:12" ht="15.75" customHeight="1" x14ac:dyDescent="0.3">
      <c r="A919" s="2" t="s">
        <v>1401</v>
      </c>
      <c r="B919" s="2" t="s">
        <v>11</v>
      </c>
      <c r="C919" s="2" t="s">
        <v>12</v>
      </c>
      <c r="D919" s="2" t="s">
        <v>1224</v>
      </c>
      <c r="E919" s="2" t="s">
        <v>187</v>
      </c>
      <c r="F919" s="2" t="s">
        <v>46</v>
      </c>
      <c r="G919" s="4">
        <v>58743</v>
      </c>
      <c r="H919" s="5" t="s">
        <v>1336</v>
      </c>
      <c r="I919" s="4">
        <v>0</v>
      </c>
      <c r="J919" s="6">
        <v>44959</v>
      </c>
      <c r="K919" t="str">
        <f t="shared" si="28"/>
        <v>Q1 2023</v>
      </c>
      <c r="L919" t="str">
        <f t="shared" si="29"/>
        <v>Q1 2023</v>
      </c>
    </row>
    <row r="920" spans="1:12" ht="15.75" customHeight="1" x14ac:dyDescent="0.3">
      <c r="A920" s="2" t="s">
        <v>1402</v>
      </c>
      <c r="B920" s="2" t="s">
        <v>11</v>
      </c>
      <c r="C920" s="2" t="s">
        <v>12</v>
      </c>
      <c r="D920" s="2" t="s">
        <v>1224</v>
      </c>
      <c r="E920" s="2" t="s">
        <v>187</v>
      </c>
      <c r="F920" s="2" t="s">
        <v>46</v>
      </c>
      <c r="G920" s="4">
        <v>42241</v>
      </c>
      <c r="H920" s="5" t="s">
        <v>71</v>
      </c>
      <c r="I920" s="4">
        <v>0</v>
      </c>
      <c r="J920" s="6">
        <v>44603</v>
      </c>
      <c r="K920" t="str">
        <f t="shared" si="28"/>
        <v>Q1 2022</v>
      </c>
      <c r="L920" t="str">
        <f t="shared" si="29"/>
        <v>Q1 2022</v>
      </c>
    </row>
    <row r="921" spans="1:12" ht="15.75" customHeight="1" x14ac:dyDescent="0.3">
      <c r="A921" s="2" t="s">
        <v>1403</v>
      </c>
      <c r="B921" s="2" t="s">
        <v>11</v>
      </c>
      <c r="C921" s="2" t="s">
        <v>12</v>
      </c>
      <c r="D921" s="2" t="s">
        <v>1224</v>
      </c>
      <c r="E921" s="2" t="s">
        <v>187</v>
      </c>
      <c r="F921" s="2" t="s">
        <v>46</v>
      </c>
      <c r="G921" s="4">
        <v>63014</v>
      </c>
      <c r="H921" s="5" t="s">
        <v>25</v>
      </c>
      <c r="I921" s="4">
        <v>0</v>
      </c>
      <c r="J921" s="6">
        <v>44603</v>
      </c>
      <c r="K921" t="str">
        <f t="shared" si="28"/>
        <v>Q1 2022</v>
      </c>
      <c r="L921" t="str">
        <f t="shared" si="29"/>
        <v>Q1 2022</v>
      </c>
    </row>
    <row r="922" spans="1:12" ht="15.75" customHeight="1" x14ac:dyDescent="0.3">
      <c r="A922" s="2" t="s">
        <v>1404</v>
      </c>
      <c r="B922" s="2" t="s">
        <v>11</v>
      </c>
      <c r="C922" s="2" t="s">
        <v>12</v>
      </c>
      <c r="D922" s="2" t="s">
        <v>1224</v>
      </c>
      <c r="E922" s="2" t="s">
        <v>187</v>
      </c>
      <c r="F922" s="2" t="s">
        <v>46</v>
      </c>
      <c r="G922" s="4">
        <v>122611</v>
      </c>
      <c r="H922" s="6">
        <v>44298</v>
      </c>
      <c r="I922" s="4">
        <v>0</v>
      </c>
      <c r="J922" s="6">
        <v>44594</v>
      </c>
      <c r="K922" t="str">
        <f t="shared" si="28"/>
        <v>Q1 2022</v>
      </c>
      <c r="L922" t="str">
        <f t="shared" si="29"/>
        <v>Q1 2022</v>
      </c>
    </row>
    <row r="923" spans="1:12" ht="15.75" customHeight="1" x14ac:dyDescent="0.3">
      <c r="A923" s="2" t="s">
        <v>1405</v>
      </c>
      <c r="B923" s="2" t="s">
        <v>11</v>
      </c>
      <c r="C923" s="2" t="s">
        <v>12</v>
      </c>
      <c r="D923" s="2" t="s">
        <v>1224</v>
      </c>
      <c r="E923" s="2" t="s">
        <v>187</v>
      </c>
      <c r="F923" s="2" t="s">
        <v>46</v>
      </c>
      <c r="G923" s="4">
        <v>42383</v>
      </c>
      <c r="H923" s="5" t="s">
        <v>71</v>
      </c>
      <c r="I923" s="4">
        <v>0</v>
      </c>
      <c r="J923" s="6">
        <v>44603</v>
      </c>
      <c r="K923" t="str">
        <f t="shared" si="28"/>
        <v>Q1 2022</v>
      </c>
      <c r="L923" t="str">
        <f t="shared" si="29"/>
        <v>Q1 2022</v>
      </c>
    </row>
    <row r="924" spans="1:12" ht="15.75" customHeight="1" x14ac:dyDescent="0.3">
      <c r="A924" s="2" t="s">
        <v>1406</v>
      </c>
      <c r="B924" s="2" t="s">
        <v>11</v>
      </c>
      <c r="C924" s="2" t="s">
        <v>12</v>
      </c>
      <c r="D924" s="2" t="s">
        <v>1224</v>
      </c>
      <c r="E924" s="2" t="s">
        <v>187</v>
      </c>
      <c r="F924" s="2" t="s">
        <v>46</v>
      </c>
      <c r="G924" s="4">
        <v>107217</v>
      </c>
      <c r="H924" s="5" t="s">
        <v>123</v>
      </c>
      <c r="I924" s="4">
        <v>0</v>
      </c>
      <c r="J924" s="6">
        <v>44594</v>
      </c>
      <c r="K924" t="str">
        <f t="shared" si="28"/>
        <v>Q1 2022</v>
      </c>
      <c r="L924" t="str">
        <f t="shared" si="29"/>
        <v>Q1 2022</v>
      </c>
    </row>
    <row r="925" spans="1:12" ht="15.75" customHeight="1" x14ac:dyDescent="0.3">
      <c r="A925" s="2" t="s">
        <v>1407</v>
      </c>
      <c r="B925" s="2" t="s">
        <v>11</v>
      </c>
      <c r="C925" s="2" t="s">
        <v>12</v>
      </c>
      <c r="D925" s="2" t="s">
        <v>1224</v>
      </c>
      <c r="E925" s="2" t="s">
        <v>187</v>
      </c>
      <c r="F925" s="2" t="s">
        <v>1408</v>
      </c>
      <c r="G925" s="4">
        <v>149230</v>
      </c>
      <c r="H925" s="5" t="s">
        <v>255</v>
      </c>
      <c r="I925" s="4">
        <v>0</v>
      </c>
      <c r="J925" s="6">
        <v>44959</v>
      </c>
      <c r="K925" t="str">
        <f t="shared" si="28"/>
        <v>Q1 2023</v>
      </c>
      <c r="L925" t="str">
        <f t="shared" si="29"/>
        <v>Q1 2023</v>
      </c>
    </row>
    <row r="926" spans="1:12" ht="15.75" customHeight="1" x14ac:dyDescent="0.3">
      <c r="A926" s="2" t="s">
        <v>1409</v>
      </c>
      <c r="B926" s="2" t="s">
        <v>11</v>
      </c>
      <c r="C926" s="2" t="s">
        <v>12</v>
      </c>
      <c r="D926" s="2" t="s">
        <v>1224</v>
      </c>
      <c r="E926" s="2" t="s">
        <v>187</v>
      </c>
      <c r="F926" s="2" t="s">
        <v>580</v>
      </c>
      <c r="G926" s="4">
        <v>118896</v>
      </c>
      <c r="H926" s="6">
        <v>44630</v>
      </c>
      <c r="I926" s="4">
        <v>0</v>
      </c>
      <c r="J926" s="6">
        <v>44603</v>
      </c>
      <c r="K926" t="str">
        <f t="shared" si="28"/>
        <v>Q1 2022</v>
      </c>
      <c r="L926" t="str">
        <f t="shared" si="29"/>
        <v>Q1 2022</v>
      </c>
    </row>
    <row r="927" spans="1:12" ht="15.75" customHeight="1" x14ac:dyDescent="0.3">
      <c r="A927" s="2" t="s">
        <v>1410</v>
      </c>
      <c r="B927" s="2" t="s">
        <v>11</v>
      </c>
      <c r="C927" s="2" t="s">
        <v>12</v>
      </c>
      <c r="D927" s="2" t="s">
        <v>1224</v>
      </c>
      <c r="E927" s="2" t="s">
        <v>187</v>
      </c>
      <c r="F927" s="2" t="s">
        <v>46</v>
      </c>
      <c r="G927" s="4">
        <v>1149954</v>
      </c>
      <c r="H927" s="5" t="s">
        <v>71</v>
      </c>
      <c r="I927" s="4">
        <v>0</v>
      </c>
      <c r="J927" s="6">
        <v>44603</v>
      </c>
      <c r="K927" t="str">
        <f t="shared" si="28"/>
        <v>Q1 2022</v>
      </c>
      <c r="L927" t="str">
        <f t="shared" si="29"/>
        <v>Q1 2022</v>
      </c>
    </row>
    <row r="928" spans="1:12" ht="15.75" customHeight="1" x14ac:dyDescent="0.3">
      <c r="A928" s="2" t="s">
        <v>1411</v>
      </c>
      <c r="B928" s="2" t="s">
        <v>11</v>
      </c>
      <c r="C928" s="2" t="s">
        <v>12</v>
      </c>
      <c r="D928" s="2" t="s">
        <v>1224</v>
      </c>
      <c r="E928" s="2" t="s">
        <v>187</v>
      </c>
      <c r="F928" s="2" t="s">
        <v>46</v>
      </c>
      <c r="G928" s="2"/>
      <c r="H928" s="5" t="s">
        <v>30</v>
      </c>
      <c r="I928" s="4">
        <v>0</v>
      </c>
      <c r="J928" s="6">
        <v>44603</v>
      </c>
      <c r="K928" t="str">
        <f t="shared" si="28"/>
        <v>Q1 2022</v>
      </c>
      <c r="L928" t="str">
        <f t="shared" si="29"/>
        <v>Q1 2022</v>
      </c>
    </row>
    <row r="929" spans="1:12" ht="15.75" customHeight="1" x14ac:dyDescent="0.3">
      <c r="A929" s="2" t="s">
        <v>1412</v>
      </c>
      <c r="B929" s="2" t="s">
        <v>11</v>
      </c>
      <c r="C929" s="2" t="s">
        <v>12</v>
      </c>
      <c r="D929" s="2" t="s">
        <v>1224</v>
      </c>
      <c r="E929" s="2" t="s">
        <v>187</v>
      </c>
      <c r="F929" s="2" t="s">
        <v>46</v>
      </c>
      <c r="G929" s="4">
        <v>118586</v>
      </c>
      <c r="H929" s="5" t="s">
        <v>42</v>
      </c>
      <c r="I929" s="4">
        <v>0</v>
      </c>
      <c r="J929" s="6">
        <v>44603</v>
      </c>
      <c r="K929" t="str">
        <f t="shared" si="28"/>
        <v>Q1 2022</v>
      </c>
      <c r="L929" t="str">
        <f t="shared" si="29"/>
        <v>Q1 2022</v>
      </c>
    </row>
    <row r="930" spans="1:12" ht="15.75" customHeight="1" x14ac:dyDescent="0.3">
      <c r="A930" s="2" t="s">
        <v>1413</v>
      </c>
      <c r="B930" s="2" t="s">
        <v>11</v>
      </c>
      <c r="C930" s="2" t="s">
        <v>12</v>
      </c>
      <c r="D930" s="2" t="s">
        <v>1224</v>
      </c>
      <c r="E930" s="2" t="s">
        <v>187</v>
      </c>
      <c r="F930" s="2" t="s">
        <v>580</v>
      </c>
      <c r="G930" s="4">
        <v>62323</v>
      </c>
      <c r="H930" s="5" t="s">
        <v>42</v>
      </c>
      <c r="I930" s="4">
        <v>0</v>
      </c>
      <c r="J930" s="6">
        <v>44603</v>
      </c>
      <c r="K930" t="str">
        <f t="shared" si="28"/>
        <v>Q1 2022</v>
      </c>
      <c r="L930" t="str">
        <f t="shared" si="29"/>
        <v>Q1 2022</v>
      </c>
    </row>
    <row r="931" spans="1:12" ht="15.75" customHeight="1" x14ac:dyDescent="0.3">
      <c r="A931" s="2" t="s">
        <v>1414</v>
      </c>
      <c r="B931" s="2" t="s">
        <v>11</v>
      </c>
      <c r="C931" s="2" t="s">
        <v>12</v>
      </c>
      <c r="D931" s="2" t="s">
        <v>1224</v>
      </c>
      <c r="E931" s="2" t="s">
        <v>187</v>
      </c>
      <c r="F931" s="2" t="s">
        <v>46</v>
      </c>
      <c r="G931" s="4">
        <v>100560</v>
      </c>
      <c r="H931" s="5" t="s">
        <v>71</v>
      </c>
      <c r="I931" s="4">
        <v>0</v>
      </c>
      <c r="J931" s="6">
        <v>44603</v>
      </c>
      <c r="K931" t="str">
        <f t="shared" si="28"/>
        <v>Q1 2022</v>
      </c>
      <c r="L931" t="str">
        <f t="shared" si="29"/>
        <v>Q1 2022</v>
      </c>
    </row>
    <row r="932" spans="1:12" ht="15.75" customHeight="1" x14ac:dyDescent="0.3">
      <c r="A932" s="2" t="s">
        <v>1415</v>
      </c>
      <c r="B932" s="2" t="s">
        <v>11</v>
      </c>
      <c r="C932" s="2" t="s">
        <v>12</v>
      </c>
      <c r="D932" s="2" t="s">
        <v>1224</v>
      </c>
      <c r="E932" s="2" t="s">
        <v>187</v>
      </c>
      <c r="F932" s="2" t="s">
        <v>46</v>
      </c>
      <c r="G932" s="4">
        <v>59869</v>
      </c>
      <c r="H932" s="6">
        <v>44630</v>
      </c>
      <c r="I932" s="4">
        <v>0</v>
      </c>
      <c r="J932" s="6">
        <v>44603</v>
      </c>
      <c r="K932" t="str">
        <f t="shared" si="28"/>
        <v>Q1 2022</v>
      </c>
      <c r="L932" t="str">
        <f t="shared" si="29"/>
        <v>Q1 2022</v>
      </c>
    </row>
    <row r="933" spans="1:12" ht="15.75" customHeight="1" x14ac:dyDescent="0.3">
      <c r="A933" s="2" t="s">
        <v>1416</v>
      </c>
      <c r="B933" s="2" t="s">
        <v>11</v>
      </c>
      <c r="C933" s="2" t="s">
        <v>12</v>
      </c>
      <c r="D933" s="2" t="s">
        <v>1224</v>
      </c>
      <c r="E933" s="2" t="s">
        <v>187</v>
      </c>
      <c r="F933" s="2" t="s">
        <v>46</v>
      </c>
      <c r="G933" s="4">
        <v>126641</v>
      </c>
      <c r="H933" s="6">
        <v>44836</v>
      </c>
      <c r="I933" s="4">
        <v>0</v>
      </c>
      <c r="J933" s="6">
        <v>44595</v>
      </c>
      <c r="K933" t="str">
        <f t="shared" si="28"/>
        <v>Q1 2022</v>
      </c>
      <c r="L933" t="str">
        <f t="shared" si="29"/>
        <v>Q1 2022</v>
      </c>
    </row>
    <row r="934" spans="1:12" ht="15.75" customHeight="1" x14ac:dyDescent="0.3">
      <c r="A934" s="2" t="s">
        <v>1417</v>
      </c>
      <c r="B934" s="2" t="s">
        <v>11</v>
      </c>
      <c r="C934" s="2" t="s">
        <v>12</v>
      </c>
      <c r="D934" s="2" t="s">
        <v>1224</v>
      </c>
      <c r="E934" s="2" t="s">
        <v>187</v>
      </c>
      <c r="F934" s="2" t="s">
        <v>46</v>
      </c>
      <c r="G934" s="4">
        <v>397007</v>
      </c>
      <c r="H934" s="5" t="s">
        <v>1418</v>
      </c>
      <c r="I934" s="4">
        <v>0</v>
      </c>
      <c r="J934" s="6">
        <v>44204</v>
      </c>
      <c r="K934" t="str">
        <f t="shared" si="28"/>
        <v>Q1 2021</v>
      </c>
      <c r="L934" t="str">
        <f t="shared" si="29"/>
        <v>Q1 2021</v>
      </c>
    </row>
    <row r="935" spans="1:12" ht="15.75" customHeight="1" x14ac:dyDescent="0.3">
      <c r="A935" s="2" t="s">
        <v>1419</v>
      </c>
      <c r="B935" s="2" t="s">
        <v>11</v>
      </c>
      <c r="C935" s="2" t="s">
        <v>12</v>
      </c>
      <c r="D935" s="2" t="s">
        <v>1224</v>
      </c>
      <c r="E935" s="2" t="s">
        <v>187</v>
      </c>
      <c r="F935" s="2" t="s">
        <v>46</v>
      </c>
      <c r="G935" s="4">
        <v>33493</v>
      </c>
      <c r="H935" s="5" t="s">
        <v>16</v>
      </c>
      <c r="I935" s="4">
        <v>0</v>
      </c>
      <c r="J935" s="6">
        <v>44597</v>
      </c>
      <c r="K935" t="str">
        <f t="shared" si="28"/>
        <v>Q1 2022</v>
      </c>
      <c r="L935" t="str">
        <f t="shared" si="29"/>
        <v>Q1 2022</v>
      </c>
    </row>
    <row r="936" spans="1:12" ht="15.75" customHeight="1" x14ac:dyDescent="0.3">
      <c r="A936" s="2" t="s">
        <v>1420</v>
      </c>
      <c r="B936" s="2" t="s">
        <v>11</v>
      </c>
      <c r="C936" s="2" t="s">
        <v>12</v>
      </c>
      <c r="D936" s="2" t="s">
        <v>1224</v>
      </c>
      <c r="E936" s="2" t="s">
        <v>187</v>
      </c>
      <c r="F936" s="2" t="s">
        <v>46</v>
      </c>
      <c r="G936" s="4">
        <v>153106</v>
      </c>
      <c r="H936" s="5" t="s">
        <v>42</v>
      </c>
      <c r="I936" s="4">
        <v>0</v>
      </c>
      <c r="J936" s="6">
        <v>44603</v>
      </c>
      <c r="K936" t="str">
        <f t="shared" si="28"/>
        <v>Q1 2022</v>
      </c>
      <c r="L936" t="str">
        <f t="shared" si="29"/>
        <v>Q1 2022</v>
      </c>
    </row>
    <row r="937" spans="1:12" ht="15.75" customHeight="1" x14ac:dyDescent="0.3">
      <c r="A937" s="2" t="s">
        <v>1421</v>
      </c>
      <c r="B937" s="2" t="s">
        <v>11</v>
      </c>
      <c r="C937" s="2" t="s">
        <v>12</v>
      </c>
      <c r="D937" s="2" t="s">
        <v>1224</v>
      </c>
      <c r="E937" s="2" t="s">
        <v>187</v>
      </c>
      <c r="F937" s="2" t="s">
        <v>580</v>
      </c>
      <c r="G937" s="4">
        <v>121681</v>
      </c>
      <c r="H937" s="5" t="s">
        <v>30</v>
      </c>
      <c r="I937" s="4">
        <v>0</v>
      </c>
      <c r="J937" s="6">
        <v>44603</v>
      </c>
      <c r="K937" t="str">
        <f t="shared" si="28"/>
        <v>Q1 2022</v>
      </c>
      <c r="L937" t="str">
        <f t="shared" si="29"/>
        <v>Q1 2022</v>
      </c>
    </row>
    <row r="938" spans="1:12" ht="15.75" customHeight="1" x14ac:dyDescent="0.3">
      <c r="A938" s="2" t="s">
        <v>1422</v>
      </c>
      <c r="B938" s="2" t="s">
        <v>11</v>
      </c>
      <c r="C938" s="2" t="s">
        <v>12</v>
      </c>
      <c r="D938" s="2" t="s">
        <v>1224</v>
      </c>
      <c r="E938" s="2" t="s">
        <v>187</v>
      </c>
      <c r="F938" s="2" t="s">
        <v>46</v>
      </c>
      <c r="G938" s="4">
        <v>114987</v>
      </c>
      <c r="H938" s="5" t="s">
        <v>25</v>
      </c>
      <c r="I938" s="4">
        <v>0</v>
      </c>
      <c r="J938" s="6">
        <v>44603</v>
      </c>
      <c r="K938" t="str">
        <f t="shared" si="28"/>
        <v>Q1 2022</v>
      </c>
      <c r="L938" t="str">
        <f t="shared" si="29"/>
        <v>Q1 2022</v>
      </c>
    </row>
    <row r="939" spans="1:12" ht="15.75" customHeight="1" x14ac:dyDescent="0.3">
      <c r="A939" s="2" t="s">
        <v>1423</v>
      </c>
      <c r="B939" s="2" t="s">
        <v>11</v>
      </c>
      <c r="C939" s="2" t="s">
        <v>12</v>
      </c>
      <c r="D939" s="2" t="s">
        <v>1224</v>
      </c>
      <c r="E939" s="2" t="s">
        <v>187</v>
      </c>
      <c r="F939" s="2" t="s">
        <v>46</v>
      </c>
      <c r="G939" s="4">
        <v>69935</v>
      </c>
      <c r="H939" s="5" t="s">
        <v>71</v>
      </c>
      <c r="I939" s="4">
        <v>0</v>
      </c>
      <c r="J939" s="6">
        <v>44604</v>
      </c>
      <c r="K939" t="str">
        <f t="shared" si="28"/>
        <v>Q1 2022</v>
      </c>
      <c r="L939" t="str">
        <f t="shared" si="29"/>
        <v>Q1 2022</v>
      </c>
    </row>
    <row r="940" spans="1:12" ht="15.75" customHeight="1" x14ac:dyDescent="0.3">
      <c r="A940" s="2" t="s">
        <v>1424</v>
      </c>
      <c r="B940" s="2" t="s">
        <v>11</v>
      </c>
      <c r="C940" s="2" t="s">
        <v>12</v>
      </c>
      <c r="D940" s="2" t="s">
        <v>1224</v>
      </c>
      <c r="E940" s="2" t="s">
        <v>187</v>
      </c>
      <c r="F940" s="2" t="s">
        <v>46</v>
      </c>
      <c r="G940" s="4">
        <v>47398</v>
      </c>
      <c r="H940" s="6">
        <v>44598</v>
      </c>
      <c r="I940" s="4">
        <v>0</v>
      </c>
      <c r="J940" s="6">
        <v>44599</v>
      </c>
      <c r="K940" t="str">
        <f t="shared" si="28"/>
        <v>Q1 2022</v>
      </c>
      <c r="L940" t="str">
        <f t="shared" si="29"/>
        <v>Q1 2022</v>
      </c>
    </row>
    <row r="941" spans="1:12" ht="15.75" customHeight="1" x14ac:dyDescent="0.3">
      <c r="A941" s="2" t="s">
        <v>1425</v>
      </c>
      <c r="B941" s="2" t="s">
        <v>11</v>
      </c>
      <c r="C941" s="2" t="s">
        <v>12</v>
      </c>
      <c r="D941" s="2" t="s">
        <v>1224</v>
      </c>
      <c r="E941" s="2" t="s">
        <v>187</v>
      </c>
      <c r="F941" s="2" t="s">
        <v>46</v>
      </c>
      <c r="G941" s="4">
        <v>42440</v>
      </c>
      <c r="H941" s="6">
        <v>44623</v>
      </c>
      <c r="I941" s="4">
        <v>0</v>
      </c>
      <c r="J941" s="6">
        <v>44596</v>
      </c>
      <c r="K941" t="str">
        <f t="shared" si="28"/>
        <v>Q1 2022</v>
      </c>
      <c r="L941" t="str">
        <f t="shared" si="29"/>
        <v>Q1 2022</v>
      </c>
    </row>
    <row r="942" spans="1:12" ht="15.75" customHeight="1" x14ac:dyDescent="0.3">
      <c r="A942" s="2" t="s">
        <v>1426</v>
      </c>
      <c r="B942" s="2" t="s">
        <v>11</v>
      </c>
      <c r="C942" s="2" t="s">
        <v>12</v>
      </c>
      <c r="D942" s="2" t="s">
        <v>1224</v>
      </c>
      <c r="E942" s="2" t="s">
        <v>187</v>
      </c>
      <c r="F942" s="2" t="s">
        <v>46</v>
      </c>
      <c r="G942" s="4">
        <v>70043</v>
      </c>
      <c r="H942" s="5" t="s">
        <v>322</v>
      </c>
      <c r="I942" s="4">
        <v>0</v>
      </c>
      <c r="J942" s="6">
        <v>44594</v>
      </c>
      <c r="K942" t="str">
        <f t="shared" si="28"/>
        <v>Q1 2022</v>
      </c>
      <c r="L942" t="str">
        <f t="shared" si="29"/>
        <v>Q1 2022</v>
      </c>
    </row>
    <row r="943" spans="1:12" ht="15.75" customHeight="1" x14ac:dyDescent="0.3">
      <c r="A943" s="2" t="s">
        <v>1427</v>
      </c>
      <c r="B943" s="2" t="s">
        <v>11</v>
      </c>
      <c r="C943" s="2" t="s">
        <v>12</v>
      </c>
      <c r="D943" s="2" t="s">
        <v>1224</v>
      </c>
      <c r="E943" s="2" t="s">
        <v>187</v>
      </c>
      <c r="F943" s="2" t="s">
        <v>1428</v>
      </c>
      <c r="G943" s="4">
        <v>58231</v>
      </c>
      <c r="H943" s="5" t="s">
        <v>30</v>
      </c>
      <c r="I943" s="4">
        <v>0</v>
      </c>
      <c r="J943" s="6">
        <v>44603</v>
      </c>
      <c r="K943" t="str">
        <f t="shared" si="28"/>
        <v>Q1 2022</v>
      </c>
      <c r="L943" t="str">
        <f t="shared" si="29"/>
        <v>Q1 2022</v>
      </c>
    </row>
    <row r="944" spans="1:12" ht="15.75" customHeight="1" x14ac:dyDescent="0.3">
      <c r="A944" s="2" t="s">
        <v>1429</v>
      </c>
      <c r="B944" s="2" t="s">
        <v>11</v>
      </c>
      <c r="C944" s="2" t="s">
        <v>12</v>
      </c>
      <c r="D944" s="2" t="s">
        <v>1224</v>
      </c>
      <c r="E944" s="2" t="s">
        <v>187</v>
      </c>
      <c r="F944" s="2" t="s">
        <v>46</v>
      </c>
      <c r="G944" s="4">
        <v>62401</v>
      </c>
      <c r="H944" s="5" t="s">
        <v>75</v>
      </c>
      <c r="I944" s="4">
        <v>0</v>
      </c>
      <c r="J944" s="6">
        <v>44595</v>
      </c>
      <c r="K944" t="str">
        <f t="shared" si="28"/>
        <v>Q1 2022</v>
      </c>
      <c r="L944" t="str">
        <f t="shared" si="29"/>
        <v>Q1 2022</v>
      </c>
    </row>
    <row r="945" spans="1:12" ht="15.75" customHeight="1" x14ac:dyDescent="0.3">
      <c r="A945" s="2" t="s">
        <v>1430</v>
      </c>
      <c r="B945" s="2" t="s">
        <v>11</v>
      </c>
      <c r="C945" s="2" t="s">
        <v>12</v>
      </c>
      <c r="D945" s="2" t="s">
        <v>1224</v>
      </c>
      <c r="E945" s="2" t="s">
        <v>187</v>
      </c>
      <c r="F945" s="2" t="s">
        <v>46</v>
      </c>
      <c r="G945" s="4">
        <v>121681</v>
      </c>
      <c r="H945" s="6">
        <v>44904</v>
      </c>
      <c r="I945" s="4">
        <v>0</v>
      </c>
      <c r="J945" s="6">
        <v>44602</v>
      </c>
      <c r="K945" t="str">
        <f t="shared" si="28"/>
        <v>Q1 2022</v>
      </c>
      <c r="L945" t="str">
        <f t="shared" si="29"/>
        <v>Q1 2022</v>
      </c>
    </row>
    <row r="946" spans="1:12" ht="15.75" customHeight="1" x14ac:dyDescent="0.3">
      <c r="A946" s="2" t="s">
        <v>1431</v>
      </c>
      <c r="B946" s="2" t="s">
        <v>11</v>
      </c>
      <c r="C946" s="2" t="s">
        <v>12</v>
      </c>
      <c r="D946" s="2" t="s">
        <v>1224</v>
      </c>
      <c r="E946" s="2" t="s">
        <v>187</v>
      </c>
      <c r="F946" s="2" t="s">
        <v>46</v>
      </c>
      <c r="G946" s="4">
        <v>151638</v>
      </c>
      <c r="H946" s="6">
        <v>44601</v>
      </c>
      <c r="I946" s="4">
        <v>0</v>
      </c>
      <c r="J946" s="6">
        <v>44602</v>
      </c>
      <c r="K946" t="str">
        <f t="shared" si="28"/>
        <v>Q1 2022</v>
      </c>
      <c r="L946" t="str">
        <f t="shared" si="29"/>
        <v>Q1 2022</v>
      </c>
    </row>
    <row r="947" spans="1:12" ht="15.75" customHeight="1" x14ac:dyDescent="0.3">
      <c r="A947" s="2" t="s">
        <v>1432</v>
      </c>
      <c r="B947" s="2" t="s">
        <v>11</v>
      </c>
      <c r="C947" s="2" t="s">
        <v>12</v>
      </c>
      <c r="D947" s="2" t="s">
        <v>1224</v>
      </c>
      <c r="E947" s="2" t="s">
        <v>187</v>
      </c>
      <c r="F947" s="2" t="s">
        <v>46</v>
      </c>
      <c r="G947" s="4">
        <v>77627</v>
      </c>
      <c r="H947" s="5" t="s">
        <v>42</v>
      </c>
      <c r="I947" s="4">
        <v>0</v>
      </c>
      <c r="J947" s="6">
        <v>44603</v>
      </c>
      <c r="K947" t="str">
        <f t="shared" si="28"/>
        <v>Q1 2022</v>
      </c>
      <c r="L947" t="str">
        <f t="shared" si="29"/>
        <v>Q1 2022</v>
      </c>
    </row>
    <row r="948" spans="1:12" ht="15.75" customHeight="1" x14ac:dyDescent="0.3">
      <c r="A948" s="2" t="s">
        <v>1433</v>
      </c>
      <c r="B948" s="2" t="s">
        <v>11</v>
      </c>
      <c r="C948" s="2" t="s">
        <v>12</v>
      </c>
      <c r="D948" s="2" t="s">
        <v>1224</v>
      </c>
      <c r="E948" s="2" t="s">
        <v>187</v>
      </c>
      <c r="F948" s="2" t="s">
        <v>46</v>
      </c>
      <c r="G948" s="4">
        <v>60899</v>
      </c>
      <c r="H948" s="6">
        <v>44625</v>
      </c>
      <c r="I948" s="4">
        <v>0</v>
      </c>
      <c r="J948" s="6">
        <v>44598</v>
      </c>
      <c r="K948" t="str">
        <f t="shared" si="28"/>
        <v>Q1 2022</v>
      </c>
      <c r="L948" t="str">
        <f t="shared" si="29"/>
        <v>Q1 2022</v>
      </c>
    </row>
    <row r="949" spans="1:12" ht="15.75" customHeight="1" x14ac:dyDescent="0.3">
      <c r="A949" s="2" t="s">
        <v>1434</v>
      </c>
      <c r="B949" s="2" t="s">
        <v>11</v>
      </c>
      <c r="C949" s="2" t="s">
        <v>12</v>
      </c>
      <c r="D949" s="2" t="s">
        <v>1224</v>
      </c>
      <c r="E949" s="2" t="s">
        <v>187</v>
      </c>
      <c r="F949" s="2" t="s">
        <v>46</v>
      </c>
      <c r="G949" s="4">
        <v>118607</v>
      </c>
      <c r="H949" s="5" t="s">
        <v>82</v>
      </c>
      <c r="I949" s="4">
        <v>0</v>
      </c>
      <c r="J949" s="6">
        <v>44596</v>
      </c>
      <c r="K949" t="str">
        <f t="shared" si="28"/>
        <v>Q1 2022</v>
      </c>
      <c r="L949" t="str">
        <f t="shared" si="29"/>
        <v>Q1 2022</v>
      </c>
    </row>
    <row r="950" spans="1:12" ht="15.75" customHeight="1" x14ac:dyDescent="0.3">
      <c r="A950" s="2" t="s">
        <v>1435</v>
      </c>
      <c r="B950" s="2" t="s">
        <v>11</v>
      </c>
      <c r="C950" s="2" t="s">
        <v>12</v>
      </c>
      <c r="D950" s="2" t="s">
        <v>1224</v>
      </c>
      <c r="E950" s="2" t="s">
        <v>187</v>
      </c>
      <c r="F950" s="2" t="s">
        <v>1436</v>
      </c>
      <c r="G950" s="2"/>
      <c r="H950" s="5" t="s">
        <v>25</v>
      </c>
      <c r="I950" s="4">
        <v>0</v>
      </c>
      <c r="J950" s="6">
        <v>44603</v>
      </c>
      <c r="K950" t="str">
        <f t="shared" si="28"/>
        <v>Q1 2022</v>
      </c>
      <c r="L950" t="str">
        <f t="shared" si="29"/>
        <v>Q1 2022</v>
      </c>
    </row>
    <row r="951" spans="1:12" ht="15.75" customHeight="1" x14ac:dyDescent="0.3">
      <c r="A951" s="2" t="s">
        <v>1437</v>
      </c>
      <c r="B951" s="2" t="s">
        <v>11</v>
      </c>
      <c r="C951" s="2" t="s">
        <v>12</v>
      </c>
      <c r="D951" s="2" t="s">
        <v>1224</v>
      </c>
      <c r="E951" s="2" t="s">
        <v>187</v>
      </c>
      <c r="F951" s="2" t="s">
        <v>46</v>
      </c>
      <c r="G951" s="4">
        <v>123081</v>
      </c>
      <c r="H951" s="6">
        <v>44621</v>
      </c>
      <c r="I951" s="4">
        <v>0</v>
      </c>
      <c r="J951" s="6">
        <v>44594</v>
      </c>
      <c r="K951" t="str">
        <f t="shared" si="28"/>
        <v>Q1 2022</v>
      </c>
      <c r="L951" t="str">
        <f t="shared" si="29"/>
        <v>Q1 2022</v>
      </c>
    </row>
    <row r="952" spans="1:12" ht="15.75" customHeight="1" x14ac:dyDescent="0.3">
      <c r="A952" s="2" t="s">
        <v>1438</v>
      </c>
      <c r="B952" s="2" t="s">
        <v>11</v>
      </c>
      <c r="C952" s="2" t="s">
        <v>12</v>
      </c>
      <c r="D952" s="2" t="s">
        <v>1224</v>
      </c>
      <c r="E952" s="2" t="s">
        <v>187</v>
      </c>
      <c r="F952" s="2" t="s">
        <v>46</v>
      </c>
      <c r="G952" s="4">
        <v>109978</v>
      </c>
      <c r="H952" s="6">
        <v>44629</v>
      </c>
      <c r="I952" s="4">
        <v>0</v>
      </c>
      <c r="J952" s="6">
        <v>44603</v>
      </c>
      <c r="K952" t="str">
        <f t="shared" si="28"/>
        <v>Q1 2022</v>
      </c>
      <c r="L952" t="str">
        <f t="shared" si="29"/>
        <v>Q1 2022</v>
      </c>
    </row>
    <row r="953" spans="1:12" ht="15.75" customHeight="1" x14ac:dyDescent="0.3">
      <c r="A953" s="2" t="s">
        <v>1439</v>
      </c>
      <c r="B953" s="2" t="s">
        <v>11</v>
      </c>
      <c r="C953" s="2" t="s">
        <v>12</v>
      </c>
      <c r="D953" s="2" t="s">
        <v>1224</v>
      </c>
      <c r="E953" s="2" t="s">
        <v>187</v>
      </c>
      <c r="F953" s="2" t="s">
        <v>188</v>
      </c>
      <c r="G953" s="4">
        <v>251690</v>
      </c>
      <c r="H953" s="6">
        <v>44630</v>
      </c>
      <c r="I953" s="4">
        <v>0</v>
      </c>
      <c r="J953" s="6">
        <v>44603</v>
      </c>
      <c r="K953" t="str">
        <f t="shared" si="28"/>
        <v>Q1 2022</v>
      </c>
      <c r="L953" t="str">
        <f t="shared" si="29"/>
        <v>Q1 2022</v>
      </c>
    </row>
    <row r="954" spans="1:12" ht="15.75" customHeight="1" x14ac:dyDescent="0.3">
      <c r="A954" s="2" t="s">
        <v>1440</v>
      </c>
      <c r="B954" s="2" t="s">
        <v>11</v>
      </c>
      <c r="C954" s="2" t="s">
        <v>12</v>
      </c>
      <c r="D954" s="2" t="s">
        <v>1224</v>
      </c>
      <c r="E954" s="2" t="s">
        <v>187</v>
      </c>
      <c r="F954" s="2" t="s">
        <v>46</v>
      </c>
      <c r="G954" s="4">
        <v>104983</v>
      </c>
      <c r="H954" s="5" t="s">
        <v>25</v>
      </c>
      <c r="I954" s="4">
        <v>0</v>
      </c>
      <c r="J954" s="6">
        <v>44603</v>
      </c>
      <c r="K954" t="str">
        <f t="shared" si="28"/>
        <v>Q1 2022</v>
      </c>
      <c r="L954" t="str">
        <f t="shared" si="29"/>
        <v>Q1 2022</v>
      </c>
    </row>
    <row r="955" spans="1:12" ht="15.75" customHeight="1" x14ac:dyDescent="0.3">
      <c r="A955" s="2" t="s">
        <v>1441</v>
      </c>
      <c r="B955" s="2" t="s">
        <v>11</v>
      </c>
      <c r="C955" s="2" t="s">
        <v>12</v>
      </c>
      <c r="D955" s="2" t="s">
        <v>1224</v>
      </c>
      <c r="E955" s="2" t="s">
        <v>187</v>
      </c>
      <c r="F955" s="2" t="s">
        <v>1227</v>
      </c>
      <c r="G955" s="4">
        <v>62405</v>
      </c>
      <c r="H955" s="5" t="s">
        <v>42</v>
      </c>
      <c r="I955" s="4">
        <v>0</v>
      </c>
      <c r="J955" s="6">
        <v>44603</v>
      </c>
      <c r="K955" t="str">
        <f t="shared" si="28"/>
        <v>Q1 2022</v>
      </c>
      <c r="L955" t="str">
        <f t="shared" si="29"/>
        <v>Q1 2022</v>
      </c>
    </row>
    <row r="956" spans="1:12" ht="15.75" customHeight="1" x14ac:dyDescent="0.3">
      <c r="A956" s="2" t="s">
        <v>1442</v>
      </c>
      <c r="B956" s="2" t="s">
        <v>11</v>
      </c>
      <c r="C956" s="2" t="s">
        <v>12</v>
      </c>
      <c r="D956" s="2" t="s">
        <v>1224</v>
      </c>
      <c r="E956" s="2" t="s">
        <v>187</v>
      </c>
      <c r="F956" s="2" t="s">
        <v>46</v>
      </c>
      <c r="G956" s="4">
        <v>133487</v>
      </c>
      <c r="H956" s="5" t="s">
        <v>75</v>
      </c>
      <c r="I956" s="4">
        <v>0</v>
      </c>
      <c r="J956" s="6">
        <v>44595</v>
      </c>
      <c r="K956" t="str">
        <f t="shared" si="28"/>
        <v>Q1 2022</v>
      </c>
      <c r="L956" t="str">
        <f t="shared" si="29"/>
        <v>Q1 2022</v>
      </c>
    </row>
    <row r="957" spans="1:12" ht="15.75" customHeight="1" x14ac:dyDescent="0.3">
      <c r="A957" s="2" t="s">
        <v>1443</v>
      </c>
      <c r="B957" s="2" t="s">
        <v>11</v>
      </c>
      <c r="C957" s="2" t="s">
        <v>12</v>
      </c>
      <c r="D957" s="2" t="s">
        <v>1224</v>
      </c>
      <c r="E957" s="2" t="s">
        <v>187</v>
      </c>
      <c r="F957" s="2" t="s">
        <v>46</v>
      </c>
      <c r="G957" s="2"/>
      <c r="H957" s="6">
        <v>44627</v>
      </c>
      <c r="I957" s="4">
        <v>0</v>
      </c>
      <c r="J957" s="6">
        <v>44600</v>
      </c>
      <c r="K957" t="str">
        <f t="shared" si="28"/>
        <v>Q1 2022</v>
      </c>
      <c r="L957" t="str">
        <f t="shared" si="29"/>
        <v>Q1 2022</v>
      </c>
    </row>
    <row r="958" spans="1:12" ht="15.75" customHeight="1" x14ac:dyDescent="0.3">
      <c r="A958" s="2" t="s">
        <v>1444</v>
      </c>
      <c r="B958" s="2" t="s">
        <v>11</v>
      </c>
      <c r="C958" s="2" t="s">
        <v>12</v>
      </c>
      <c r="D958" s="2" t="s">
        <v>1224</v>
      </c>
      <c r="E958" s="2" t="s">
        <v>187</v>
      </c>
      <c r="F958" s="2" t="s">
        <v>580</v>
      </c>
      <c r="G958" s="4">
        <v>30752</v>
      </c>
      <c r="H958" s="6">
        <v>44632</v>
      </c>
      <c r="I958" s="4">
        <v>0</v>
      </c>
      <c r="J958" s="6">
        <v>44958</v>
      </c>
      <c r="K958" t="str">
        <f t="shared" si="28"/>
        <v>Q1 2023</v>
      </c>
      <c r="L958" t="str">
        <f t="shared" si="29"/>
        <v>Q1 2023</v>
      </c>
    </row>
    <row r="959" spans="1:12" ht="15.75" customHeight="1" x14ac:dyDescent="0.3">
      <c r="A959" s="2" t="s">
        <v>1445</v>
      </c>
      <c r="B959" s="2" t="s">
        <v>11</v>
      </c>
      <c r="C959" s="2" t="s">
        <v>12</v>
      </c>
      <c r="D959" s="2" t="s">
        <v>1224</v>
      </c>
      <c r="E959" s="2" t="s">
        <v>187</v>
      </c>
      <c r="F959" s="2" t="s">
        <v>580</v>
      </c>
      <c r="G959" s="4">
        <v>93731</v>
      </c>
      <c r="H959" s="5" t="s">
        <v>71</v>
      </c>
      <c r="I959" s="4">
        <v>0</v>
      </c>
      <c r="J959" s="6">
        <v>44603</v>
      </c>
      <c r="K959" t="str">
        <f t="shared" si="28"/>
        <v>Q1 2022</v>
      </c>
      <c r="L959" t="str">
        <f t="shared" si="29"/>
        <v>Q1 2022</v>
      </c>
    </row>
    <row r="960" spans="1:12" ht="15.75" customHeight="1" x14ac:dyDescent="0.3">
      <c r="A960" s="2" t="s">
        <v>1446</v>
      </c>
      <c r="B960" s="2" t="s">
        <v>11</v>
      </c>
      <c r="C960" s="2" t="s">
        <v>12</v>
      </c>
      <c r="D960" s="2" t="s">
        <v>1224</v>
      </c>
      <c r="E960" s="2" t="s">
        <v>187</v>
      </c>
      <c r="F960" s="2" t="s">
        <v>46</v>
      </c>
      <c r="G960" s="4">
        <v>80521</v>
      </c>
      <c r="H960" s="6">
        <v>44629</v>
      </c>
      <c r="I960" s="4">
        <v>0</v>
      </c>
      <c r="J960" s="6">
        <v>44603</v>
      </c>
      <c r="K960" t="str">
        <f t="shared" si="28"/>
        <v>Q1 2022</v>
      </c>
      <c r="L960" t="str">
        <f t="shared" si="29"/>
        <v>Q1 2022</v>
      </c>
    </row>
    <row r="961" spans="1:12" ht="15.75" customHeight="1" x14ac:dyDescent="0.3">
      <c r="A961" s="2" t="s">
        <v>1447</v>
      </c>
      <c r="B961" s="2" t="s">
        <v>11</v>
      </c>
      <c r="C961" s="2" t="s">
        <v>12</v>
      </c>
      <c r="D961" s="2" t="s">
        <v>1224</v>
      </c>
      <c r="E961" s="2" t="s">
        <v>187</v>
      </c>
      <c r="F961" s="2" t="s">
        <v>580</v>
      </c>
      <c r="G961" s="4">
        <v>100554</v>
      </c>
      <c r="H961" s="6">
        <v>44629</v>
      </c>
      <c r="I961" s="4">
        <v>0</v>
      </c>
      <c r="J961" s="6">
        <v>44603</v>
      </c>
      <c r="K961" t="str">
        <f t="shared" si="28"/>
        <v>Q1 2022</v>
      </c>
      <c r="L961" t="str">
        <f t="shared" si="29"/>
        <v>Q1 2022</v>
      </c>
    </row>
    <row r="962" spans="1:12" ht="15.75" customHeight="1" x14ac:dyDescent="0.3">
      <c r="A962" s="2" t="s">
        <v>1448</v>
      </c>
      <c r="B962" s="2" t="s">
        <v>11</v>
      </c>
      <c r="C962" s="2" t="s">
        <v>12</v>
      </c>
      <c r="D962" s="2" t="s">
        <v>1224</v>
      </c>
      <c r="E962" s="2" t="s">
        <v>187</v>
      </c>
      <c r="F962" s="2" t="s">
        <v>46</v>
      </c>
      <c r="G962" s="4">
        <v>42401</v>
      </c>
      <c r="H962" s="5" t="s">
        <v>197</v>
      </c>
      <c r="I962" s="4">
        <v>0</v>
      </c>
      <c r="J962" s="6">
        <v>44601</v>
      </c>
      <c r="K962" t="str">
        <f t="shared" ref="K962:K1025" si="30">"Q" &amp; ROUNDUP(MONTH(J:J)/3,0) &amp; " " &amp; YEAR(J:J)</f>
        <v>Q1 2022</v>
      </c>
      <c r="L962" t="str">
        <f t="shared" ref="L962:L1025" si="31">"Q" &amp; ROUNDUP(MONTH(J:J)/3,0) &amp; " " &amp; YEAR(J:J)</f>
        <v>Q1 2022</v>
      </c>
    </row>
    <row r="963" spans="1:12" ht="15.75" customHeight="1" x14ac:dyDescent="0.3">
      <c r="A963" s="2" t="s">
        <v>1449</v>
      </c>
      <c r="B963" s="2" t="s">
        <v>11</v>
      </c>
      <c r="C963" s="2" t="s">
        <v>12</v>
      </c>
      <c r="D963" s="2" t="s">
        <v>1224</v>
      </c>
      <c r="E963" s="2" t="s">
        <v>187</v>
      </c>
      <c r="F963" s="2" t="s">
        <v>46</v>
      </c>
      <c r="G963" s="4">
        <v>143582</v>
      </c>
      <c r="H963" s="5" t="s">
        <v>25</v>
      </c>
      <c r="I963" s="4">
        <v>0</v>
      </c>
      <c r="J963" s="6">
        <v>44603</v>
      </c>
      <c r="K963" t="str">
        <f t="shared" si="30"/>
        <v>Q1 2022</v>
      </c>
      <c r="L963" t="str">
        <f t="shared" si="31"/>
        <v>Q1 2022</v>
      </c>
    </row>
    <row r="964" spans="1:12" ht="15.75" customHeight="1" x14ac:dyDescent="0.3">
      <c r="A964" s="2" t="s">
        <v>1450</v>
      </c>
      <c r="B964" s="2" t="s">
        <v>11</v>
      </c>
      <c r="C964" s="2" t="s">
        <v>12</v>
      </c>
      <c r="D964" s="2" t="s">
        <v>1224</v>
      </c>
      <c r="E964" s="2" t="s">
        <v>187</v>
      </c>
      <c r="F964" s="2" t="s">
        <v>46</v>
      </c>
      <c r="G964" s="4">
        <v>44091</v>
      </c>
      <c r="H964" s="5" t="s">
        <v>42</v>
      </c>
      <c r="I964" s="4">
        <v>0</v>
      </c>
      <c r="J964" s="6">
        <v>44603</v>
      </c>
      <c r="K964" t="str">
        <f t="shared" si="30"/>
        <v>Q1 2022</v>
      </c>
      <c r="L964" t="str">
        <f t="shared" si="31"/>
        <v>Q1 2022</v>
      </c>
    </row>
    <row r="965" spans="1:12" ht="15.75" customHeight="1" x14ac:dyDescent="0.3">
      <c r="A965" s="2" t="s">
        <v>1451</v>
      </c>
      <c r="B965" s="2" t="s">
        <v>11</v>
      </c>
      <c r="C965" s="2" t="s">
        <v>12</v>
      </c>
      <c r="D965" s="2" t="s">
        <v>1224</v>
      </c>
      <c r="E965" s="2" t="s">
        <v>187</v>
      </c>
      <c r="F965" s="2" t="s">
        <v>46</v>
      </c>
      <c r="G965" s="4">
        <v>130597</v>
      </c>
      <c r="H965" s="5" t="s">
        <v>439</v>
      </c>
      <c r="I965" s="4">
        <v>0</v>
      </c>
      <c r="J965" s="6">
        <v>44598</v>
      </c>
      <c r="K965" t="str">
        <f t="shared" si="30"/>
        <v>Q1 2022</v>
      </c>
      <c r="L965" t="str">
        <f t="shared" si="31"/>
        <v>Q1 2022</v>
      </c>
    </row>
    <row r="966" spans="1:12" ht="15.75" customHeight="1" x14ac:dyDescent="0.3">
      <c r="A966" s="2" t="s">
        <v>1452</v>
      </c>
      <c r="B966" s="2" t="s">
        <v>11</v>
      </c>
      <c r="C966" s="2" t="s">
        <v>12</v>
      </c>
      <c r="D966" s="2" t="s">
        <v>1224</v>
      </c>
      <c r="E966" s="2" t="s">
        <v>187</v>
      </c>
      <c r="F966" s="2" t="s">
        <v>46</v>
      </c>
      <c r="G966" s="4">
        <v>45782</v>
      </c>
      <c r="H966" s="5" t="s">
        <v>71</v>
      </c>
      <c r="I966" s="4">
        <v>0</v>
      </c>
      <c r="J966" s="6">
        <v>44603</v>
      </c>
      <c r="K966" t="str">
        <f t="shared" si="30"/>
        <v>Q1 2022</v>
      </c>
      <c r="L966" t="str">
        <f t="shared" si="31"/>
        <v>Q1 2022</v>
      </c>
    </row>
    <row r="967" spans="1:12" ht="15.75" customHeight="1" x14ac:dyDescent="0.3">
      <c r="A967" s="2" t="s">
        <v>1453</v>
      </c>
      <c r="B967" s="2" t="s">
        <v>11</v>
      </c>
      <c r="C967" s="2" t="s">
        <v>12</v>
      </c>
      <c r="D967" s="2" t="s">
        <v>1224</v>
      </c>
      <c r="E967" s="2" t="s">
        <v>187</v>
      </c>
      <c r="F967" s="2" t="s">
        <v>1454</v>
      </c>
      <c r="G967" s="4">
        <v>80580</v>
      </c>
      <c r="H967" s="5" t="s">
        <v>30</v>
      </c>
      <c r="I967" s="4">
        <v>0</v>
      </c>
      <c r="J967" s="6">
        <v>44603</v>
      </c>
      <c r="K967" t="str">
        <f t="shared" si="30"/>
        <v>Q1 2022</v>
      </c>
      <c r="L967" t="str">
        <f t="shared" si="31"/>
        <v>Q1 2022</v>
      </c>
    </row>
    <row r="968" spans="1:12" ht="15.75" customHeight="1" x14ac:dyDescent="0.3">
      <c r="A968" s="2" t="s">
        <v>1455</v>
      </c>
      <c r="B968" s="2" t="s">
        <v>11</v>
      </c>
      <c r="C968" s="2" t="s">
        <v>12</v>
      </c>
      <c r="D968" s="2" t="s">
        <v>1224</v>
      </c>
      <c r="E968" s="2" t="s">
        <v>187</v>
      </c>
      <c r="F968" s="2" t="s">
        <v>46</v>
      </c>
      <c r="G968" s="4">
        <v>177894</v>
      </c>
      <c r="H968" s="5" t="s">
        <v>30</v>
      </c>
      <c r="I968" s="4">
        <v>0</v>
      </c>
      <c r="J968" s="6">
        <v>44603</v>
      </c>
      <c r="K968" t="str">
        <f t="shared" si="30"/>
        <v>Q1 2022</v>
      </c>
      <c r="L968" t="str">
        <f t="shared" si="31"/>
        <v>Q1 2022</v>
      </c>
    </row>
    <row r="969" spans="1:12" ht="15.75" customHeight="1" x14ac:dyDescent="0.3">
      <c r="A969" s="2" t="s">
        <v>1456</v>
      </c>
      <c r="B969" s="2" t="s">
        <v>11</v>
      </c>
      <c r="C969" s="2" t="s">
        <v>12</v>
      </c>
      <c r="D969" s="2" t="s">
        <v>1224</v>
      </c>
      <c r="E969" s="2" t="s">
        <v>187</v>
      </c>
      <c r="F969" s="2" t="s">
        <v>46</v>
      </c>
      <c r="G969" s="4">
        <v>98134</v>
      </c>
      <c r="H969" s="5" t="s">
        <v>25</v>
      </c>
      <c r="I969" s="4">
        <v>0</v>
      </c>
      <c r="J969" s="6">
        <v>44603</v>
      </c>
      <c r="K969" t="str">
        <f t="shared" si="30"/>
        <v>Q1 2022</v>
      </c>
      <c r="L969" t="str">
        <f t="shared" si="31"/>
        <v>Q1 2022</v>
      </c>
    </row>
    <row r="970" spans="1:12" ht="15.75" customHeight="1" x14ac:dyDescent="0.3">
      <c r="A970" s="2" t="s">
        <v>1457</v>
      </c>
      <c r="B970" s="2" t="s">
        <v>11</v>
      </c>
      <c r="C970" s="2" t="s">
        <v>12</v>
      </c>
      <c r="D970" s="2" t="s">
        <v>1224</v>
      </c>
      <c r="E970" s="2" t="s">
        <v>187</v>
      </c>
      <c r="F970" s="2" t="s">
        <v>46</v>
      </c>
      <c r="G970" s="4">
        <v>121681</v>
      </c>
      <c r="H970" s="6">
        <v>44603</v>
      </c>
      <c r="I970" s="4">
        <v>0</v>
      </c>
      <c r="J970" s="6">
        <v>44604</v>
      </c>
      <c r="K970" t="str">
        <f t="shared" si="30"/>
        <v>Q1 2022</v>
      </c>
      <c r="L970" t="str">
        <f t="shared" si="31"/>
        <v>Q1 2022</v>
      </c>
    </row>
    <row r="971" spans="1:12" ht="15.75" customHeight="1" x14ac:dyDescent="0.3">
      <c r="A971" s="2" t="s">
        <v>1458</v>
      </c>
      <c r="B971" s="2" t="s">
        <v>11</v>
      </c>
      <c r="C971" s="2" t="s">
        <v>12</v>
      </c>
      <c r="D971" s="2" t="s">
        <v>1224</v>
      </c>
      <c r="E971" s="2" t="s">
        <v>187</v>
      </c>
      <c r="F971" s="2" t="s">
        <v>1459</v>
      </c>
      <c r="G971" s="4">
        <v>110043</v>
      </c>
      <c r="H971" s="5" t="s">
        <v>1016</v>
      </c>
      <c r="I971" s="4">
        <v>0</v>
      </c>
      <c r="J971" s="6">
        <v>44595</v>
      </c>
      <c r="K971" t="str">
        <f t="shared" si="30"/>
        <v>Q1 2022</v>
      </c>
      <c r="L971" t="str">
        <f t="shared" si="31"/>
        <v>Q1 2022</v>
      </c>
    </row>
    <row r="972" spans="1:12" ht="15.75" customHeight="1" x14ac:dyDescent="0.3">
      <c r="A972" s="2" t="s">
        <v>1460</v>
      </c>
      <c r="B972" s="2" t="s">
        <v>11</v>
      </c>
      <c r="C972" s="2" t="s">
        <v>12</v>
      </c>
      <c r="D972" s="2" t="s">
        <v>1224</v>
      </c>
      <c r="E972" s="2" t="s">
        <v>187</v>
      </c>
      <c r="F972" s="2" t="s">
        <v>46</v>
      </c>
      <c r="G972" s="4">
        <v>101825</v>
      </c>
      <c r="H972" s="5" t="s">
        <v>30</v>
      </c>
      <c r="I972" s="4">
        <v>0</v>
      </c>
      <c r="J972" s="6">
        <v>44603</v>
      </c>
      <c r="K972" t="str">
        <f t="shared" si="30"/>
        <v>Q1 2022</v>
      </c>
      <c r="L972" t="str">
        <f t="shared" si="31"/>
        <v>Q1 2022</v>
      </c>
    </row>
    <row r="973" spans="1:12" ht="15.75" customHeight="1" x14ac:dyDescent="0.3">
      <c r="A973" s="2" t="s">
        <v>1461</v>
      </c>
      <c r="B973" s="2" t="s">
        <v>11</v>
      </c>
      <c r="C973" s="2" t="s">
        <v>12</v>
      </c>
      <c r="D973" s="2" t="s">
        <v>1224</v>
      </c>
      <c r="E973" s="2" t="s">
        <v>187</v>
      </c>
      <c r="F973" s="2" t="s">
        <v>1428</v>
      </c>
      <c r="G973" s="4">
        <v>42394</v>
      </c>
      <c r="H973" s="5" t="s">
        <v>25</v>
      </c>
      <c r="I973" s="4">
        <v>0</v>
      </c>
      <c r="J973" s="6">
        <v>44603</v>
      </c>
      <c r="K973" t="str">
        <f t="shared" si="30"/>
        <v>Q1 2022</v>
      </c>
      <c r="L973" t="str">
        <f t="shared" si="31"/>
        <v>Q1 2022</v>
      </c>
    </row>
    <row r="974" spans="1:12" ht="15.75" customHeight="1" x14ac:dyDescent="0.3">
      <c r="A974" s="2" t="s">
        <v>1462</v>
      </c>
      <c r="B974" s="2" t="s">
        <v>11</v>
      </c>
      <c r="C974" s="2" t="s">
        <v>12</v>
      </c>
      <c r="D974" s="2" t="s">
        <v>1224</v>
      </c>
      <c r="E974" s="2" t="s">
        <v>187</v>
      </c>
      <c r="F974" s="2" t="s">
        <v>46</v>
      </c>
      <c r="G974" s="4">
        <v>117497</v>
      </c>
      <c r="H974" s="5" t="s">
        <v>42</v>
      </c>
      <c r="I974" s="4">
        <v>0</v>
      </c>
      <c r="J974" s="6">
        <v>44603</v>
      </c>
      <c r="K974" t="str">
        <f t="shared" si="30"/>
        <v>Q1 2022</v>
      </c>
      <c r="L974" t="str">
        <f t="shared" si="31"/>
        <v>Q1 2022</v>
      </c>
    </row>
    <row r="975" spans="1:12" ht="15.75" customHeight="1" x14ac:dyDescent="0.3">
      <c r="A975" s="2" t="s">
        <v>1463</v>
      </c>
      <c r="B975" s="2" t="s">
        <v>11</v>
      </c>
      <c r="C975" s="2" t="s">
        <v>12</v>
      </c>
      <c r="D975" s="2" t="s">
        <v>1224</v>
      </c>
      <c r="E975" s="2" t="s">
        <v>187</v>
      </c>
      <c r="F975" s="2" t="s">
        <v>580</v>
      </c>
      <c r="G975" s="4">
        <v>70043</v>
      </c>
      <c r="H975" s="5" t="s">
        <v>39</v>
      </c>
      <c r="I975" s="4">
        <v>0</v>
      </c>
      <c r="J975" s="6">
        <v>44603</v>
      </c>
      <c r="K975" t="str">
        <f t="shared" si="30"/>
        <v>Q1 2022</v>
      </c>
      <c r="L975" t="str">
        <f t="shared" si="31"/>
        <v>Q1 2022</v>
      </c>
    </row>
    <row r="976" spans="1:12" ht="15.75" customHeight="1" x14ac:dyDescent="0.3">
      <c r="A976" s="2" t="s">
        <v>1464</v>
      </c>
      <c r="B976" s="2" t="s">
        <v>11</v>
      </c>
      <c r="C976" s="2" t="s">
        <v>12</v>
      </c>
      <c r="D976" s="2" t="s">
        <v>1224</v>
      </c>
      <c r="E976" s="2" t="s">
        <v>187</v>
      </c>
      <c r="F976" s="2" t="s">
        <v>1465</v>
      </c>
      <c r="G976" s="4">
        <v>95966</v>
      </c>
      <c r="H976" s="6">
        <v>44629</v>
      </c>
      <c r="I976" s="4">
        <v>0</v>
      </c>
      <c r="J976" s="6">
        <v>44603</v>
      </c>
      <c r="K976" t="str">
        <f t="shared" si="30"/>
        <v>Q1 2022</v>
      </c>
      <c r="L976" t="str">
        <f t="shared" si="31"/>
        <v>Q1 2022</v>
      </c>
    </row>
    <row r="977" spans="1:12" ht="15.75" customHeight="1" x14ac:dyDescent="0.3">
      <c r="A977" s="2" t="s">
        <v>1466</v>
      </c>
      <c r="B977" s="2" t="s">
        <v>20</v>
      </c>
      <c r="C977" s="2" t="s">
        <v>21</v>
      </c>
      <c r="D977" s="2" t="s">
        <v>1224</v>
      </c>
      <c r="E977" s="2" t="s">
        <v>187</v>
      </c>
      <c r="F977" s="2" t="s">
        <v>580</v>
      </c>
      <c r="G977" s="4">
        <v>142861</v>
      </c>
      <c r="H977" s="6">
        <v>44631</v>
      </c>
      <c r="I977" s="4">
        <v>71431</v>
      </c>
      <c r="J977" s="5" t="s">
        <v>97</v>
      </c>
      <c r="K977" t="str">
        <f t="shared" si="30"/>
        <v>Q4 2022</v>
      </c>
      <c r="L977" t="str">
        <f t="shared" si="31"/>
        <v>Q4 2022</v>
      </c>
    </row>
    <row r="978" spans="1:12" ht="15.75" customHeight="1" x14ac:dyDescent="0.3">
      <c r="A978" s="2" t="s">
        <v>1467</v>
      </c>
      <c r="B978" s="2" t="s">
        <v>20</v>
      </c>
      <c r="C978" s="2" t="s">
        <v>57</v>
      </c>
      <c r="D978" s="2" t="s">
        <v>1224</v>
      </c>
      <c r="E978" s="2" t="s">
        <v>187</v>
      </c>
      <c r="F978" s="2" t="s">
        <v>1468</v>
      </c>
      <c r="G978" s="4">
        <v>42040</v>
      </c>
      <c r="H978" s="6">
        <v>44631</v>
      </c>
      <c r="I978" s="4">
        <v>6006</v>
      </c>
      <c r="J978" s="5" t="s">
        <v>97</v>
      </c>
      <c r="K978" t="str">
        <f t="shared" si="30"/>
        <v>Q4 2022</v>
      </c>
      <c r="L978" t="str">
        <f t="shared" si="31"/>
        <v>Q4 2022</v>
      </c>
    </row>
    <row r="979" spans="1:12" ht="15.75" customHeight="1" x14ac:dyDescent="0.3">
      <c r="A979" s="2" t="s">
        <v>1469</v>
      </c>
      <c r="B979" s="2" t="s">
        <v>11</v>
      </c>
      <c r="C979" s="2" t="s">
        <v>12</v>
      </c>
      <c r="D979" s="2" t="s">
        <v>1224</v>
      </c>
      <c r="E979" s="2" t="s">
        <v>187</v>
      </c>
      <c r="F979" s="2" t="s">
        <v>580</v>
      </c>
      <c r="G979" s="4">
        <v>100539</v>
      </c>
      <c r="H979" s="5" t="s">
        <v>137</v>
      </c>
      <c r="I979" s="4">
        <v>0</v>
      </c>
      <c r="J979" s="6">
        <v>44599</v>
      </c>
      <c r="K979" t="str">
        <f t="shared" si="30"/>
        <v>Q1 2022</v>
      </c>
      <c r="L979" t="str">
        <f t="shared" si="31"/>
        <v>Q1 2022</v>
      </c>
    </row>
    <row r="980" spans="1:12" ht="15.75" customHeight="1" x14ac:dyDescent="0.3">
      <c r="A980" s="2" t="s">
        <v>1470</v>
      </c>
      <c r="B980" s="2" t="s">
        <v>11</v>
      </c>
      <c r="C980" s="2" t="s">
        <v>12</v>
      </c>
      <c r="D980" s="2" t="s">
        <v>1224</v>
      </c>
      <c r="E980" s="2" t="s">
        <v>187</v>
      </c>
      <c r="F980" s="2" t="s">
        <v>46</v>
      </c>
      <c r="G980" s="4">
        <v>71123</v>
      </c>
      <c r="H980" s="5" t="s">
        <v>39</v>
      </c>
      <c r="I980" s="4">
        <v>0</v>
      </c>
      <c r="J980" s="6">
        <v>44603</v>
      </c>
      <c r="K980" t="str">
        <f t="shared" si="30"/>
        <v>Q1 2022</v>
      </c>
      <c r="L980" t="str">
        <f t="shared" si="31"/>
        <v>Q1 2022</v>
      </c>
    </row>
    <row r="981" spans="1:12" ht="15.75" customHeight="1" x14ac:dyDescent="0.3">
      <c r="A981" s="2" t="s">
        <v>1471</v>
      </c>
      <c r="B981" s="2" t="s">
        <v>11</v>
      </c>
      <c r="C981" s="2" t="s">
        <v>12</v>
      </c>
      <c r="D981" s="2" t="s">
        <v>1224</v>
      </c>
      <c r="E981" s="2" t="s">
        <v>1065</v>
      </c>
      <c r="F981" s="2" t="s">
        <v>46</v>
      </c>
      <c r="G981" s="4">
        <v>69913</v>
      </c>
      <c r="H981" s="5" t="s">
        <v>30</v>
      </c>
      <c r="I981" s="4">
        <v>0</v>
      </c>
      <c r="J981" s="6">
        <v>44603</v>
      </c>
      <c r="K981" t="str">
        <f t="shared" si="30"/>
        <v>Q1 2022</v>
      </c>
      <c r="L981" t="str">
        <f t="shared" si="31"/>
        <v>Q1 2022</v>
      </c>
    </row>
    <row r="982" spans="1:12" ht="15.75" customHeight="1" x14ac:dyDescent="0.3">
      <c r="A982" s="2" t="s">
        <v>1472</v>
      </c>
      <c r="B982" s="2" t="s">
        <v>11</v>
      </c>
      <c r="C982" s="2" t="s">
        <v>12</v>
      </c>
      <c r="D982" s="2" t="s">
        <v>1224</v>
      </c>
      <c r="E982" s="2" t="s">
        <v>187</v>
      </c>
      <c r="F982" s="2" t="s">
        <v>46</v>
      </c>
      <c r="G982" s="4">
        <v>119007</v>
      </c>
      <c r="H982" s="6">
        <v>44630</v>
      </c>
      <c r="I982" s="4">
        <v>0</v>
      </c>
      <c r="J982" s="6">
        <v>44603</v>
      </c>
      <c r="K982" t="str">
        <f t="shared" si="30"/>
        <v>Q1 2022</v>
      </c>
      <c r="L982" t="str">
        <f t="shared" si="31"/>
        <v>Q1 2022</v>
      </c>
    </row>
    <row r="983" spans="1:12" ht="15.75" customHeight="1" x14ac:dyDescent="0.3">
      <c r="A983" s="2" t="s">
        <v>1473</v>
      </c>
      <c r="B983" s="2" t="s">
        <v>11</v>
      </c>
      <c r="C983" s="2" t="s">
        <v>12</v>
      </c>
      <c r="D983" s="2" t="s">
        <v>1224</v>
      </c>
      <c r="E983" s="2" t="s">
        <v>187</v>
      </c>
      <c r="F983" s="2" t="s">
        <v>46</v>
      </c>
      <c r="G983" s="4">
        <v>171055</v>
      </c>
      <c r="H983" s="5" t="s">
        <v>1474</v>
      </c>
      <c r="I983" s="4">
        <v>0</v>
      </c>
      <c r="J983" s="6">
        <v>44595</v>
      </c>
      <c r="K983" t="str">
        <f t="shared" si="30"/>
        <v>Q1 2022</v>
      </c>
      <c r="L983" t="str">
        <f t="shared" si="31"/>
        <v>Q1 2022</v>
      </c>
    </row>
    <row r="984" spans="1:12" ht="15.75" customHeight="1" x14ac:dyDescent="0.3">
      <c r="A984" s="2" t="s">
        <v>1475</v>
      </c>
      <c r="B984" s="2" t="s">
        <v>11</v>
      </c>
      <c r="C984" s="2" t="s">
        <v>12</v>
      </c>
      <c r="D984" s="2" t="s">
        <v>1224</v>
      </c>
      <c r="E984" s="2" t="s">
        <v>187</v>
      </c>
      <c r="F984" s="2" t="s">
        <v>1476</v>
      </c>
      <c r="G984" s="4">
        <v>62410</v>
      </c>
      <c r="H984" s="6">
        <v>44989</v>
      </c>
      <c r="I984" s="4">
        <v>0</v>
      </c>
      <c r="J984" s="6">
        <v>44963</v>
      </c>
      <c r="K984" t="str">
        <f t="shared" si="30"/>
        <v>Q1 2023</v>
      </c>
      <c r="L984" t="str">
        <f t="shared" si="31"/>
        <v>Q1 2023</v>
      </c>
    </row>
    <row r="985" spans="1:12" ht="15.75" customHeight="1" x14ac:dyDescent="0.3">
      <c r="A985" s="2" t="s">
        <v>1477</v>
      </c>
      <c r="B985" s="2" t="s">
        <v>11</v>
      </c>
      <c r="C985" s="2" t="s">
        <v>12</v>
      </c>
      <c r="D985" s="2" t="s">
        <v>1224</v>
      </c>
      <c r="E985" s="2" t="s">
        <v>187</v>
      </c>
      <c r="F985" s="2" t="s">
        <v>1478</v>
      </c>
      <c r="G985" s="4">
        <v>72637</v>
      </c>
      <c r="H985" s="6">
        <v>44623</v>
      </c>
      <c r="I985" s="4">
        <v>0</v>
      </c>
      <c r="J985" s="6">
        <v>44597</v>
      </c>
      <c r="K985" t="str">
        <f t="shared" si="30"/>
        <v>Q1 2022</v>
      </c>
      <c r="L985" t="str">
        <f t="shared" si="31"/>
        <v>Q1 2022</v>
      </c>
    </row>
    <row r="986" spans="1:12" ht="15.75" customHeight="1" x14ac:dyDescent="0.3">
      <c r="A986" s="2" t="s">
        <v>1479</v>
      </c>
      <c r="B986" s="2" t="s">
        <v>11</v>
      </c>
      <c r="C986" s="2" t="s">
        <v>12</v>
      </c>
      <c r="D986" s="2" t="s">
        <v>1224</v>
      </c>
      <c r="E986" s="2" t="s">
        <v>187</v>
      </c>
      <c r="F986" s="2" t="s">
        <v>1480</v>
      </c>
      <c r="G986" s="4">
        <v>704990</v>
      </c>
      <c r="H986" s="6">
        <v>44598</v>
      </c>
      <c r="I986" s="4">
        <v>0</v>
      </c>
      <c r="J986" s="6">
        <v>44599</v>
      </c>
      <c r="K986" t="str">
        <f t="shared" si="30"/>
        <v>Q1 2022</v>
      </c>
      <c r="L986" t="str">
        <f t="shared" si="31"/>
        <v>Q1 2022</v>
      </c>
    </row>
    <row r="987" spans="1:12" ht="15.75" customHeight="1" x14ac:dyDescent="0.3">
      <c r="A987" s="2" t="s">
        <v>1481</v>
      </c>
      <c r="B987" s="2" t="s">
        <v>11</v>
      </c>
      <c r="C987" s="2" t="s">
        <v>12</v>
      </c>
      <c r="D987" s="2" t="s">
        <v>1224</v>
      </c>
      <c r="E987" s="2" t="s">
        <v>187</v>
      </c>
      <c r="F987" s="2" t="s">
        <v>46</v>
      </c>
      <c r="G987" s="4">
        <v>107228</v>
      </c>
      <c r="H987" s="6">
        <v>44623</v>
      </c>
      <c r="I987" s="4">
        <v>0</v>
      </c>
      <c r="J987" s="6">
        <v>44596</v>
      </c>
      <c r="K987" t="str">
        <f t="shared" si="30"/>
        <v>Q1 2022</v>
      </c>
      <c r="L987" t="str">
        <f t="shared" si="31"/>
        <v>Q1 2022</v>
      </c>
    </row>
    <row r="988" spans="1:12" ht="15.75" customHeight="1" x14ac:dyDescent="0.3">
      <c r="A988" s="2" t="s">
        <v>1482</v>
      </c>
      <c r="B988" s="2" t="s">
        <v>11</v>
      </c>
      <c r="C988" s="2" t="s">
        <v>12</v>
      </c>
      <c r="D988" s="2" t="s">
        <v>1224</v>
      </c>
      <c r="E988" s="2" t="s">
        <v>187</v>
      </c>
      <c r="F988" s="2" t="s">
        <v>1483</v>
      </c>
      <c r="G988" s="4">
        <v>166380</v>
      </c>
      <c r="H988" s="5" t="s">
        <v>142</v>
      </c>
      <c r="I988" s="4">
        <v>0</v>
      </c>
      <c r="J988" s="6">
        <v>44597</v>
      </c>
      <c r="K988" t="str">
        <f t="shared" si="30"/>
        <v>Q1 2022</v>
      </c>
      <c r="L988" t="str">
        <f t="shared" si="31"/>
        <v>Q1 2022</v>
      </c>
    </row>
    <row r="989" spans="1:12" ht="15.75" customHeight="1" x14ac:dyDescent="0.3">
      <c r="A989" s="2" t="s">
        <v>1484</v>
      </c>
      <c r="B989" s="2" t="s">
        <v>11</v>
      </c>
      <c r="C989" s="2" t="s">
        <v>12</v>
      </c>
      <c r="D989" s="2" t="s">
        <v>1224</v>
      </c>
      <c r="E989" s="2" t="s">
        <v>187</v>
      </c>
      <c r="F989" s="2" t="s">
        <v>1485</v>
      </c>
      <c r="G989" s="2"/>
      <c r="H989" s="6">
        <v>44233</v>
      </c>
      <c r="I989" s="4">
        <v>0</v>
      </c>
      <c r="J989" s="6">
        <v>44204</v>
      </c>
      <c r="K989" t="str">
        <f t="shared" si="30"/>
        <v>Q1 2021</v>
      </c>
      <c r="L989" t="str">
        <f t="shared" si="31"/>
        <v>Q1 2021</v>
      </c>
    </row>
    <row r="990" spans="1:12" ht="15.75" customHeight="1" x14ac:dyDescent="0.3">
      <c r="A990" s="2" t="s">
        <v>1486</v>
      </c>
      <c r="B990" s="2" t="s">
        <v>11</v>
      </c>
      <c r="C990" s="2" t="s">
        <v>12</v>
      </c>
      <c r="D990" s="2" t="s">
        <v>1224</v>
      </c>
      <c r="E990" s="2" t="s">
        <v>187</v>
      </c>
      <c r="F990" s="2" t="s">
        <v>46</v>
      </c>
      <c r="G990" s="4">
        <v>190945</v>
      </c>
      <c r="H990" s="6">
        <v>44630</v>
      </c>
      <c r="I990" s="4">
        <v>0</v>
      </c>
      <c r="J990" s="6">
        <v>44603</v>
      </c>
      <c r="K990" t="str">
        <f t="shared" si="30"/>
        <v>Q1 2022</v>
      </c>
      <c r="L990" t="str">
        <f t="shared" si="31"/>
        <v>Q1 2022</v>
      </c>
    </row>
    <row r="991" spans="1:12" ht="15.75" customHeight="1" x14ac:dyDescent="0.3">
      <c r="A991" s="2" t="s">
        <v>1487</v>
      </c>
      <c r="B991" s="2" t="s">
        <v>11</v>
      </c>
      <c r="C991" s="2" t="s">
        <v>12</v>
      </c>
      <c r="D991" s="2" t="s">
        <v>1224</v>
      </c>
      <c r="E991" s="2" t="s">
        <v>187</v>
      </c>
      <c r="F991" s="2" t="s">
        <v>46</v>
      </c>
      <c r="G991" s="4">
        <v>101896</v>
      </c>
      <c r="H991" s="5" t="s">
        <v>25</v>
      </c>
      <c r="I991" s="4">
        <v>0</v>
      </c>
      <c r="J991" s="6">
        <v>44603</v>
      </c>
      <c r="K991" t="str">
        <f t="shared" si="30"/>
        <v>Q1 2022</v>
      </c>
      <c r="L991" t="str">
        <f t="shared" si="31"/>
        <v>Q1 2022</v>
      </c>
    </row>
    <row r="992" spans="1:12" ht="15.75" customHeight="1" x14ac:dyDescent="0.3">
      <c r="A992" s="2" t="s">
        <v>1488</v>
      </c>
      <c r="B992" s="2" t="s">
        <v>11</v>
      </c>
      <c r="C992" s="2" t="s">
        <v>12</v>
      </c>
      <c r="D992" s="2" t="s">
        <v>1224</v>
      </c>
      <c r="E992" s="2" t="s">
        <v>187</v>
      </c>
      <c r="F992" s="2" t="s">
        <v>46</v>
      </c>
      <c r="G992" s="4">
        <v>48820</v>
      </c>
      <c r="H992" s="5" t="s">
        <v>322</v>
      </c>
      <c r="I992" s="4">
        <v>0</v>
      </c>
      <c r="J992" s="6">
        <v>44594</v>
      </c>
      <c r="K992" t="str">
        <f t="shared" si="30"/>
        <v>Q1 2022</v>
      </c>
      <c r="L992" t="str">
        <f t="shared" si="31"/>
        <v>Q1 2022</v>
      </c>
    </row>
    <row r="993" spans="1:12" ht="15.75" customHeight="1" x14ac:dyDescent="0.3">
      <c r="A993" s="2" t="s">
        <v>1489</v>
      </c>
      <c r="B993" s="2" t="s">
        <v>11</v>
      </c>
      <c r="C993" s="2" t="s">
        <v>12</v>
      </c>
      <c r="D993" s="2" t="s">
        <v>1224</v>
      </c>
      <c r="E993" s="2" t="s">
        <v>187</v>
      </c>
      <c r="F993" s="2" t="s">
        <v>46</v>
      </c>
      <c r="G993" s="4">
        <v>72195</v>
      </c>
      <c r="H993" s="5" t="s">
        <v>25</v>
      </c>
      <c r="I993" s="4">
        <v>0</v>
      </c>
      <c r="J993" s="6">
        <v>44603</v>
      </c>
      <c r="K993" t="str">
        <f t="shared" si="30"/>
        <v>Q1 2022</v>
      </c>
      <c r="L993" t="str">
        <f t="shared" si="31"/>
        <v>Q1 2022</v>
      </c>
    </row>
    <row r="994" spans="1:12" ht="15.75" customHeight="1" x14ac:dyDescent="0.3">
      <c r="A994" s="2" t="s">
        <v>1490</v>
      </c>
      <c r="B994" s="2" t="s">
        <v>11</v>
      </c>
      <c r="C994" s="2" t="s">
        <v>12</v>
      </c>
      <c r="D994" s="2" t="s">
        <v>1224</v>
      </c>
      <c r="E994" s="2" t="s">
        <v>187</v>
      </c>
      <c r="F994" s="2" t="s">
        <v>46</v>
      </c>
      <c r="G994" s="4">
        <v>83117</v>
      </c>
      <c r="H994" s="5" t="s">
        <v>25</v>
      </c>
      <c r="I994" s="4">
        <v>0</v>
      </c>
      <c r="J994" s="6">
        <v>44603</v>
      </c>
      <c r="K994" t="str">
        <f t="shared" si="30"/>
        <v>Q1 2022</v>
      </c>
      <c r="L994" t="str">
        <f t="shared" si="31"/>
        <v>Q1 2022</v>
      </c>
    </row>
    <row r="995" spans="1:12" ht="15.75" customHeight="1" x14ac:dyDescent="0.3">
      <c r="A995" s="2" t="s">
        <v>1491</v>
      </c>
      <c r="B995" s="2" t="s">
        <v>11</v>
      </c>
      <c r="C995" s="2" t="s">
        <v>12</v>
      </c>
      <c r="D995" s="2" t="s">
        <v>1224</v>
      </c>
      <c r="E995" s="2" t="s">
        <v>187</v>
      </c>
      <c r="F995" s="2" t="s">
        <v>1492</v>
      </c>
      <c r="G995" s="4">
        <v>42133</v>
      </c>
      <c r="H995" s="6">
        <v>44628</v>
      </c>
      <c r="I995" s="4">
        <v>0</v>
      </c>
      <c r="J995" s="6">
        <v>44601</v>
      </c>
      <c r="K995" t="str">
        <f t="shared" si="30"/>
        <v>Q1 2022</v>
      </c>
      <c r="L995" t="str">
        <f t="shared" si="31"/>
        <v>Q1 2022</v>
      </c>
    </row>
    <row r="996" spans="1:12" ht="15.75" customHeight="1" x14ac:dyDescent="0.3">
      <c r="A996" s="2" t="s">
        <v>1493</v>
      </c>
      <c r="B996" s="2" t="s">
        <v>11</v>
      </c>
      <c r="C996" s="2" t="s">
        <v>12</v>
      </c>
      <c r="D996" s="2" t="s">
        <v>1224</v>
      </c>
      <c r="E996" s="2" t="s">
        <v>187</v>
      </c>
      <c r="F996" s="2" t="s">
        <v>46</v>
      </c>
      <c r="G996" s="4">
        <v>99320</v>
      </c>
      <c r="H996" s="5" t="s">
        <v>25</v>
      </c>
      <c r="I996" s="4">
        <v>0</v>
      </c>
      <c r="J996" s="6">
        <v>44603</v>
      </c>
      <c r="K996" t="str">
        <f t="shared" si="30"/>
        <v>Q1 2022</v>
      </c>
      <c r="L996" t="str">
        <f t="shared" si="31"/>
        <v>Q1 2022</v>
      </c>
    </row>
    <row r="997" spans="1:12" ht="15.75" customHeight="1" x14ac:dyDescent="0.3">
      <c r="A997" s="2" t="s">
        <v>1494</v>
      </c>
      <c r="B997" s="2" t="s">
        <v>11</v>
      </c>
      <c r="C997" s="2" t="s">
        <v>12</v>
      </c>
      <c r="D997" s="2" t="s">
        <v>1224</v>
      </c>
      <c r="E997" s="2" t="s">
        <v>187</v>
      </c>
      <c r="F997" s="2" t="s">
        <v>46</v>
      </c>
      <c r="G997" s="4">
        <v>42044</v>
      </c>
      <c r="H997" s="5" t="s">
        <v>463</v>
      </c>
      <c r="I997" s="4">
        <v>0</v>
      </c>
      <c r="J997" s="6">
        <v>44598</v>
      </c>
      <c r="K997" t="str">
        <f t="shared" si="30"/>
        <v>Q1 2022</v>
      </c>
      <c r="L997" t="str">
        <f t="shared" si="31"/>
        <v>Q1 2022</v>
      </c>
    </row>
    <row r="998" spans="1:12" ht="15.75" customHeight="1" x14ac:dyDescent="0.3">
      <c r="A998" s="2" t="s">
        <v>1495</v>
      </c>
      <c r="B998" s="2" t="s">
        <v>11</v>
      </c>
      <c r="C998" s="2" t="s">
        <v>12</v>
      </c>
      <c r="D998" s="2" t="s">
        <v>1224</v>
      </c>
      <c r="E998" s="2" t="s">
        <v>187</v>
      </c>
      <c r="F998" s="2" t="s">
        <v>46</v>
      </c>
      <c r="G998" s="4">
        <v>143580</v>
      </c>
      <c r="H998" s="5" t="s">
        <v>39</v>
      </c>
      <c r="I998" s="4">
        <v>0</v>
      </c>
      <c r="J998" s="6">
        <v>44603</v>
      </c>
      <c r="K998" t="str">
        <f t="shared" si="30"/>
        <v>Q1 2022</v>
      </c>
      <c r="L998" t="str">
        <f t="shared" si="31"/>
        <v>Q1 2022</v>
      </c>
    </row>
    <row r="999" spans="1:12" ht="15.75" customHeight="1" x14ac:dyDescent="0.3">
      <c r="A999" s="2" t="s">
        <v>1496</v>
      </c>
      <c r="B999" s="2" t="s">
        <v>11</v>
      </c>
      <c r="C999" s="2" t="s">
        <v>12</v>
      </c>
      <c r="D999" s="2" t="s">
        <v>1224</v>
      </c>
      <c r="E999" s="2" t="s">
        <v>187</v>
      </c>
      <c r="F999" s="2" t="s">
        <v>46</v>
      </c>
      <c r="G999" s="4">
        <v>49618</v>
      </c>
      <c r="H999" s="6">
        <v>44630</v>
      </c>
      <c r="I999" s="4">
        <v>0</v>
      </c>
      <c r="J999" s="6">
        <v>44603</v>
      </c>
      <c r="K999" t="str">
        <f t="shared" si="30"/>
        <v>Q1 2022</v>
      </c>
      <c r="L999" t="str">
        <f t="shared" si="31"/>
        <v>Q1 2022</v>
      </c>
    </row>
    <row r="1000" spans="1:12" ht="15.75" customHeight="1" x14ac:dyDescent="0.3">
      <c r="A1000" s="2" t="s">
        <v>1497</v>
      </c>
      <c r="B1000" s="2" t="s">
        <v>11</v>
      </c>
      <c r="C1000" s="2" t="s">
        <v>12</v>
      </c>
      <c r="D1000" s="2" t="s">
        <v>1224</v>
      </c>
      <c r="E1000" s="2" t="s">
        <v>187</v>
      </c>
      <c r="F1000" s="2" t="s">
        <v>46</v>
      </c>
      <c r="G1000" s="4">
        <v>98376</v>
      </c>
      <c r="H1000" s="5" t="s">
        <v>137</v>
      </c>
      <c r="I1000" s="4">
        <v>0</v>
      </c>
      <c r="J1000" s="6">
        <v>44599</v>
      </c>
      <c r="K1000" t="str">
        <f t="shared" si="30"/>
        <v>Q1 2022</v>
      </c>
      <c r="L1000" t="str">
        <f t="shared" si="31"/>
        <v>Q1 2022</v>
      </c>
    </row>
    <row r="1001" spans="1:12" ht="15.75" customHeight="1" x14ac:dyDescent="0.3">
      <c r="A1001" s="2" t="s">
        <v>1498</v>
      </c>
      <c r="B1001" s="2" t="s">
        <v>11</v>
      </c>
      <c r="C1001" s="2" t="s">
        <v>12</v>
      </c>
      <c r="D1001" s="2" t="s">
        <v>1224</v>
      </c>
      <c r="E1001" s="2" t="s">
        <v>187</v>
      </c>
      <c r="F1001" s="2" t="s">
        <v>46</v>
      </c>
      <c r="G1001" s="4">
        <v>36213</v>
      </c>
      <c r="H1001" s="5" t="s">
        <v>25</v>
      </c>
      <c r="I1001" s="4">
        <v>0</v>
      </c>
      <c r="J1001" s="6">
        <v>44603</v>
      </c>
      <c r="K1001" t="str">
        <f t="shared" si="30"/>
        <v>Q1 2022</v>
      </c>
      <c r="L1001" t="str">
        <f t="shared" si="31"/>
        <v>Q1 2022</v>
      </c>
    </row>
    <row r="1002" spans="1:12" ht="15.75" customHeight="1" x14ac:dyDescent="0.3">
      <c r="A1002" s="2" t="s">
        <v>1499</v>
      </c>
      <c r="B1002" s="2" t="s">
        <v>11</v>
      </c>
      <c r="C1002" s="2" t="s">
        <v>12</v>
      </c>
      <c r="D1002" s="2" t="s">
        <v>1224</v>
      </c>
      <c r="E1002" s="2" t="s">
        <v>187</v>
      </c>
      <c r="F1002" s="2" t="s">
        <v>580</v>
      </c>
      <c r="G1002" s="4">
        <v>107490</v>
      </c>
      <c r="H1002" s="6">
        <v>44624</v>
      </c>
      <c r="I1002" s="4">
        <v>0</v>
      </c>
      <c r="J1002" s="6">
        <v>44598</v>
      </c>
      <c r="K1002" t="str">
        <f t="shared" si="30"/>
        <v>Q1 2022</v>
      </c>
      <c r="L1002" t="str">
        <f t="shared" si="31"/>
        <v>Q1 2022</v>
      </c>
    </row>
    <row r="1003" spans="1:12" ht="15.75" customHeight="1" x14ac:dyDescent="0.3">
      <c r="A1003" s="2" t="s">
        <v>1500</v>
      </c>
      <c r="B1003" s="2" t="s">
        <v>11</v>
      </c>
      <c r="C1003" s="2" t="s">
        <v>12</v>
      </c>
      <c r="D1003" s="2" t="s">
        <v>1224</v>
      </c>
      <c r="E1003" s="2" t="s">
        <v>187</v>
      </c>
      <c r="F1003" s="2" t="s">
        <v>46</v>
      </c>
      <c r="G1003" s="4">
        <v>56755</v>
      </c>
      <c r="H1003" s="5" t="s">
        <v>30</v>
      </c>
      <c r="I1003" s="4">
        <v>0</v>
      </c>
      <c r="J1003" s="6">
        <v>44603</v>
      </c>
      <c r="K1003" t="str">
        <f t="shared" si="30"/>
        <v>Q1 2022</v>
      </c>
      <c r="L1003" t="str">
        <f t="shared" si="31"/>
        <v>Q1 2022</v>
      </c>
    </row>
    <row r="1004" spans="1:12" ht="15.75" customHeight="1" x14ac:dyDescent="0.3">
      <c r="A1004" s="2" t="s">
        <v>1501</v>
      </c>
      <c r="B1004" s="2" t="s">
        <v>11</v>
      </c>
      <c r="C1004" s="2" t="s">
        <v>12</v>
      </c>
      <c r="D1004" s="2" t="s">
        <v>1224</v>
      </c>
      <c r="E1004" s="2" t="s">
        <v>187</v>
      </c>
      <c r="F1004" s="2" t="s">
        <v>46</v>
      </c>
      <c r="G1004" s="4">
        <v>41019</v>
      </c>
      <c r="H1004" s="5" t="s">
        <v>71</v>
      </c>
      <c r="I1004" s="4">
        <v>0</v>
      </c>
      <c r="J1004" s="6">
        <v>44603</v>
      </c>
      <c r="K1004" t="str">
        <f t="shared" si="30"/>
        <v>Q1 2022</v>
      </c>
      <c r="L1004" t="str">
        <f t="shared" si="31"/>
        <v>Q1 2022</v>
      </c>
    </row>
    <row r="1005" spans="1:12" ht="15.75" customHeight="1" x14ac:dyDescent="0.3">
      <c r="A1005" s="2" t="s">
        <v>1502</v>
      </c>
      <c r="B1005" s="2" t="s">
        <v>11</v>
      </c>
      <c r="C1005" s="2" t="s">
        <v>12</v>
      </c>
      <c r="D1005" s="2" t="s">
        <v>1224</v>
      </c>
      <c r="E1005" s="2" t="s">
        <v>187</v>
      </c>
      <c r="F1005" s="2" t="s">
        <v>46</v>
      </c>
      <c r="G1005" s="4">
        <v>230262</v>
      </c>
      <c r="H1005" s="5" t="s">
        <v>42</v>
      </c>
      <c r="I1005" s="4">
        <v>0</v>
      </c>
      <c r="J1005" s="6">
        <v>44603</v>
      </c>
      <c r="K1005" t="str">
        <f t="shared" si="30"/>
        <v>Q1 2022</v>
      </c>
      <c r="L1005" t="str">
        <f t="shared" si="31"/>
        <v>Q1 2022</v>
      </c>
    </row>
    <row r="1006" spans="1:12" ht="15.75" customHeight="1" x14ac:dyDescent="0.3">
      <c r="A1006" s="2" t="s">
        <v>1503</v>
      </c>
      <c r="B1006" s="2" t="s">
        <v>11</v>
      </c>
      <c r="C1006" s="2" t="s">
        <v>12</v>
      </c>
      <c r="D1006" s="2" t="s">
        <v>1224</v>
      </c>
      <c r="E1006" s="2" t="s">
        <v>187</v>
      </c>
      <c r="F1006" s="2" t="s">
        <v>46</v>
      </c>
      <c r="G1006" s="4">
        <v>69897</v>
      </c>
      <c r="H1006" s="5" t="s">
        <v>71</v>
      </c>
      <c r="I1006" s="4">
        <v>0</v>
      </c>
      <c r="J1006" s="6">
        <v>44603</v>
      </c>
      <c r="K1006" t="str">
        <f t="shared" si="30"/>
        <v>Q1 2022</v>
      </c>
      <c r="L1006" t="str">
        <f t="shared" si="31"/>
        <v>Q1 2022</v>
      </c>
    </row>
    <row r="1007" spans="1:12" ht="15.75" customHeight="1" x14ac:dyDescent="0.3">
      <c r="A1007" s="2" t="s">
        <v>1504</v>
      </c>
      <c r="B1007" s="2" t="s">
        <v>11</v>
      </c>
      <c r="C1007" s="2" t="s">
        <v>12</v>
      </c>
      <c r="D1007" s="2" t="s">
        <v>1224</v>
      </c>
      <c r="E1007" s="2" t="s">
        <v>187</v>
      </c>
      <c r="F1007" s="2" t="s">
        <v>46</v>
      </c>
      <c r="G1007" s="4">
        <v>89785</v>
      </c>
      <c r="H1007" s="5" t="s">
        <v>71</v>
      </c>
      <c r="I1007" s="4">
        <v>0</v>
      </c>
      <c r="J1007" s="6">
        <v>44603</v>
      </c>
      <c r="K1007" t="str">
        <f t="shared" si="30"/>
        <v>Q1 2022</v>
      </c>
      <c r="L1007" t="str">
        <f t="shared" si="31"/>
        <v>Q1 2022</v>
      </c>
    </row>
    <row r="1008" spans="1:12" ht="15.75" customHeight="1" x14ac:dyDescent="0.3">
      <c r="A1008" s="2" t="s">
        <v>1505</v>
      </c>
      <c r="B1008" s="2" t="s">
        <v>11</v>
      </c>
      <c r="C1008" s="2" t="s">
        <v>12</v>
      </c>
      <c r="D1008" s="2" t="s">
        <v>1224</v>
      </c>
      <c r="E1008" s="2" t="s">
        <v>187</v>
      </c>
      <c r="F1008" s="2" t="s">
        <v>46</v>
      </c>
      <c r="G1008" s="4">
        <v>40187</v>
      </c>
      <c r="H1008" s="5" t="s">
        <v>16</v>
      </c>
      <c r="I1008" s="4">
        <v>0</v>
      </c>
      <c r="J1008" s="6">
        <v>44597</v>
      </c>
      <c r="K1008" t="str">
        <f t="shared" si="30"/>
        <v>Q1 2022</v>
      </c>
      <c r="L1008" t="str">
        <f t="shared" si="31"/>
        <v>Q1 2022</v>
      </c>
    </row>
    <row r="1009" spans="1:12" ht="15.75" customHeight="1" x14ac:dyDescent="0.3">
      <c r="A1009" s="2" t="s">
        <v>1506</v>
      </c>
      <c r="B1009" s="2" t="s">
        <v>11</v>
      </c>
      <c r="C1009" s="2" t="s">
        <v>12</v>
      </c>
      <c r="D1009" s="2" t="s">
        <v>1224</v>
      </c>
      <c r="E1009" s="2" t="s">
        <v>187</v>
      </c>
      <c r="F1009" s="2" t="s">
        <v>46</v>
      </c>
      <c r="G1009" s="4">
        <v>45781</v>
      </c>
      <c r="H1009" s="5" t="s">
        <v>71</v>
      </c>
      <c r="I1009" s="4">
        <v>0</v>
      </c>
      <c r="J1009" s="6">
        <v>44603</v>
      </c>
      <c r="K1009" t="str">
        <f t="shared" si="30"/>
        <v>Q1 2022</v>
      </c>
      <c r="L1009" t="str">
        <f t="shared" si="31"/>
        <v>Q1 2022</v>
      </c>
    </row>
    <row r="1010" spans="1:12" ht="15.75" customHeight="1" x14ac:dyDescent="0.3">
      <c r="A1010" s="2" t="s">
        <v>1507</v>
      </c>
      <c r="B1010" s="2" t="s">
        <v>11</v>
      </c>
      <c r="C1010" s="2" t="s">
        <v>12</v>
      </c>
      <c r="D1010" s="2" t="s">
        <v>1224</v>
      </c>
      <c r="E1010" s="2" t="s">
        <v>187</v>
      </c>
      <c r="F1010" s="2" t="s">
        <v>46</v>
      </c>
      <c r="G1010" s="4">
        <v>53143</v>
      </c>
      <c r="H1010" s="5" t="s">
        <v>322</v>
      </c>
      <c r="I1010" s="4">
        <v>0</v>
      </c>
      <c r="J1010" s="6">
        <v>44594</v>
      </c>
      <c r="K1010" t="str">
        <f t="shared" si="30"/>
        <v>Q1 2022</v>
      </c>
      <c r="L1010" t="str">
        <f t="shared" si="31"/>
        <v>Q1 2022</v>
      </c>
    </row>
    <row r="1011" spans="1:12" ht="15.75" customHeight="1" x14ac:dyDescent="0.3">
      <c r="A1011" s="2" t="s">
        <v>1508</v>
      </c>
      <c r="B1011" s="2" t="s">
        <v>11</v>
      </c>
      <c r="C1011" s="2" t="s">
        <v>12</v>
      </c>
      <c r="D1011" s="2" t="s">
        <v>1224</v>
      </c>
      <c r="E1011" s="2" t="s">
        <v>187</v>
      </c>
      <c r="F1011" s="2" t="s">
        <v>46</v>
      </c>
      <c r="G1011" s="4">
        <v>100224</v>
      </c>
      <c r="H1011" s="6">
        <v>44621</v>
      </c>
      <c r="I1011" s="4">
        <v>0</v>
      </c>
      <c r="J1011" s="6">
        <v>44594</v>
      </c>
      <c r="K1011" t="str">
        <f t="shared" si="30"/>
        <v>Q1 2022</v>
      </c>
      <c r="L1011" t="str">
        <f t="shared" si="31"/>
        <v>Q1 2022</v>
      </c>
    </row>
    <row r="1012" spans="1:12" ht="15.75" customHeight="1" x14ac:dyDescent="0.3">
      <c r="A1012" s="2" t="s">
        <v>1509</v>
      </c>
      <c r="B1012" s="2" t="s">
        <v>11</v>
      </c>
      <c r="C1012" s="2" t="s">
        <v>12</v>
      </c>
      <c r="D1012" s="2" t="s">
        <v>1224</v>
      </c>
      <c r="E1012" s="2" t="s">
        <v>187</v>
      </c>
      <c r="F1012" s="2" t="s">
        <v>1510</v>
      </c>
      <c r="G1012" s="4">
        <v>71809</v>
      </c>
      <c r="H1012" s="6">
        <v>44629</v>
      </c>
      <c r="I1012" s="4">
        <v>0</v>
      </c>
      <c r="J1012" s="6">
        <v>44603</v>
      </c>
      <c r="K1012" t="str">
        <f t="shared" si="30"/>
        <v>Q1 2022</v>
      </c>
      <c r="L1012" t="str">
        <f t="shared" si="31"/>
        <v>Q1 2022</v>
      </c>
    </row>
    <row r="1013" spans="1:12" ht="15.75" customHeight="1" x14ac:dyDescent="0.3">
      <c r="A1013" s="2" t="s">
        <v>1511</v>
      </c>
      <c r="B1013" s="2" t="s">
        <v>11</v>
      </c>
      <c r="C1013" s="2" t="s">
        <v>12</v>
      </c>
      <c r="D1013" s="2" t="s">
        <v>1224</v>
      </c>
      <c r="E1013" s="2" t="s">
        <v>187</v>
      </c>
      <c r="F1013" s="2" t="s">
        <v>46</v>
      </c>
      <c r="G1013" s="4">
        <v>153362</v>
      </c>
      <c r="H1013" s="6">
        <v>44961</v>
      </c>
      <c r="I1013" s="4">
        <v>0</v>
      </c>
      <c r="J1013" s="6">
        <v>44962</v>
      </c>
      <c r="K1013" t="str">
        <f t="shared" si="30"/>
        <v>Q1 2023</v>
      </c>
      <c r="L1013" t="str">
        <f t="shared" si="31"/>
        <v>Q1 2023</v>
      </c>
    </row>
    <row r="1014" spans="1:12" ht="15.75" customHeight="1" x14ac:dyDescent="0.3">
      <c r="A1014" s="2" t="s">
        <v>1512</v>
      </c>
      <c r="B1014" s="2" t="s">
        <v>11</v>
      </c>
      <c r="C1014" s="2" t="s">
        <v>12</v>
      </c>
      <c r="D1014" s="2" t="s">
        <v>1224</v>
      </c>
      <c r="E1014" s="2" t="s">
        <v>187</v>
      </c>
      <c r="F1014" s="2" t="s">
        <v>46</v>
      </c>
      <c r="G1014" s="4">
        <v>86532</v>
      </c>
      <c r="H1014" s="5" t="s">
        <v>197</v>
      </c>
      <c r="I1014" s="4">
        <v>0</v>
      </c>
      <c r="J1014" s="6">
        <v>44601</v>
      </c>
      <c r="K1014" t="str">
        <f t="shared" si="30"/>
        <v>Q1 2022</v>
      </c>
      <c r="L1014" t="str">
        <f t="shared" si="31"/>
        <v>Q1 2022</v>
      </c>
    </row>
    <row r="1015" spans="1:12" ht="15.75" customHeight="1" x14ac:dyDescent="0.3">
      <c r="A1015" s="2" t="s">
        <v>1513</v>
      </c>
      <c r="B1015" s="2" t="s">
        <v>11</v>
      </c>
      <c r="C1015" s="2" t="s">
        <v>12</v>
      </c>
      <c r="D1015" s="2" t="s">
        <v>1224</v>
      </c>
      <c r="E1015" s="2" t="s">
        <v>187</v>
      </c>
      <c r="F1015" s="2" t="s">
        <v>580</v>
      </c>
      <c r="G1015" s="4">
        <v>99989</v>
      </c>
      <c r="H1015" s="5" t="s">
        <v>71</v>
      </c>
      <c r="I1015" s="4">
        <v>0</v>
      </c>
      <c r="J1015" s="6">
        <v>44603</v>
      </c>
      <c r="K1015" t="str">
        <f t="shared" si="30"/>
        <v>Q1 2022</v>
      </c>
      <c r="L1015" t="str">
        <f t="shared" si="31"/>
        <v>Q1 2022</v>
      </c>
    </row>
    <row r="1016" spans="1:12" ht="15.75" customHeight="1" x14ac:dyDescent="0.3">
      <c r="A1016" s="2" t="s">
        <v>1514</v>
      </c>
      <c r="B1016" s="2" t="s">
        <v>11</v>
      </c>
      <c r="C1016" s="2" t="s">
        <v>12</v>
      </c>
      <c r="D1016" s="2" t="s">
        <v>1224</v>
      </c>
      <c r="E1016" s="2" t="s">
        <v>1072</v>
      </c>
      <c r="F1016" s="2" t="s">
        <v>46</v>
      </c>
      <c r="G1016" s="4">
        <v>90291</v>
      </c>
      <c r="H1016" s="5" t="s">
        <v>728</v>
      </c>
      <c r="I1016" s="4">
        <v>0</v>
      </c>
      <c r="J1016" s="6">
        <v>44600</v>
      </c>
      <c r="K1016" t="str">
        <f t="shared" si="30"/>
        <v>Q1 2022</v>
      </c>
      <c r="L1016" t="str">
        <f t="shared" si="31"/>
        <v>Q1 2022</v>
      </c>
    </row>
    <row r="1017" spans="1:12" ht="15.75" customHeight="1" x14ac:dyDescent="0.3">
      <c r="A1017" s="2" t="s">
        <v>1515</v>
      </c>
      <c r="B1017" s="2" t="s">
        <v>11</v>
      </c>
      <c r="C1017" s="2" t="s">
        <v>12</v>
      </c>
      <c r="D1017" s="2" t="s">
        <v>1224</v>
      </c>
      <c r="E1017" s="2" t="s">
        <v>187</v>
      </c>
      <c r="F1017" s="2" t="s">
        <v>1516</v>
      </c>
      <c r="G1017" s="4">
        <v>74762</v>
      </c>
      <c r="H1017" s="6">
        <v>44986</v>
      </c>
      <c r="I1017" s="4">
        <v>0</v>
      </c>
      <c r="J1017" s="6">
        <v>44959</v>
      </c>
      <c r="K1017" t="str">
        <f t="shared" si="30"/>
        <v>Q1 2023</v>
      </c>
      <c r="L1017" t="str">
        <f t="shared" si="31"/>
        <v>Q1 2023</v>
      </c>
    </row>
    <row r="1018" spans="1:12" ht="15.75" customHeight="1" x14ac:dyDescent="0.3">
      <c r="A1018" s="2" t="s">
        <v>1517</v>
      </c>
      <c r="B1018" s="2" t="s">
        <v>11</v>
      </c>
      <c r="C1018" s="2" t="s">
        <v>12</v>
      </c>
      <c r="D1018" s="2" t="s">
        <v>1224</v>
      </c>
      <c r="E1018" s="2" t="s">
        <v>187</v>
      </c>
      <c r="F1018" s="2" t="s">
        <v>46</v>
      </c>
      <c r="G1018" s="4">
        <v>33645</v>
      </c>
      <c r="H1018" s="5" t="s">
        <v>25</v>
      </c>
      <c r="I1018" s="4">
        <v>0</v>
      </c>
      <c r="J1018" s="6">
        <v>44603</v>
      </c>
      <c r="K1018" t="str">
        <f t="shared" si="30"/>
        <v>Q1 2022</v>
      </c>
      <c r="L1018" t="str">
        <f t="shared" si="31"/>
        <v>Q1 2022</v>
      </c>
    </row>
    <row r="1019" spans="1:12" ht="15.75" customHeight="1" x14ac:dyDescent="0.3">
      <c r="A1019" s="2" t="s">
        <v>1518</v>
      </c>
      <c r="B1019" s="2" t="s">
        <v>11</v>
      </c>
      <c r="C1019" s="2" t="s">
        <v>12</v>
      </c>
      <c r="D1019" s="2" t="s">
        <v>1224</v>
      </c>
      <c r="E1019" s="2" t="s">
        <v>187</v>
      </c>
      <c r="F1019" s="2" t="s">
        <v>1519</v>
      </c>
      <c r="G1019" s="4">
        <v>67064</v>
      </c>
      <c r="H1019" s="5" t="s">
        <v>82</v>
      </c>
      <c r="I1019" s="4">
        <v>0</v>
      </c>
      <c r="J1019" s="6">
        <v>44596</v>
      </c>
      <c r="K1019" t="str">
        <f t="shared" si="30"/>
        <v>Q1 2022</v>
      </c>
      <c r="L1019" t="str">
        <f t="shared" si="31"/>
        <v>Q1 2022</v>
      </c>
    </row>
    <row r="1020" spans="1:12" ht="15.75" customHeight="1" x14ac:dyDescent="0.3">
      <c r="A1020" s="2" t="s">
        <v>1520</v>
      </c>
      <c r="B1020" s="2" t="s">
        <v>11</v>
      </c>
      <c r="C1020" s="2" t="s">
        <v>12</v>
      </c>
      <c r="D1020" s="2" t="s">
        <v>1224</v>
      </c>
      <c r="E1020" s="2" t="s">
        <v>187</v>
      </c>
      <c r="F1020" s="2" t="s">
        <v>46</v>
      </c>
      <c r="G1020" s="4">
        <v>52327</v>
      </c>
      <c r="H1020" s="6">
        <v>44298</v>
      </c>
      <c r="I1020" s="4">
        <v>0</v>
      </c>
      <c r="J1020" s="6">
        <v>44594</v>
      </c>
      <c r="K1020" t="str">
        <f t="shared" si="30"/>
        <v>Q1 2022</v>
      </c>
      <c r="L1020" t="str">
        <f t="shared" si="31"/>
        <v>Q1 2022</v>
      </c>
    </row>
    <row r="1021" spans="1:12" ht="15.75" customHeight="1" x14ac:dyDescent="0.3">
      <c r="A1021" s="2" t="s">
        <v>1521</v>
      </c>
      <c r="B1021" s="2" t="s">
        <v>11</v>
      </c>
      <c r="C1021" s="2" t="s">
        <v>12</v>
      </c>
      <c r="D1021" s="2" t="s">
        <v>1224</v>
      </c>
      <c r="E1021" s="2" t="s">
        <v>187</v>
      </c>
      <c r="F1021" s="2" t="s">
        <v>1522</v>
      </c>
      <c r="G1021" s="4">
        <v>61835</v>
      </c>
      <c r="H1021" s="6">
        <v>44629</v>
      </c>
      <c r="I1021" s="4">
        <v>0</v>
      </c>
      <c r="J1021" s="6">
        <v>44603</v>
      </c>
      <c r="K1021" t="str">
        <f t="shared" si="30"/>
        <v>Q1 2022</v>
      </c>
      <c r="L1021" t="str">
        <f t="shared" si="31"/>
        <v>Q1 2022</v>
      </c>
    </row>
    <row r="1022" spans="1:12" ht="15.75" customHeight="1" x14ac:dyDescent="0.3">
      <c r="A1022" s="2" t="s">
        <v>1523</v>
      </c>
      <c r="B1022" s="2" t="s">
        <v>11</v>
      </c>
      <c r="C1022" s="2" t="s">
        <v>12</v>
      </c>
      <c r="D1022" s="2" t="s">
        <v>1224</v>
      </c>
      <c r="E1022" s="2" t="s">
        <v>187</v>
      </c>
      <c r="F1022" s="2" t="s">
        <v>46</v>
      </c>
      <c r="G1022" s="4">
        <v>170893</v>
      </c>
      <c r="H1022" s="6">
        <v>44629</v>
      </c>
      <c r="I1022" s="4">
        <v>0</v>
      </c>
      <c r="J1022" s="6">
        <v>44603</v>
      </c>
      <c r="K1022" t="str">
        <f t="shared" si="30"/>
        <v>Q1 2022</v>
      </c>
      <c r="L1022" t="str">
        <f t="shared" si="31"/>
        <v>Q1 2022</v>
      </c>
    </row>
    <row r="1023" spans="1:12" ht="15.75" customHeight="1" x14ac:dyDescent="0.3">
      <c r="A1023" s="2" t="s">
        <v>1524</v>
      </c>
      <c r="B1023" s="2" t="s">
        <v>11</v>
      </c>
      <c r="C1023" s="2" t="s">
        <v>12</v>
      </c>
      <c r="D1023" s="2" t="s">
        <v>1224</v>
      </c>
      <c r="E1023" s="2" t="s">
        <v>187</v>
      </c>
      <c r="F1023" s="2" t="s">
        <v>46</v>
      </c>
      <c r="G1023" s="4">
        <v>107238</v>
      </c>
      <c r="H1023" s="6">
        <v>44239</v>
      </c>
      <c r="I1023" s="4">
        <v>0</v>
      </c>
      <c r="J1023" s="6">
        <v>44562</v>
      </c>
      <c r="K1023" t="str">
        <f t="shared" si="30"/>
        <v>Q1 2022</v>
      </c>
      <c r="L1023" t="str">
        <f t="shared" si="31"/>
        <v>Q1 2022</v>
      </c>
    </row>
    <row r="1024" spans="1:12" ht="15.75" customHeight="1" x14ac:dyDescent="0.3">
      <c r="A1024" s="2" t="s">
        <v>1525</v>
      </c>
      <c r="B1024" s="2" t="s">
        <v>11</v>
      </c>
      <c r="C1024" s="2" t="s">
        <v>12</v>
      </c>
      <c r="D1024" s="2" t="s">
        <v>1224</v>
      </c>
      <c r="E1024" s="2" t="s">
        <v>187</v>
      </c>
      <c r="F1024" s="2" t="s">
        <v>1526</v>
      </c>
      <c r="G1024" s="4">
        <v>113524</v>
      </c>
      <c r="H1024" s="5" t="s">
        <v>42</v>
      </c>
      <c r="I1024" s="4">
        <v>0</v>
      </c>
      <c r="J1024" s="6">
        <v>44603</v>
      </c>
      <c r="K1024" t="str">
        <f t="shared" si="30"/>
        <v>Q1 2022</v>
      </c>
      <c r="L1024" t="str">
        <f t="shared" si="31"/>
        <v>Q1 2022</v>
      </c>
    </row>
    <row r="1025" spans="1:12" ht="15.75" customHeight="1" x14ac:dyDescent="0.3">
      <c r="A1025" s="2" t="s">
        <v>1527</v>
      </c>
      <c r="B1025" s="2" t="s">
        <v>11</v>
      </c>
      <c r="C1025" s="2" t="s">
        <v>12</v>
      </c>
      <c r="D1025" s="2" t="s">
        <v>1224</v>
      </c>
      <c r="E1025" s="2" t="s">
        <v>187</v>
      </c>
      <c r="F1025" s="2" t="s">
        <v>46</v>
      </c>
      <c r="G1025" s="4">
        <v>23061</v>
      </c>
      <c r="H1025" s="5" t="s">
        <v>1394</v>
      </c>
      <c r="I1025" s="4">
        <v>0</v>
      </c>
      <c r="J1025" s="6">
        <v>44237</v>
      </c>
      <c r="K1025" t="str">
        <f t="shared" si="30"/>
        <v>Q1 2021</v>
      </c>
      <c r="L1025" t="str">
        <f t="shared" si="31"/>
        <v>Q1 2021</v>
      </c>
    </row>
    <row r="1026" spans="1:12" ht="15.75" customHeight="1" x14ac:dyDescent="0.3">
      <c r="A1026" s="2" t="s">
        <v>1528</v>
      </c>
      <c r="B1026" s="2" t="s">
        <v>11</v>
      </c>
      <c r="C1026" s="2" t="s">
        <v>12</v>
      </c>
      <c r="D1026" s="2" t="s">
        <v>1224</v>
      </c>
      <c r="E1026" s="2" t="s">
        <v>187</v>
      </c>
      <c r="F1026" s="2" t="s">
        <v>46</v>
      </c>
      <c r="G1026" s="4">
        <v>67783</v>
      </c>
      <c r="H1026" s="5" t="s">
        <v>71</v>
      </c>
      <c r="I1026" s="4">
        <v>0</v>
      </c>
      <c r="J1026" s="6">
        <v>44603</v>
      </c>
      <c r="K1026" t="str">
        <f t="shared" ref="K1026:K1089" si="32">"Q" &amp; ROUNDUP(MONTH(J:J)/3,0) &amp; " " &amp; YEAR(J:J)</f>
        <v>Q1 2022</v>
      </c>
      <c r="L1026" t="str">
        <f t="shared" ref="L1026:L1089" si="33">"Q" &amp; ROUNDUP(MONTH(J:J)/3,0) &amp; " " &amp; YEAR(J:J)</f>
        <v>Q1 2022</v>
      </c>
    </row>
    <row r="1027" spans="1:12" ht="15.75" customHeight="1" x14ac:dyDescent="0.3">
      <c r="A1027" s="2" t="s">
        <v>1529</v>
      </c>
      <c r="B1027" s="2" t="s">
        <v>11</v>
      </c>
      <c r="C1027" s="2" t="s">
        <v>12</v>
      </c>
      <c r="D1027" s="2" t="s">
        <v>1224</v>
      </c>
      <c r="E1027" s="2" t="s">
        <v>187</v>
      </c>
      <c r="F1027" s="2" t="s">
        <v>1530</v>
      </c>
      <c r="G1027" s="4">
        <v>32925</v>
      </c>
      <c r="H1027" s="5" t="s">
        <v>439</v>
      </c>
      <c r="I1027" s="4">
        <v>0</v>
      </c>
      <c r="J1027" s="6">
        <v>44598</v>
      </c>
      <c r="K1027" t="str">
        <f t="shared" si="32"/>
        <v>Q1 2022</v>
      </c>
      <c r="L1027" t="str">
        <f t="shared" si="33"/>
        <v>Q1 2022</v>
      </c>
    </row>
    <row r="1028" spans="1:12" ht="15.75" customHeight="1" x14ac:dyDescent="0.3">
      <c r="A1028" s="2" t="s">
        <v>1531</v>
      </c>
      <c r="B1028" s="2" t="s">
        <v>11</v>
      </c>
      <c r="C1028" s="2" t="s">
        <v>12</v>
      </c>
      <c r="D1028" s="2" t="s">
        <v>1224</v>
      </c>
      <c r="E1028" s="2" t="s">
        <v>187</v>
      </c>
      <c r="F1028" s="2" t="s">
        <v>46</v>
      </c>
      <c r="G1028" s="4">
        <v>74226</v>
      </c>
      <c r="H1028" s="5" t="s">
        <v>82</v>
      </c>
      <c r="I1028" s="4">
        <v>0</v>
      </c>
      <c r="J1028" s="6">
        <v>44596</v>
      </c>
      <c r="K1028" t="str">
        <f t="shared" si="32"/>
        <v>Q1 2022</v>
      </c>
      <c r="L1028" t="str">
        <f t="shared" si="33"/>
        <v>Q1 2022</v>
      </c>
    </row>
    <row r="1029" spans="1:12" ht="15.75" customHeight="1" x14ac:dyDescent="0.3">
      <c r="A1029" s="2" t="s">
        <v>1532</v>
      </c>
      <c r="B1029" s="2" t="s">
        <v>11</v>
      </c>
      <c r="C1029" s="2" t="s">
        <v>12</v>
      </c>
      <c r="D1029" s="2" t="s">
        <v>1224</v>
      </c>
      <c r="E1029" s="2" t="s">
        <v>187</v>
      </c>
      <c r="F1029" s="2" t="s">
        <v>46</v>
      </c>
      <c r="G1029" s="4">
        <v>43899</v>
      </c>
      <c r="H1029" s="5" t="s">
        <v>39</v>
      </c>
      <c r="I1029" s="4">
        <v>0</v>
      </c>
      <c r="J1029" s="6">
        <v>44603</v>
      </c>
      <c r="K1029" t="str">
        <f t="shared" si="32"/>
        <v>Q1 2022</v>
      </c>
      <c r="L1029" t="str">
        <f t="shared" si="33"/>
        <v>Q1 2022</v>
      </c>
    </row>
    <row r="1030" spans="1:12" ht="15.75" customHeight="1" x14ac:dyDescent="0.3">
      <c r="A1030" s="2" t="s">
        <v>1533</v>
      </c>
      <c r="B1030" s="2" t="s">
        <v>11</v>
      </c>
      <c r="C1030" s="2" t="s">
        <v>12</v>
      </c>
      <c r="D1030" s="2" t="s">
        <v>1224</v>
      </c>
      <c r="E1030" s="2" t="s">
        <v>1065</v>
      </c>
      <c r="F1030" s="2" t="s">
        <v>1534</v>
      </c>
      <c r="G1030" s="4">
        <v>45784</v>
      </c>
      <c r="H1030" s="6">
        <v>44629</v>
      </c>
      <c r="I1030" s="4">
        <v>0</v>
      </c>
      <c r="J1030" s="6">
        <v>44603</v>
      </c>
      <c r="K1030" t="str">
        <f t="shared" si="32"/>
        <v>Q1 2022</v>
      </c>
      <c r="L1030" t="str">
        <f t="shared" si="33"/>
        <v>Q1 2022</v>
      </c>
    </row>
    <row r="1031" spans="1:12" ht="15.75" customHeight="1" x14ac:dyDescent="0.3">
      <c r="A1031" s="2" t="s">
        <v>1535</v>
      </c>
      <c r="B1031" s="2" t="s">
        <v>11</v>
      </c>
      <c r="C1031" s="2" t="s">
        <v>12</v>
      </c>
      <c r="D1031" s="2" t="s">
        <v>1224</v>
      </c>
      <c r="E1031" s="2" t="s">
        <v>187</v>
      </c>
      <c r="F1031" s="2" t="s">
        <v>46</v>
      </c>
      <c r="G1031" s="4">
        <v>32925</v>
      </c>
      <c r="H1031" s="5" t="s">
        <v>309</v>
      </c>
      <c r="I1031" s="4">
        <v>0</v>
      </c>
      <c r="J1031" s="6">
        <v>44594</v>
      </c>
      <c r="K1031" t="str">
        <f t="shared" si="32"/>
        <v>Q1 2022</v>
      </c>
      <c r="L1031" t="str">
        <f t="shared" si="33"/>
        <v>Q1 2022</v>
      </c>
    </row>
    <row r="1032" spans="1:12" ht="15.75" customHeight="1" x14ac:dyDescent="0.3">
      <c r="A1032" s="2" t="s">
        <v>1536</v>
      </c>
      <c r="B1032" s="2" t="s">
        <v>11</v>
      </c>
      <c r="C1032" s="2" t="s">
        <v>12</v>
      </c>
      <c r="D1032" s="2" t="s">
        <v>1224</v>
      </c>
      <c r="E1032" s="2" t="s">
        <v>187</v>
      </c>
      <c r="F1032" s="2" t="s">
        <v>580</v>
      </c>
      <c r="G1032" s="4">
        <v>118645</v>
      </c>
      <c r="H1032" s="5" t="s">
        <v>25</v>
      </c>
      <c r="I1032" s="4">
        <v>0</v>
      </c>
      <c r="J1032" s="6">
        <v>44603</v>
      </c>
      <c r="K1032" t="str">
        <f t="shared" si="32"/>
        <v>Q1 2022</v>
      </c>
      <c r="L1032" t="str">
        <f t="shared" si="33"/>
        <v>Q1 2022</v>
      </c>
    </row>
    <row r="1033" spans="1:12" ht="15.75" customHeight="1" x14ac:dyDescent="0.3">
      <c r="A1033" s="2" t="s">
        <v>1537</v>
      </c>
      <c r="B1033" s="2" t="s">
        <v>11</v>
      </c>
      <c r="C1033" s="2" t="s">
        <v>12</v>
      </c>
      <c r="D1033" s="2" t="s">
        <v>1224</v>
      </c>
      <c r="E1033" s="2" t="s">
        <v>187</v>
      </c>
      <c r="F1033" s="2" t="s">
        <v>46</v>
      </c>
      <c r="G1033" s="4">
        <v>24240</v>
      </c>
      <c r="H1033" s="5" t="s">
        <v>42</v>
      </c>
      <c r="I1033" s="4">
        <v>0</v>
      </c>
      <c r="J1033" s="6">
        <v>44603</v>
      </c>
      <c r="K1033" t="str">
        <f t="shared" si="32"/>
        <v>Q1 2022</v>
      </c>
      <c r="L1033" t="str">
        <f t="shared" si="33"/>
        <v>Q1 2022</v>
      </c>
    </row>
    <row r="1034" spans="1:12" ht="15.75" customHeight="1" x14ac:dyDescent="0.3">
      <c r="A1034" s="2" t="s">
        <v>1538</v>
      </c>
      <c r="B1034" s="2" t="s">
        <v>11</v>
      </c>
      <c r="C1034" s="2" t="s">
        <v>12</v>
      </c>
      <c r="D1034" s="2" t="s">
        <v>1224</v>
      </c>
      <c r="E1034" s="2" t="s">
        <v>187</v>
      </c>
      <c r="F1034" s="2" t="s">
        <v>580</v>
      </c>
      <c r="G1034" s="2"/>
      <c r="H1034" s="6">
        <v>44624</v>
      </c>
      <c r="I1034" s="4">
        <v>0</v>
      </c>
      <c r="J1034" s="6">
        <v>44598</v>
      </c>
      <c r="K1034" t="str">
        <f t="shared" si="32"/>
        <v>Q1 2022</v>
      </c>
      <c r="L1034" t="str">
        <f t="shared" si="33"/>
        <v>Q1 2022</v>
      </c>
    </row>
    <row r="1035" spans="1:12" ht="15.75" customHeight="1" x14ac:dyDescent="0.3">
      <c r="A1035" s="2" t="s">
        <v>1539</v>
      </c>
      <c r="B1035" s="2" t="s">
        <v>11</v>
      </c>
      <c r="C1035" s="2" t="s">
        <v>12</v>
      </c>
      <c r="D1035" s="2" t="s">
        <v>1224</v>
      </c>
      <c r="E1035" s="2" t="s">
        <v>187</v>
      </c>
      <c r="F1035" s="2" t="s">
        <v>46</v>
      </c>
      <c r="G1035" s="4">
        <v>135026</v>
      </c>
      <c r="H1035" s="5" t="s">
        <v>71</v>
      </c>
      <c r="I1035" s="4">
        <v>0</v>
      </c>
      <c r="J1035" s="6">
        <v>44603</v>
      </c>
      <c r="K1035" t="str">
        <f t="shared" si="32"/>
        <v>Q1 2022</v>
      </c>
      <c r="L1035" t="str">
        <f t="shared" si="33"/>
        <v>Q1 2022</v>
      </c>
    </row>
    <row r="1036" spans="1:12" ht="15.75" customHeight="1" x14ac:dyDescent="0.3">
      <c r="A1036" s="2" t="s">
        <v>1540</v>
      </c>
      <c r="B1036" s="2" t="s">
        <v>11</v>
      </c>
      <c r="C1036" s="2" t="s">
        <v>12</v>
      </c>
      <c r="D1036" s="2" t="s">
        <v>1224</v>
      </c>
      <c r="E1036" s="2" t="s">
        <v>187</v>
      </c>
      <c r="F1036" s="2" t="s">
        <v>46</v>
      </c>
      <c r="G1036" s="4">
        <v>80088</v>
      </c>
      <c r="H1036" s="5" t="s">
        <v>333</v>
      </c>
      <c r="I1036" s="4">
        <v>0</v>
      </c>
      <c r="J1036" s="6">
        <v>44598</v>
      </c>
      <c r="K1036" t="str">
        <f t="shared" si="32"/>
        <v>Q1 2022</v>
      </c>
      <c r="L1036" t="str">
        <f t="shared" si="33"/>
        <v>Q1 2022</v>
      </c>
    </row>
    <row r="1037" spans="1:12" ht="15.75" customHeight="1" x14ac:dyDescent="0.3">
      <c r="A1037" s="2" t="s">
        <v>1541</v>
      </c>
      <c r="B1037" s="2" t="s">
        <v>11</v>
      </c>
      <c r="C1037" s="2" t="s">
        <v>12</v>
      </c>
      <c r="D1037" s="2" t="s">
        <v>1224</v>
      </c>
      <c r="E1037" s="2" t="s">
        <v>187</v>
      </c>
      <c r="F1037" s="2" t="s">
        <v>46</v>
      </c>
      <c r="G1037" s="2"/>
      <c r="H1037" s="5" t="s">
        <v>30</v>
      </c>
      <c r="I1037" s="4">
        <v>0</v>
      </c>
      <c r="J1037" s="6">
        <v>44603</v>
      </c>
      <c r="K1037" t="str">
        <f t="shared" si="32"/>
        <v>Q1 2022</v>
      </c>
      <c r="L1037" t="str">
        <f t="shared" si="33"/>
        <v>Q1 2022</v>
      </c>
    </row>
    <row r="1038" spans="1:12" ht="15.75" customHeight="1" x14ac:dyDescent="0.3">
      <c r="A1038" s="2" t="s">
        <v>1542</v>
      </c>
      <c r="B1038" s="2" t="s">
        <v>11</v>
      </c>
      <c r="C1038" s="2" t="s">
        <v>12</v>
      </c>
      <c r="D1038" s="2" t="s">
        <v>1224</v>
      </c>
      <c r="E1038" s="2" t="s">
        <v>187</v>
      </c>
      <c r="F1038" s="2" t="s">
        <v>46</v>
      </c>
      <c r="G1038" s="4">
        <v>96610</v>
      </c>
      <c r="H1038" s="6">
        <v>44630</v>
      </c>
      <c r="I1038" s="4">
        <v>0</v>
      </c>
      <c r="J1038" s="6">
        <v>44603</v>
      </c>
      <c r="K1038" t="str">
        <f t="shared" si="32"/>
        <v>Q1 2022</v>
      </c>
      <c r="L1038" t="str">
        <f t="shared" si="33"/>
        <v>Q1 2022</v>
      </c>
    </row>
    <row r="1039" spans="1:12" ht="15.75" customHeight="1" x14ac:dyDescent="0.3">
      <c r="A1039" s="2" t="s">
        <v>1543</v>
      </c>
      <c r="B1039" s="2" t="s">
        <v>11</v>
      </c>
      <c r="C1039" s="2" t="s">
        <v>12</v>
      </c>
      <c r="D1039" s="2" t="s">
        <v>1224</v>
      </c>
      <c r="E1039" s="2" t="s">
        <v>187</v>
      </c>
      <c r="F1039" s="2" t="s">
        <v>46</v>
      </c>
      <c r="G1039" s="4">
        <v>99320</v>
      </c>
      <c r="H1039" s="5" t="s">
        <v>192</v>
      </c>
      <c r="I1039" s="4">
        <v>0</v>
      </c>
      <c r="J1039" s="6">
        <v>44595</v>
      </c>
      <c r="K1039" t="str">
        <f t="shared" si="32"/>
        <v>Q1 2022</v>
      </c>
      <c r="L1039" t="str">
        <f t="shared" si="33"/>
        <v>Q1 2022</v>
      </c>
    </row>
    <row r="1040" spans="1:12" ht="15.75" customHeight="1" x14ac:dyDescent="0.3">
      <c r="A1040" s="2" t="s">
        <v>1544</v>
      </c>
      <c r="B1040" s="2" t="s">
        <v>11</v>
      </c>
      <c r="C1040" s="2" t="s">
        <v>12</v>
      </c>
      <c r="D1040" s="2" t="s">
        <v>1224</v>
      </c>
      <c r="E1040" s="2" t="s">
        <v>187</v>
      </c>
      <c r="F1040" s="2" t="s">
        <v>46</v>
      </c>
      <c r="G1040" s="4">
        <v>143573</v>
      </c>
      <c r="H1040" s="5" t="s">
        <v>42</v>
      </c>
      <c r="I1040" s="4">
        <v>0</v>
      </c>
      <c r="J1040" s="6">
        <v>44603</v>
      </c>
      <c r="K1040" t="str">
        <f t="shared" si="32"/>
        <v>Q1 2022</v>
      </c>
      <c r="L1040" t="str">
        <f t="shared" si="33"/>
        <v>Q1 2022</v>
      </c>
    </row>
    <row r="1041" spans="1:12" ht="15.75" customHeight="1" x14ac:dyDescent="0.3">
      <c r="A1041" s="2" t="s">
        <v>1545</v>
      </c>
      <c r="B1041" s="2" t="s">
        <v>11</v>
      </c>
      <c r="C1041" s="2" t="s">
        <v>12</v>
      </c>
      <c r="D1041" s="2" t="s">
        <v>1224</v>
      </c>
      <c r="E1041" s="2" t="s">
        <v>187</v>
      </c>
      <c r="F1041" s="2" t="s">
        <v>46</v>
      </c>
      <c r="G1041" s="4">
        <v>79321</v>
      </c>
      <c r="H1041" s="6">
        <v>44630</v>
      </c>
      <c r="I1041" s="4">
        <v>0</v>
      </c>
      <c r="J1041" s="6">
        <v>44603</v>
      </c>
      <c r="K1041" t="str">
        <f t="shared" si="32"/>
        <v>Q1 2022</v>
      </c>
      <c r="L1041" t="str">
        <f t="shared" si="33"/>
        <v>Q1 2022</v>
      </c>
    </row>
    <row r="1042" spans="1:12" ht="15.75" customHeight="1" x14ac:dyDescent="0.3">
      <c r="A1042" s="2" t="s">
        <v>1546</v>
      </c>
      <c r="B1042" s="2" t="s">
        <v>11</v>
      </c>
      <c r="C1042" s="2" t="s">
        <v>12</v>
      </c>
      <c r="D1042" s="2" t="s">
        <v>1224</v>
      </c>
      <c r="E1042" s="2" t="s">
        <v>187</v>
      </c>
      <c r="F1042" s="2" t="s">
        <v>46</v>
      </c>
      <c r="G1042" s="4">
        <v>101400</v>
      </c>
      <c r="H1042" s="6">
        <v>44899</v>
      </c>
      <c r="I1042" s="4">
        <v>0</v>
      </c>
      <c r="J1042" s="6">
        <v>44597</v>
      </c>
      <c r="K1042" t="str">
        <f t="shared" si="32"/>
        <v>Q1 2022</v>
      </c>
      <c r="L1042" t="str">
        <f t="shared" si="33"/>
        <v>Q1 2022</v>
      </c>
    </row>
    <row r="1043" spans="1:12" ht="15.75" customHeight="1" x14ac:dyDescent="0.3">
      <c r="A1043" s="2" t="s">
        <v>1547</v>
      </c>
      <c r="B1043" s="2" t="s">
        <v>11</v>
      </c>
      <c r="C1043" s="2" t="s">
        <v>12</v>
      </c>
      <c r="D1043" s="2" t="s">
        <v>1224</v>
      </c>
      <c r="E1043" s="2" t="s">
        <v>187</v>
      </c>
      <c r="F1043" s="2" t="s">
        <v>46</v>
      </c>
      <c r="G1043" s="4">
        <v>49626</v>
      </c>
      <c r="H1043" s="5" t="s">
        <v>232</v>
      </c>
      <c r="I1043" s="4">
        <v>0</v>
      </c>
      <c r="J1043" s="6">
        <v>44594</v>
      </c>
      <c r="K1043" t="str">
        <f t="shared" si="32"/>
        <v>Q1 2022</v>
      </c>
      <c r="L1043" t="str">
        <f t="shared" si="33"/>
        <v>Q1 2022</v>
      </c>
    </row>
    <row r="1044" spans="1:12" ht="15.75" customHeight="1" x14ac:dyDescent="0.3">
      <c r="A1044" s="2" t="s">
        <v>1548</v>
      </c>
      <c r="B1044" s="2" t="s">
        <v>20</v>
      </c>
      <c r="C1044" s="2" t="s">
        <v>21</v>
      </c>
      <c r="D1044" s="2" t="s">
        <v>1224</v>
      </c>
      <c r="E1044" s="2" t="s">
        <v>187</v>
      </c>
      <c r="F1044" s="2" t="s">
        <v>1549</v>
      </c>
      <c r="G1044" s="4">
        <v>28516</v>
      </c>
      <c r="H1044" s="7">
        <v>44875</v>
      </c>
      <c r="I1044" s="4">
        <v>14258</v>
      </c>
      <c r="J1044" s="5" t="s">
        <v>36</v>
      </c>
      <c r="K1044" t="str">
        <f t="shared" si="32"/>
        <v>Q4 2022</v>
      </c>
      <c r="L1044" t="str">
        <f t="shared" si="33"/>
        <v>Q4 2022</v>
      </c>
    </row>
    <row r="1045" spans="1:12" ht="15.75" customHeight="1" x14ac:dyDescent="0.3">
      <c r="A1045" s="2" t="s">
        <v>1550</v>
      </c>
      <c r="B1045" s="2" t="s">
        <v>11</v>
      </c>
      <c r="C1045" s="2" t="s">
        <v>12</v>
      </c>
      <c r="D1045" s="2" t="s">
        <v>1551</v>
      </c>
      <c r="E1045" s="2" t="s">
        <v>1052</v>
      </c>
      <c r="F1045" s="2" t="s">
        <v>1552</v>
      </c>
      <c r="G1045" s="2"/>
      <c r="H1045" s="5" t="s">
        <v>42</v>
      </c>
      <c r="I1045" s="4">
        <v>0</v>
      </c>
      <c r="J1045" s="6">
        <v>44603</v>
      </c>
      <c r="K1045" t="str">
        <f t="shared" si="32"/>
        <v>Q1 2022</v>
      </c>
      <c r="L1045" t="str">
        <f t="shared" si="33"/>
        <v>Q1 2022</v>
      </c>
    </row>
    <row r="1046" spans="1:12" ht="15.75" customHeight="1" x14ac:dyDescent="0.3">
      <c r="A1046" s="2" t="s">
        <v>1553</v>
      </c>
      <c r="B1046" s="2" t="s">
        <v>20</v>
      </c>
      <c r="C1046" s="2" t="s">
        <v>21</v>
      </c>
      <c r="D1046" s="2" t="s">
        <v>1551</v>
      </c>
      <c r="E1046" s="2" t="s">
        <v>1052</v>
      </c>
      <c r="F1046" s="2" t="s">
        <v>1554</v>
      </c>
      <c r="G1046" s="4">
        <v>65099</v>
      </c>
      <c r="H1046" s="5" t="s">
        <v>1555</v>
      </c>
      <c r="I1046" s="4">
        <v>32549</v>
      </c>
      <c r="J1046" s="5" t="s">
        <v>210</v>
      </c>
      <c r="K1046" t="str">
        <f t="shared" si="32"/>
        <v>Q4 2022</v>
      </c>
      <c r="L1046" t="str">
        <f t="shared" si="33"/>
        <v>Q4 2022</v>
      </c>
    </row>
    <row r="1047" spans="1:12" ht="15.75" customHeight="1" x14ac:dyDescent="0.3">
      <c r="A1047" s="2" t="s">
        <v>1556</v>
      </c>
      <c r="B1047" s="2" t="s">
        <v>20</v>
      </c>
      <c r="C1047" s="2" t="s">
        <v>57</v>
      </c>
      <c r="D1047" s="2" t="s">
        <v>1551</v>
      </c>
      <c r="E1047" s="2" t="s">
        <v>1052</v>
      </c>
      <c r="F1047" s="2" t="s">
        <v>1557</v>
      </c>
      <c r="G1047" s="4">
        <v>324022</v>
      </c>
      <c r="H1047" s="5" t="s">
        <v>1558</v>
      </c>
      <c r="I1047" s="4">
        <v>54004</v>
      </c>
      <c r="J1047" s="5" t="s">
        <v>36</v>
      </c>
      <c r="K1047" t="str">
        <f t="shared" si="32"/>
        <v>Q4 2022</v>
      </c>
      <c r="L1047" t="str">
        <f t="shared" si="33"/>
        <v>Q4 2022</v>
      </c>
    </row>
    <row r="1048" spans="1:12" ht="15.75" customHeight="1" x14ac:dyDescent="0.3">
      <c r="A1048" s="2" t="s">
        <v>1559</v>
      </c>
      <c r="B1048" s="2" t="s">
        <v>11</v>
      </c>
      <c r="C1048" s="2" t="s">
        <v>12</v>
      </c>
      <c r="D1048" s="2" t="s">
        <v>1551</v>
      </c>
      <c r="E1048" s="2" t="s">
        <v>1052</v>
      </c>
      <c r="F1048" s="2" t="s">
        <v>1093</v>
      </c>
      <c r="G1048" s="4">
        <v>33520</v>
      </c>
      <c r="H1048" s="5" t="s">
        <v>42</v>
      </c>
      <c r="I1048" s="4">
        <v>0</v>
      </c>
      <c r="J1048" s="6">
        <v>44603</v>
      </c>
      <c r="K1048" t="str">
        <f t="shared" si="32"/>
        <v>Q1 2022</v>
      </c>
      <c r="L1048" t="str">
        <f t="shared" si="33"/>
        <v>Q1 2022</v>
      </c>
    </row>
    <row r="1049" spans="1:12" ht="15.75" customHeight="1" x14ac:dyDescent="0.3">
      <c r="A1049" s="2" t="s">
        <v>1560</v>
      </c>
      <c r="B1049" s="2" t="s">
        <v>20</v>
      </c>
      <c r="C1049" s="2" t="s">
        <v>12</v>
      </c>
      <c r="D1049" s="2" t="s">
        <v>1551</v>
      </c>
      <c r="E1049" s="2" t="s">
        <v>1052</v>
      </c>
      <c r="F1049" s="2" t="s">
        <v>1561</v>
      </c>
      <c r="G1049" s="4">
        <v>45775</v>
      </c>
      <c r="H1049" s="5" t="s">
        <v>1562</v>
      </c>
      <c r="I1049" s="8">
        <v>22888</v>
      </c>
      <c r="J1049" s="5" t="s">
        <v>301</v>
      </c>
      <c r="K1049" t="str">
        <f t="shared" si="32"/>
        <v>Q4 2022</v>
      </c>
      <c r="L1049" t="str">
        <f t="shared" si="33"/>
        <v>Q4 2022</v>
      </c>
    </row>
    <row r="1050" spans="1:12" ht="15.75" customHeight="1" x14ac:dyDescent="0.3">
      <c r="A1050" s="2" t="s">
        <v>1563</v>
      </c>
      <c r="B1050" s="2" t="s">
        <v>11</v>
      </c>
      <c r="C1050" s="2" t="s">
        <v>12</v>
      </c>
      <c r="D1050" s="2" t="s">
        <v>1551</v>
      </c>
      <c r="E1050" s="2" t="s">
        <v>1075</v>
      </c>
      <c r="F1050" s="2" t="s">
        <v>1564</v>
      </c>
      <c r="G1050" s="2"/>
      <c r="H1050" s="5" t="s">
        <v>463</v>
      </c>
      <c r="I1050" s="4">
        <v>0</v>
      </c>
      <c r="J1050" s="6">
        <v>44599</v>
      </c>
      <c r="K1050" t="str">
        <f t="shared" si="32"/>
        <v>Q1 2022</v>
      </c>
      <c r="L1050" t="str">
        <f t="shared" si="33"/>
        <v>Q1 2022</v>
      </c>
    </row>
    <row r="1051" spans="1:12" ht="15.75" customHeight="1" x14ac:dyDescent="0.3">
      <c r="A1051" s="2" t="s">
        <v>1565</v>
      </c>
      <c r="B1051" s="2" t="s">
        <v>20</v>
      </c>
      <c r="C1051" s="2" t="s">
        <v>57</v>
      </c>
      <c r="D1051" s="2" t="s">
        <v>1551</v>
      </c>
      <c r="E1051" s="2" t="s">
        <v>1052</v>
      </c>
      <c r="F1051" s="2" t="s">
        <v>1566</v>
      </c>
      <c r="G1051" s="4">
        <v>93814</v>
      </c>
      <c r="H1051" s="6">
        <v>44809</v>
      </c>
      <c r="I1051" s="4">
        <v>46907</v>
      </c>
      <c r="J1051" s="6">
        <v>44779</v>
      </c>
      <c r="K1051" t="str">
        <f t="shared" si="32"/>
        <v>Q3 2022</v>
      </c>
      <c r="L1051" t="str">
        <f t="shared" si="33"/>
        <v>Q3 2022</v>
      </c>
    </row>
    <row r="1052" spans="1:12" ht="15.75" customHeight="1" x14ac:dyDescent="0.3">
      <c r="A1052" s="2" t="s">
        <v>1567</v>
      </c>
      <c r="B1052" s="2" t="s">
        <v>20</v>
      </c>
      <c r="C1052" s="2" t="s">
        <v>57</v>
      </c>
      <c r="D1052" s="2" t="s">
        <v>1551</v>
      </c>
      <c r="E1052" s="2" t="s">
        <v>1052</v>
      </c>
      <c r="F1052" s="2" t="s">
        <v>1568</v>
      </c>
      <c r="G1052" s="4">
        <v>118364</v>
      </c>
      <c r="H1052" s="5" t="s">
        <v>209</v>
      </c>
      <c r="I1052" s="4">
        <v>59182</v>
      </c>
      <c r="J1052" s="5" t="s">
        <v>210</v>
      </c>
      <c r="K1052" t="str">
        <f t="shared" si="32"/>
        <v>Q4 2022</v>
      </c>
      <c r="L1052" t="str">
        <f t="shared" si="33"/>
        <v>Q4 2022</v>
      </c>
    </row>
    <row r="1053" spans="1:12" ht="15.75" customHeight="1" x14ac:dyDescent="0.3">
      <c r="A1053" s="2" t="s">
        <v>1569</v>
      </c>
      <c r="B1053" s="2" t="s">
        <v>11</v>
      </c>
      <c r="C1053" s="2" t="s">
        <v>12</v>
      </c>
      <c r="D1053" s="2" t="s">
        <v>1551</v>
      </c>
      <c r="E1053" s="2" t="s">
        <v>1075</v>
      </c>
      <c r="F1053" s="2" t="s">
        <v>1570</v>
      </c>
      <c r="G1053" s="2"/>
      <c r="H1053" s="6">
        <v>44626</v>
      </c>
      <c r="I1053" s="4">
        <v>0</v>
      </c>
      <c r="J1053" s="5" t="s">
        <v>513</v>
      </c>
      <c r="K1053" t="str">
        <f t="shared" si="32"/>
        <v>Q2 2022</v>
      </c>
      <c r="L1053" t="str">
        <f t="shared" si="33"/>
        <v>Q2 2022</v>
      </c>
    </row>
    <row r="1054" spans="1:12" ht="15.75" customHeight="1" x14ac:dyDescent="0.3">
      <c r="A1054" s="2" t="s">
        <v>1571</v>
      </c>
      <c r="B1054" s="2" t="s">
        <v>20</v>
      </c>
      <c r="C1054" s="2" t="s">
        <v>12</v>
      </c>
      <c r="D1054" s="2" t="s">
        <v>1551</v>
      </c>
      <c r="E1054" s="2" t="s">
        <v>1052</v>
      </c>
      <c r="F1054" s="2" t="s">
        <v>1572</v>
      </c>
      <c r="G1054" s="4">
        <v>174750</v>
      </c>
      <c r="H1054" s="5" t="s">
        <v>1573</v>
      </c>
      <c r="I1054" s="8">
        <v>10922</v>
      </c>
      <c r="J1054" s="5" t="s">
        <v>1574</v>
      </c>
      <c r="K1054" t="str">
        <f t="shared" si="32"/>
        <v>Q4 2022</v>
      </c>
      <c r="L1054" t="str">
        <f t="shared" si="33"/>
        <v>Q4 2022</v>
      </c>
    </row>
    <row r="1055" spans="1:12" ht="15.75" customHeight="1" x14ac:dyDescent="0.3">
      <c r="A1055" s="2" t="s">
        <v>1575</v>
      </c>
      <c r="B1055" s="2" t="s">
        <v>20</v>
      </c>
      <c r="C1055" s="2" t="s">
        <v>57</v>
      </c>
      <c r="D1055" s="2" t="s">
        <v>1551</v>
      </c>
      <c r="E1055" s="2" t="s">
        <v>1052</v>
      </c>
      <c r="F1055" s="2" t="s">
        <v>1576</v>
      </c>
      <c r="G1055" s="4">
        <v>45792</v>
      </c>
      <c r="H1055" s="6">
        <v>44874</v>
      </c>
      <c r="I1055" s="4">
        <v>4163</v>
      </c>
      <c r="J1055" s="5" t="s">
        <v>36</v>
      </c>
      <c r="K1055" t="str">
        <f t="shared" si="32"/>
        <v>Q4 2022</v>
      </c>
      <c r="L1055" t="str">
        <f t="shared" si="33"/>
        <v>Q4 2022</v>
      </c>
    </row>
    <row r="1056" spans="1:12" ht="15.75" customHeight="1" x14ac:dyDescent="0.3">
      <c r="A1056" s="2" t="s">
        <v>1577</v>
      </c>
      <c r="B1056" s="2" t="s">
        <v>11</v>
      </c>
      <c r="C1056" s="2" t="s">
        <v>12</v>
      </c>
      <c r="D1056" s="2" t="s">
        <v>1551</v>
      </c>
      <c r="E1056" s="2" t="s">
        <v>1052</v>
      </c>
      <c r="F1056" s="2" t="s">
        <v>1148</v>
      </c>
      <c r="G1056" s="2"/>
      <c r="H1056" s="6">
        <v>44719</v>
      </c>
      <c r="I1056" s="4">
        <v>0</v>
      </c>
      <c r="J1056" s="6">
        <v>44689</v>
      </c>
      <c r="K1056" t="str">
        <f t="shared" si="32"/>
        <v>Q2 2022</v>
      </c>
      <c r="L1056" t="str">
        <f t="shared" si="33"/>
        <v>Q2 2022</v>
      </c>
    </row>
    <row r="1057" spans="1:12" ht="15.75" customHeight="1" x14ac:dyDescent="0.3">
      <c r="A1057" s="2" t="s">
        <v>1578</v>
      </c>
      <c r="B1057" s="2" t="s">
        <v>11</v>
      </c>
      <c r="C1057" s="2" t="s">
        <v>12</v>
      </c>
      <c r="D1057" s="2" t="s">
        <v>1551</v>
      </c>
      <c r="E1057" s="2" t="s">
        <v>1052</v>
      </c>
      <c r="F1057" s="2" t="s">
        <v>1579</v>
      </c>
      <c r="G1057" s="4">
        <v>35470</v>
      </c>
      <c r="H1057" s="5" t="s">
        <v>333</v>
      </c>
      <c r="I1057" s="4">
        <v>0</v>
      </c>
      <c r="J1057" s="6">
        <v>44598</v>
      </c>
      <c r="K1057" t="str">
        <f t="shared" si="32"/>
        <v>Q1 2022</v>
      </c>
      <c r="L1057" t="str">
        <f t="shared" si="33"/>
        <v>Q1 2022</v>
      </c>
    </row>
    <row r="1058" spans="1:12" ht="15.75" customHeight="1" x14ac:dyDescent="0.3">
      <c r="A1058" s="2" t="s">
        <v>1580</v>
      </c>
      <c r="B1058" s="2" t="s">
        <v>20</v>
      </c>
      <c r="C1058" s="2" t="s">
        <v>57</v>
      </c>
      <c r="D1058" s="2" t="s">
        <v>1551</v>
      </c>
      <c r="E1058" s="2" t="s">
        <v>1052</v>
      </c>
      <c r="F1058" s="2" t="s">
        <v>1557</v>
      </c>
      <c r="G1058" s="4">
        <v>141076</v>
      </c>
      <c r="H1058" s="6">
        <v>44746</v>
      </c>
      <c r="I1058" s="4">
        <v>10077</v>
      </c>
      <c r="J1058" s="5" t="s">
        <v>1067</v>
      </c>
      <c r="K1058" t="str">
        <f t="shared" si="32"/>
        <v>Q2 2022</v>
      </c>
      <c r="L1058" t="str">
        <f t="shared" si="33"/>
        <v>Q2 2022</v>
      </c>
    </row>
    <row r="1059" spans="1:12" ht="15.75" customHeight="1" x14ac:dyDescent="0.3">
      <c r="A1059" s="2" t="s">
        <v>1581</v>
      </c>
      <c r="B1059" s="2" t="s">
        <v>11</v>
      </c>
      <c r="C1059" s="2" t="s">
        <v>12</v>
      </c>
      <c r="D1059" s="2" t="s">
        <v>1551</v>
      </c>
      <c r="E1059" s="2" t="s">
        <v>1052</v>
      </c>
      <c r="F1059" s="2" t="s">
        <v>1582</v>
      </c>
      <c r="G1059" s="4">
        <v>56390</v>
      </c>
      <c r="H1059" s="5" t="s">
        <v>30</v>
      </c>
      <c r="I1059" s="4">
        <v>0</v>
      </c>
      <c r="J1059" s="6">
        <v>44603</v>
      </c>
      <c r="K1059" t="str">
        <f t="shared" si="32"/>
        <v>Q1 2022</v>
      </c>
      <c r="L1059" t="str">
        <f t="shared" si="33"/>
        <v>Q1 2022</v>
      </c>
    </row>
    <row r="1060" spans="1:12" ht="15.75" customHeight="1" x14ac:dyDescent="0.3">
      <c r="A1060" s="2" t="s">
        <v>1583</v>
      </c>
      <c r="B1060" s="2" t="s">
        <v>20</v>
      </c>
      <c r="C1060" s="2" t="s">
        <v>57</v>
      </c>
      <c r="D1060" s="2" t="s">
        <v>1551</v>
      </c>
      <c r="E1060" s="2" t="s">
        <v>1052</v>
      </c>
      <c r="F1060" s="2" t="s">
        <v>1584</v>
      </c>
      <c r="G1060" s="4">
        <v>69302</v>
      </c>
      <c r="H1060" s="5" t="s">
        <v>1132</v>
      </c>
      <c r="I1060" s="4">
        <v>34651</v>
      </c>
      <c r="J1060" s="6">
        <v>44692</v>
      </c>
      <c r="K1060" t="str">
        <f t="shared" si="32"/>
        <v>Q2 2022</v>
      </c>
      <c r="L1060" t="str">
        <f t="shared" si="33"/>
        <v>Q2 2022</v>
      </c>
    </row>
    <row r="1061" spans="1:12" ht="15.75" customHeight="1" x14ac:dyDescent="0.3">
      <c r="A1061" s="2" t="s">
        <v>1585</v>
      </c>
      <c r="B1061" s="2" t="s">
        <v>20</v>
      </c>
      <c r="C1061" s="2" t="s">
        <v>57</v>
      </c>
      <c r="D1061" s="2" t="s">
        <v>1551</v>
      </c>
      <c r="E1061" s="2" t="s">
        <v>1052</v>
      </c>
      <c r="F1061" s="2" t="s">
        <v>1586</v>
      </c>
      <c r="G1061" s="4">
        <v>103226</v>
      </c>
      <c r="H1061" s="6">
        <v>44904</v>
      </c>
      <c r="I1061" s="4">
        <v>51613</v>
      </c>
      <c r="J1061" s="7">
        <v>44876</v>
      </c>
      <c r="K1061" t="str">
        <f t="shared" si="32"/>
        <v>Q4 2022</v>
      </c>
      <c r="L1061" t="str">
        <f t="shared" si="33"/>
        <v>Q4 2022</v>
      </c>
    </row>
    <row r="1062" spans="1:12" ht="15.75" customHeight="1" x14ac:dyDescent="0.3">
      <c r="A1062" s="2" t="s">
        <v>1587</v>
      </c>
      <c r="B1062" s="2" t="s">
        <v>20</v>
      </c>
      <c r="C1062" s="2" t="s">
        <v>21</v>
      </c>
      <c r="D1062" s="2" t="s">
        <v>1551</v>
      </c>
      <c r="E1062" s="2" t="s">
        <v>1052</v>
      </c>
      <c r="F1062" s="2" t="s">
        <v>1138</v>
      </c>
      <c r="G1062" s="4">
        <v>51098</v>
      </c>
      <c r="H1062" s="5" t="s">
        <v>1588</v>
      </c>
      <c r="I1062" s="4">
        <v>25549</v>
      </c>
      <c r="J1062" s="5" t="s">
        <v>261</v>
      </c>
      <c r="K1062" t="str">
        <f t="shared" si="32"/>
        <v>Q2 2022</v>
      </c>
      <c r="L1062" t="str">
        <f t="shared" si="33"/>
        <v>Q2 2022</v>
      </c>
    </row>
    <row r="1063" spans="1:12" ht="15.75" customHeight="1" x14ac:dyDescent="0.3">
      <c r="A1063" s="2" t="s">
        <v>1589</v>
      </c>
      <c r="B1063" s="2" t="s">
        <v>20</v>
      </c>
      <c r="C1063" s="2" t="s">
        <v>57</v>
      </c>
      <c r="D1063" s="2" t="s">
        <v>1551</v>
      </c>
      <c r="E1063" s="2" t="s">
        <v>1052</v>
      </c>
      <c r="F1063" s="2" t="s">
        <v>1161</v>
      </c>
      <c r="G1063" s="4">
        <v>72252</v>
      </c>
      <c r="H1063" s="5" t="s">
        <v>128</v>
      </c>
      <c r="I1063" s="4">
        <v>8028</v>
      </c>
      <c r="J1063" s="5" t="s">
        <v>97</v>
      </c>
      <c r="K1063" t="str">
        <f t="shared" si="32"/>
        <v>Q4 2022</v>
      </c>
      <c r="L1063" t="str">
        <f t="shared" si="33"/>
        <v>Q4 2022</v>
      </c>
    </row>
    <row r="1064" spans="1:12" ht="15.75" customHeight="1" x14ac:dyDescent="0.3">
      <c r="A1064" s="2" t="s">
        <v>1590</v>
      </c>
      <c r="B1064" s="2" t="s">
        <v>20</v>
      </c>
      <c r="C1064" s="2" t="s">
        <v>12</v>
      </c>
      <c r="D1064" s="2" t="s">
        <v>1551</v>
      </c>
      <c r="E1064" s="2" t="s">
        <v>1052</v>
      </c>
      <c r="F1064" s="2" t="s">
        <v>1591</v>
      </c>
      <c r="G1064" s="4">
        <v>94837</v>
      </c>
      <c r="H1064" s="5" t="s">
        <v>513</v>
      </c>
      <c r="I1064" s="8">
        <v>47419</v>
      </c>
      <c r="J1064" s="5" t="s">
        <v>154</v>
      </c>
      <c r="K1064" t="str">
        <f t="shared" si="32"/>
        <v>Q3 2022</v>
      </c>
      <c r="L1064" t="str">
        <f t="shared" si="33"/>
        <v>Q3 2022</v>
      </c>
    </row>
    <row r="1065" spans="1:12" ht="15.75" customHeight="1" x14ac:dyDescent="0.3">
      <c r="A1065" s="2" t="s">
        <v>1592</v>
      </c>
      <c r="B1065" s="2" t="s">
        <v>20</v>
      </c>
      <c r="C1065" s="2" t="s">
        <v>21</v>
      </c>
      <c r="D1065" s="2" t="s">
        <v>1551</v>
      </c>
      <c r="E1065" s="2" t="s">
        <v>1052</v>
      </c>
      <c r="F1065" s="2" t="s">
        <v>1593</v>
      </c>
      <c r="G1065" s="4">
        <v>45500</v>
      </c>
      <c r="H1065" s="5" t="s">
        <v>209</v>
      </c>
      <c r="I1065" s="4">
        <v>22750</v>
      </c>
      <c r="J1065" s="5" t="s">
        <v>210</v>
      </c>
      <c r="K1065" t="str">
        <f t="shared" si="32"/>
        <v>Q4 2022</v>
      </c>
      <c r="L1065" t="str">
        <f t="shared" si="33"/>
        <v>Q4 2022</v>
      </c>
    </row>
    <row r="1066" spans="1:12" ht="15.75" customHeight="1" x14ac:dyDescent="0.3">
      <c r="A1066" s="2" t="s">
        <v>1594</v>
      </c>
      <c r="B1066" s="2" t="s">
        <v>20</v>
      </c>
      <c r="C1066" s="2" t="s">
        <v>57</v>
      </c>
      <c r="D1066" s="2" t="s">
        <v>1551</v>
      </c>
      <c r="E1066" s="2" t="s">
        <v>1052</v>
      </c>
      <c r="F1066" s="2" t="s">
        <v>1161</v>
      </c>
      <c r="G1066" s="4">
        <v>100811</v>
      </c>
      <c r="H1066" s="5" t="s">
        <v>1595</v>
      </c>
      <c r="I1066" s="4">
        <v>25203</v>
      </c>
      <c r="J1066" s="6">
        <v>45141</v>
      </c>
      <c r="K1066" t="str">
        <f t="shared" si="32"/>
        <v>Q3 2023</v>
      </c>
      <c r="L1066" t="str">
        <f t="shared" si="33"/>
        <v>Q3 2023</v>
      </c>
    </row>
    <row r="1067" spans="1:12" ht="15.75" customHeight="1" x14ac:dyDescent="0.3">
      <c r="A1067" s="2" t="s">
        <v>1596</v>
      </c>
      <c r="B1067" s="2" t="s">
        <v>20</v>
      </c>
      <c r="C1067" s="2" t="s">
        <v>57</v>
      </c>
      <c r="D1067" s="2" t="s">
        <v>1551</v>
      </c>
      <c r="E1067" s="2" t="s">
        <v>1072</v>
      </c>
      <c r="F1067" s="2" t="s">
        <v>1597</v>
      </c>
      <c r="G1067" s="4">
        <v>98847</v>
      </c>
      <c r="H1067" s="5" t="s">
        <v>813</v>
      </c>
      <c r="I1067" s="4">
        <v>49424</v>
      </c>
      <c r="J1067" s="5" t="s">
        <v>513</v>
      </c>
      <c r="K1067" t="str">
        <f t="shared" si="32"/>
        <v>Q2 2022</v>
      </c>
      <c r="L1067" t="str">
        <f t="shared" si="33"/>
        <v>Q2 2022</v>
      </c>
    </row>
    <row r="1068" spans="1:12" ht="15.75" customHeight="1" x14ac:dyDescent="0.3">
      <c r="A1068" s="2" t="s">
        <v>1598</v>
      </c>
      <c r="B1068" s="2" t="s">
        <v>20</v>
      </c>
      <c r="C1068" s="2" t="s">
        <v>57</v>
      </c>
      <c r="D1068" s="2" t="s">
        <v>1551</v>
      </c>
      <c r="E1068" s="2" t="s">
        <v>1052</v>
      </c>
      <c r="F1068" s="2" t="s">
        <v>1138</v>
      </c>
      <c r="G1068" s="4">
        <v>43900</v>
      </c>
      <c r="H1068" s="6">
        <v>44622</v>
      </c>
      <c r="I1068" s="4">
        <v>21950</v>
      </c>
      <c r="J1068" s="5" t="s">
        <v>813</v>
      </c>
      <c r="K1068" t="str">
        <f t="shared" si="32"/>
        <v>Q2 2022</v>
      </c>
      <c r="L1068" t="str">
        <f t="shared" si="33"/>
        <v>Q2 2022</v>
      </c>
    </row>
    <row r="1069" spans="1:12" ht="15.75" customHeight="1" x14ac:dyDescent="0.3">
      <c r="A1069" s="2" t="s">
        <v>1599</v>
      </c>
      <c r="B1069" s="2" t="s">
        <v>11</v>
      </c>
      <c r="C1069" s="2" t="s">
        <v>12</v>
      </c>
      <c r="D1069" s="2" t="s">
        <v>1551</v>
      </c>
      <c r="E1069" s="2" t="s">
        <v>1052</v>
      </c>
      <c r="F1069" s="2" t="s">
        <v>1161</v>
      </c>
      <c r="G1069" s="2"/>
      <c r="H1069" s="5" t="s">
        <v>1600</v>
      </c>
      <c r="I1069" s="9">
        <v>0</v>
      </c>
      <c r="J1069" s="5" t="s">
        <v>1601</v>
      </c>
      <c r="K1069" t="str">
        <f t="shared" si="32"/>
        <v>Q3 2021</v>
      </c>
      <c r="L1069" t="str">
        <f t="shared" si="33"/>
        <v>Q3 2021</v>
      </c>
    </row>
    <row r="1070" spans="1:12" ht="15.75" customHeight="1" x14ac:dyDescent="0.3">
      <c r="A1070" s="2" t="s">
        <v>1602</v>
      </c>
      <c r="B1070" s="2" t="s">
        <v>20</v>
      </c>
      <c r="C1070" s="2" t="s">
        <v>57</v>
      </c>
      <c r="D1070" s="2" t="s">
        <v>1551</v>
      </c>
      <c r="E1070" s="2" t="s">
        <v>1072</v>
      </c>
      <c r="F1070" s="2" t="s">
        <v>1603</v>
      </c>
      <c r="G1070" s="4">
        <v>77562</v>
      </c>
      <c r="H1070" s="6">
        <v>44898</v>
      </c>
      <c r="I1070" s="4">
        <v>38781</v>
      </c>
      <c r="J1070" s="6">
        <v>44869</v>
      </c>
      <c r="K1070" t="str">
        <f t="shared" si="32"/>
        <v>Q4 2022</v>
      </c>
      <c r="L1070" t="str">
        <f t="shared" si="33"/>
        <v>Q4 2022</v>
      </c>
    </row>
    <row r="1071" spans="1:12" ht="15.75" customHeight="1" x14ac:dyDescent="0.3">
      <c r="A1071" s="2" t="s">
        <v>1604</v>
      </c>
      <c r="B1071" s="2" t="s">
        <v>20</v>
      </c>
      <c r="C1071" s="2" t="s">
        <v>57</v>
      </c>
      <c r="D1071" s="2" t="s">
        <v>1551</v>
      </c>
      <c r="E1071" s="2" t="s">
        <v>1052</v>
      </c>
      <c r="F1071" s="2" t="s">
        <v>1605</v>
      </c>
      <c r="G1071" s="4">
        <v>126011</v>
      </c>
      <c r="H1071" s="6">
        <v>44814</v>
      </c>
      <c r="I1071" s="4">
        <v>11456</v>
      </c>
      <c r="J1071" s="6">
        <v>44784</v>
      </c>
      <c r="K1071" t="str">
        <f t="shared" si="32"/>
        <v>Q3 2022</v>
      </c>
      <c r="L1071" t="str">
        <f t="shared" si="33"/>
        <v>Q3 2022</v>
      </c>
    </row>
    <row r="1072" spans="1:12" ht="15.75" customHeight="1" x14ac:dyDescent="0.3">
      <c r="A1072" s="2" t="s">
        <v>1606</v>
      </c>
      <c r="B1072" s="2" t="s">
        <v>11</v>
      </c>
      <c r="C1072" s="2" t="s">
        <v>12</v>
      </c>
      <c r="D1072" s="2" t="s">
        <v>1551</v>
      </c>
      <c r="E1072" s="2" t="s">
        <v>1072</v>
      </c>
      <c r="F1072" s="2" t="s">
        <v>1607</v>
      </c>
      <c r="G1072" s="2"/>
      <c r="H1072" s="5" t="s">
        <v>185</v>
      </c>
      <c r="I1072" s="4">
        <v>0</v>
      </c>
      <c r="J1072" s="5" t="s">
        <v>97</v>
      </c>
      <c r="K1072" t="str">
        <f t="shared" si="32"/>
        <v>Q4 2022</v>
      </c>
      <c r="L1072" t="str">
        <f t="shared" si="33"/>
        <v>Q4 2022</v>
      </c>
    </row>
    <row r="1073" spans="1:12" ht="15.75" customHeight="1" x14ac:dyDescent="0.3">
      <c r="A1073" s="2" t="s">
        <v>1608</v>
      </c>
      <c r="B1073" s="2" t="s">
        <v>20</v>
      </c>
      <c r="C1073" s="2" t="s">
        <v>57</v>
      </c>
      <c r="D1073" s="2" t="s">
        <v>1551</v>
      </c>
      <c r="E1073" s="2" t="s">
        <v>1072</v>
      </c>
      <c r="F1073" s="2" t="s">
        <v>1609</v>
      </c>
      <c r="G1073" s="4">
        <v>72712</v>
      </c>
      <c r="H1073" s="5" t="s">
        <v>1610</v>
      </c>
      <c r="I1073" s="4">
        <v>18178</v>
      </c>
      <c r="J1073" s="5" t="s">
        <v>97</v>
      </c>
      <c r="K1073" t="str">
        <f t="shared" si="32"/>
        <v>Q4 2022</v>
      </c>
      <c r="L1073" t="str">
        <f t="shared" si="33"/>
        <v>Q4 2022</v>
      </c>
    </row>
    <row r="1074" spans="1:12" ht="15.75" customHeight="1" x14ac:dyDescent="0.3">
      <c r="A1074" s="2" t="s">
        <v>1611</v>
      </c>
      <c r="B1074" s="2" t="s">
        <v>20</v>
      </c>
      <c r="C1074" s="2" t="s">
        <v>12</v>
      </c>
      <c r="D1074" s="2" t="s">
        <v>1551</v>
      </c>
      <c r="E1074" s="2" t="s">
        <v>1052</v>
      </c>
      <c r="F1074" s="2" t="s">
        <v>1612</v>
      </c>
      <c r="G1074" s="4">
        <v>49486</v>
      </c>
      <c r="H1074" s="5" t="s">
        <v>1613</v>
      </c>
      <c r="I1074" s="8">
        <v>24743</v>
      </c>
      <c r="J1074" s="6">
        <v>44687</v>
      </c>
      <c r="K1074" t="str">
        <f t="shared" si="32"/>
        <v>Q2 2022</v>
      </c>
      <c r="L1074" t="str">
        <f t="shared" si="33"/>
        <v>Q2 2022</v>
      </c>
    </row>
    <row r="1075" spans="1:12" ht="15.75" customHeight="1" x14ac:dyDescent="0.3">
      <c r="A1075" s="2" t="s">
        <v>1614</v>
      </c>
      <c r="B1075" s="2" t="s">
        <v>20</v>
      </c>
      <c r="C1075" s="2" t="s">
        <v>12</v>
      </c>
      <c r="D1075" s="2" t="s">
        <v>1551</v>
      </c>
      <c r="E1075" s="2" t="s">
        <v>1052</v>
      </c>
      <c r="F1075" s="2" t="s">
        <v>1093</v>
      </c>
      <c r="G1075" s="4">
        <v>107231</v>
      </c>
      <c r="H1075" s="5" t="s">
        <v>1132</v>
      </c>
      <c r="I1075" s="8">
        <v>7149</v>
      </c>
      <c r="J1075" s="6">
        <v>44692</v>
      </c>
      <c r="K1075" t="str">
        <f t="shared" si="32"/>
        <v>Q2 2022</v>
      </c>
      <c r="L1075" t="str">
        <f t="shared" si="33"/>
        <v>Q2 2022</v>
      </c>
    </row>
    <row r="1076" spans="1:12" ht="15.75" customHeight="1" x14ac:dyDescent="0.3">
      <c r="A1076" s="2" t="s">
        <v>1615</v>
      </c>
      <c r="B1076" s="2" t="s">
        <v>20</v>
      </c>
      <c r="C1076" s="2" t="s">
        <v>57</v>
      </c>
      <c r="D1076" s="2" t="s">
        <v>1551</v>
      </c>
      <c r="E1076" s="2" t="s">
        <v>1052</v>
      </c>
      <c r="F1076" s="2" t="s">
        <v>1616</v>
      </c>
      <c r="G1076" s="4">
        <v>130735</v>
      </c>
      <c r="H1076" s="5" t="s">
        <v>945</v>
      </c>
      <c r="I1076" s="4">
        <v>26147</v>
      </c>
      <c r="J1076" s="5" t="s">
        <v>1574</v>
      </c>
      <c r="K1076" t="str">
        <f t="shared" si="32"/>
        <v>Q4 2022</v>
      </c>
      <c r="L1076" t="str">
        <f t="shared" si="33"/>
        <v>Q4 2022</v>
      </c>
    </row>
    <row r="1077" spans="1:12" ht="15.75" customHeight="1" x14ac:dyDescent="0.3">
      <c r="A1077" s="2" t="s">
        <v>1617</v>
      </c>
      <c r="B1077" s="2" t="s">
        <v>11</v>
      </c>
      <c r="C1077" s="2" t="s">
        <v>12</v>
      </c>
      <c r="D1077" s="2" t="s">
        <v>1618</v>
      </c>
      <c r="E1077" s="2" t="s">
        <v>1052</v>
      </c>
      <c r="F1077" s="2" t="s">
        <v>1619</v>
      </c>
      <c r="G1077" s="4">
        <v>68851</v>
      </c>
      <c r="H1077" s="5" t="s">
        <v>25</v>
      </c>
      <c r="I1077" s="4">
        <v>0</v>
      </c>
      <c r="J1077" s="6">
        <v>44603</v>
      </c>
      <c r="K1077" t="str">
        <f t="shared" si="32"/>
        <v>Q1 2022</v>
      </c>
      <c r="L1077" t="str">
        <f t="shared" si="33"/>
        <v>Q1 2022</v>
      </c>
    </row>
    <row r="1078" spans="1:12" ht="15.75" customHeight="1" x14ac:dyDescent="0.3">
      <c r="A1078" s="2" t="s">
        <v>1620</v>
      </c>
      <c r="B1078" s="2" t="s">
        <v>11</v>
      </c>
      <c r="C1078" s="2" t="s">
        <v>12</v>
      </c>
      <c r="D1078" s="2" t="s">
        <v>1618</v>
      </c>
      <c r="E1078" s="2" t="s">
        <v>1052</v>
      </c>
      <c r="F1078" s="2" t="s">
        <v>1621</v>
      </c>
      <c r="G1078" s="4">
        <v>143565</v>
      </c>
      <c r="H1078" s="5" t="s">
        <v>265</v>
      </c>
      <c r="I1078" s="4">
        <v>0</v>
      </c>
      <c r="J1078" s="6">
        <v>44601</v>
      </c>
      <c r="K1078" t="str">
        <f t="shared" si="32"/>
        <v>Q1 2022</v>
      </c>
      <c r="L1078" t="str">
        <f t="shared" si="33"/>
        <v>Q1 2022</v>
      </c>
    </row>
    <row r="1079" spans="1:12" ht="15.75" customHeight="1" x14ac:dyDescent="0.3">
      <c r="A1079" s="2" t="s">
        <v>1622</v>
      </c>
      <c r="B1079" s="2" t="s">
        <v>11</v>
      </c>
      <c r="C1079" s="2" t="s">
        <v>12</v>
      </c>
      <c r="D1079" s="2" t="s">
        <v>1618</v>
      </c>
      <c r="E1079" s="2" t="s">
        <v>1052</v>
      </c>
      <c r="F1079" s="2" t="s">
        <v>46</v>
      </c>
      <c r="G1079" s="4">
        <v>83464</v>
      </c>
      <c r="H1079" s="5" t="s">
        <v>42</v>
      </c>
      <c r="I1079" s="4">
        <v>0</v>
      </c>
      <c r="J1079" s="6">
        <v>44603</v>
      </c>
      <c r="K1079" t="str">
        <f t="shared" si="32"/>
        <v>Q1 2022</v>
      </c>
      <c r="L1079" t="str">
        <f t="shared" si="33"/>
        <v>Q1 2022</v>
      </c>
    </row>
    <row r="1080" spans="1:12" ht="15.75" customHeight="1" x14ac:dyDescent="0.3">
      <c r="A1080" s="2" t="s">
        <v>1623</v>
      </c>
      <c r="B1080" s="2" t="s">
        <v>11</v>
      </c>
      <c r="C1080" s="2" t="s">
        <v>12</v>
      </c>
      <c r="D1080" s="2" t="s">
        <v>1618</v>
      </c>
      <c r="E1080" s="2" t="s">
        <v>1052</v>
      </c>
      <c r="F1080" s="2" t="s">
        <v>1161</v>
      </c>
      <c r="G1080" s="4">
        <v>70230</v>
      </c>
      <c r="H1080" s="5" t="s">
        <v>419</v>
      </c>
      <c r="I1080" s="4">
        <v>0</v>
      </c>
      <c r="J1080" s="6">
        <v>44962</v>
      </c>
      <c r="K1080" t="str">
        <f t="shared" si="32"/>
        <v>Q1 2023</v>
      </c>
      <c r="L1080" t="str">
        <f t="shared" si="33"/>
        <v>Q1 2023</v>
      </c>
    </row>
    <row r="1081" spans="1:12" ht="15.75" customHeight="1" x14ac:dyDescent="0.3">
      <c r="A1081" s="2" t="s">
        <v>1624</v>
      </c>
      <c r="B1081" s="2" t="s">
        <v>11</v>
      </c>
      <c r="C1081" s="2" t="s">
        <v>12</v>
      </c>
      <c r="D1081" s="2" t="s">
        <v>1618</v>
      </c>
      <c r="E1081" s="2" t="s">
        <v>1052</v>
      </c>
      <c r="F1081" s="2" t="s">
        <v>1053</v>
      </c>
      <c r="G1081" s="4">
        <v>70126</v>
      </c>
      <c r="H1081" s="5" t="s">
        <v>42</v>
      </c>
      <c r="I1081" s="4">
        <v>0</v>
      </c>
      <c r="J1081" s="6">
        <v>44603</v>
      </c>
      <c r="K1081" t="str">
        <f t="shared" si="32"/>
        <v>Q1 2022</v>
      </c>
      <c r="L1081" t="str">
        <f t="shared" si="33"/>
        <v>Q1 2022</v>
      </c>
    </row>
    <row r="1082" spans="1:12" ht="15.75" customHeight="1" x14ac:dyDescent="0.3">
      <c r="A1082" s="2" t="s">
        <v>1625</v>
      </c>
      <c r="B1082" s="2" t="s">
        <v>11</v>
      </c>
      <c r="C1082" s="2" t="s">
        <v>12</v>
      </c>
      <c r="D1082" s="2" t="s">
        <v>1618</v>
      </c>
      <c r="E1082" s="2" t="s">
        <v>1052</v>
      </c>
      <c r="F1082" s="2" t="s">
        <v>1093</v>
      </c>
      <c r="G1082" s="4">
        <v>121681</v>
      </c>
      <c r="H1082" s="6">
        <v>44629</v>
      </c>
      <c r="I1082" s="4">
        <v>0</v>
      </c>
      <c r="J1082" s="6">
        <v>44603</v>
      </c>
      <c r="K1082" t="str">
        <f t="shared" si="32"/>
        <v>Q1 2022</v>
      </c>
      <c r="L1082" t="str">
        <f t="shared" si="33"/>
        <v>Q1 2022</v>
      </c>
    </row>
    <row r="1083" spans="1:12" ht="15.75" customHeight="1" x14ac:dyDescent="0.3">
      <c r="A1083" s="2" t="s">
        <v>1626</v>
      </c>
      <c r="B1083" s="2" t="s">
        <v>11</v>
      </c>
      <c r="C1083" s="2" t="s">
        <v>12</v>
      </c>
      <c r="D1083" s="2" t="s">
        <v>1618</v>
      </c>
      <c r="E1083" s="2" t="s">
        <v>1052</v>
      </c>
      <c r="F1083" s="2" t="s">
        <v>1627</v>
      </c>
      <c r="G1083" s="4">
        <v>49626</v>
      </c>
      <c r="H1083" s="5" t="s">
        <v>265</v>
      </c>
      <c r="I1083" s="4">
        <v>0</v>
      </c>
      <c r="J1083" s="6">
        <v>44601</v>
      </c>
      <c r="K1083" t="str">
        <f t="shared" si="32"/>
        <v>Q1 2022</v>
      </c>
      <c r="L1083" t="str">
        <f t="shared" si="33"/>
        <v>Q1 2022</v>
      </c>
    </row>
    <row r="1084" spans="1:12" ht="15.75" customHeight="1" x14ac:dyDescent="0.3">
      <c r="A1084" s="2" t="s">
        <v>1628</v>
      </c>
      <c r="B1084" s="2" t="s">
        <v>11</v>
      </c>
      <c r="C1084" s="2" t="s">
        <v>12</v>
      </c>
      <c r="D1084" s="2" t="s">
        <v>1618</v>
      </c>
      <c r="E1084" s="2" t="s">
        <v>1052</v>
      </c>
      <c r="F1084" s="2" t="s">
        <v>1629</v>
      </c>
      <c r="G1084" s="4">
        <v>61833</v>
      </c>
      <c r="H1084" s="5" t="s">
        <v>197</v>
      </c>
      <c r="I1084" s="4">
        <v>0</v>
      </c>
      <c r="J1084" s="6">
        <v>44602</v>
      </c>
      <c r="K1084" t="str">
        <f t="shared" si="32"/>
        <v>Q1 2022</v>
      </c>
      <c r="L1084" t="str">
        <f t="shared" si="33"/>
        <v>Q1 2022</v>
      </c>
    </row>
    <row r="1085" spans="1:12" ht="15.75" customHeight="1" x14ac:dyDescent="0.3">
      <c r="A1085" s="2" t="s">
        <v>1630</v>
      </c>
      <c r="B1085" s="2" t="s">
        <v>11</v>
      </c>
      <c r="C1085" s="2" t="s">
        <v>12</v>
      </c>
      <c r="D1085" s="2" t="s">
        <v>1618</v>
      </c>
      <c r="E1085" s="2" t="s">
        <v>1052</v>
      </c>
      <c r="F1085" s="2" t="s">
        <v>1138</v>
      </c>
      <c r="G1085" s="4">
        <v>88227</v>
      </c>
      <c r="H1085" s="5" t="s">
        <v>1631</v>
      </c>
      <c r="I1085" s="4">
        <v>0</v>
      </c>
      <c r="J1085" s="6">
        <v>44963</v>
      </c>
      <c r="K1085" t="str">
        <f t="shared" si="32"/>
        <v>Q1 2023</v>
      </c>
      <c r="L1085" t="str">
        <f t="shared" si="33"/>
        <v>Q1 2023</v>
      </c>
    </row>
    <row r="1086" spans="1:12" ht="15.75" customHeight="1" x14ac:dyDescent="0.3">
      <c r="A1086" s="2" t="s">
        <v>1632</v>
      </c>
      <c r="B1086" s="2" t="s">
        <v>11</v>
      </c>
      <c r="C1086" s="2" t="s">
        <v>12</v>
      </c>
      <c r="D1086" s="2" t="s">
        <v>1618</v>
      </c>
      <c r="E1086" s="2" t="s">
        <v>1052</v>
      </c>
      <c r="F1086" s="2" t="s">
        <v>1633</v>
      </c>
      <c r="G1086" s="4">
        <v>71090</v>
      </c>
      <c r="H1086" s="5" t="s">
        <v>197</v>
      </c>
      <c r="I1086" s="4">
        <v>0</v>
      </c>
      <c r="J1086" s="6">
        <v>44602</v>
      </c>
      <c r="K1086" t="str">
        <f t="shared" si="32"/>
        <v>Q1 2022</v>
      </c>
      <c r="L1086" t="str">
        <f t="shared" si="33"/>
        <v>Q1 2022</v>
      </c>
    </row>
    <row r="1087" spans="1:12" ht="15.75" customHeight="1" x14ac:dyDescent="0.3">
      <c r="A1087" s="2" t="s">
        <v>1634</v>
      </c>
      <c r="B1087" s="2" t="s">
        <v>11</v>
      </c>
      <c r="C1087" s="2" t="s">
        <v>12</v>
      </c>
      <c r="D1087" s="2" t="s">
        <v>1618</v>
      </c>
      <c r="E1087" s="2" t="s">
        <v>1072</v>
      </c>
      <c r="F1087" s="2" t="s">
        <v>1597</v>
      </c>
      <c r="G1087" s="4">
        <v>69958</v>
      </c>
      <c r="H1087" s="6">
        <v>44562</v>
      </c>
      <c r="I1087" s="4">
        <v>0</v>
      </c>
      <c r="J1087" s="6">
        <v>44595</v>
      </c>
      <c r="K1087" t="str">
        <f t="shared" si="32"/>
        <v>Q1 2022</v>
      </c>
      <c r="L1087" t="str">
        <f t="shared" si="33"/>
        <v>Q1 2022</v>
      </c>
    </row>
    <row r="1088" spans="1:12" ht="15.75" customHeight="1" x14ac:dyDescent="0.3">
      <c r="A1088" s="2" t="s">
        <v>1635</v>
      </c>
      <c r="B1088" s="2" t="s">
        <v>11</v>
      </c>
      <c r="C1088" s="2" t="s">
        <v>12</v>
      </c>
      <c r="D1088" s="2" t="s">
        <v>1618</v>
      </c>
      <c r="E1088" s="2" t="s">
        <v>14</v>
      </c>
      <c r="F1088" s="2" t="s">
        <v>15</v>
      </c>
      <c r="G1088" s="4">
        <v>70912</v>
      </c>
      <c r="H1088" s="5" t="s">
        <v>42</v>
      </c>
      <c r="I1088" s="4">
        <v>0</v>
      </c>
      <c r="J1088" s="6">
        <v>44603</v>
      </c>
      <c r="K1088" t="str">
        <f t="shared" si="32"/>
        <v>Q1 2022</v>
      </c>
      <c r="L1088" t="str">
        <f t="shared" si="33"/>
        <v>Q1 2022</v>
      </c>
    </row>
    <row r="1089" spans="1:12" ht="15.75" customHeight="1" x14ac:dyDescent="0.3">
      <c r="A1089" s="2" t="s">
        <v>1636</v>
      </c>
      <c r="B1089" s="2" t="s">
        <v>11</v>
      </c>
      <c r="C1089" s="2" t="s">
        <v>12</v>
      </c>
      <c r="D1089" s="2" t="s">
        <v>1618</v>
      </c>
      <c r="E1089" s="2" t="s">
        <v>1052</v>
      </c>
      <c r="F1089" s="2" t="s">
        <v>1637</v>
      </c>
      <c r="G1089" s="4">
        <v>40198</v>
      </c>
      <c r="H1089" s="5" t="s">
        <v>39</v>
      </c>
      <c r="I1089" s="4">
        <v>0</v>
      </c>
      <c r="J1089" s="6">
        <v>44603</v>
      </c>
      <c r="K1089" t="str">
        <f t="shared" si="32"/>
        <v>Q1 2022</v>
      </c>
      <c r="L1089" t="str">
        <f t="shared" si="33"/>
        <v>Q1 2022</v>
      </c>
    </row>
    <row r="1090" spans="1:12" ht="15.75" customHeight="1" x14ac:dyDescent="0.3">
      <c r="A1090" s="2" t="s">
        <v>1638</v>
      </c>
      <c r="B1090" s="2" t="s">
        <v>11</v>
      </c>
      <c r="C1090" s="2" t="s">
        <v>12</v>
      </c>
      <c r="D1090" s="2" t="s">
        <v>1618</v>
      </c>
      <c r="E1090" s="2" t="s">
        <v>1052</v>
      </c>
      <c r="F1090" s="2" t="s">
        <v>1639</v>
      </c>
      <c r="G1090" s="4">
        <v>111102</v>
      </c>
      <c r="H1090" s="5" t="s">
        <v>309</v>
      </c>
      <c r="I1090" s="4">
        <v>0</v>
      </c>
      <c r="J1090" s="6">
        <v>44594</v>
      </c>
      <c r="K1090" t="str">
        <f t="shared" ref="K1090:K1153" si="34">"Q" &amp; ROUNDUP(MONTH(J:J)/3,0) &amp; " " &amp; YEAR(J:J)</f>
        <v>Q1 2022</v>
      </c>
      <c r="L1090" t="str">
        <f t="shared" ref="L1090:L1153" si="35">"Q" &amp; ROUNDUP(MONTH(J:J)/3,0) &amp; " " &amp; YEAR(J:J)</f>
        <v>Q1 2022</v>
      </c>
    </row>
    <row r="1091" spans="1:12" ht="15.75" customHeight="1" x14ac:dyDescent="0.3">
      <c r="A1091" s="2" t="s">
        <v>1640</v>
      </c>
      <c r="B1091" s="2" t="s">
        <v>11</v>
      </c>
      <c r="C1091" s="2" t="s">
        <v>12</v>
      </c>
      <c r="D1091" s="2" t="s">
        <v>1618</v>
      </c>
      <c r="E1091" s="2" t="s">
        <v>1052</v>
      </c>
      <c r="F1091" s="2" t="s">
        <v>1641</v>
      </c>
      <c r="G1091" s="4">
        <v>47336</v>
      </c>
      <c r="H1091" s="5" t="s">
        <v>314</v>
      </c>
      <c r="I1091" s="4">
        <v>0</v>
      </c>
      <c r="J1091" s="6">
        <v>44961</v>
      </c>
      <c r="K1091" t="str">
        <f t="shared" si="34"/>
        <v>Q1 2023</v>
      </c>
      <c r="L1091" t="str">
        <f t="shared" si="35"/>
        <v>Q1 2023</v>
      </c>
    </row>
    <row r="1092" spans="1:12" ht="15.75" customHeight="1" x14ac:dyDescent="0.3">
      <c r="A1092" s="2" t="s">
        <v>1642</v>
      </c>
      <c r="B1092" s="2" t="s">
        <v>11</v>
      </c>
      <c r="C1092" s="2" t="s">
        <v>12</v>
      </c>
      <c r="D1092" s="2" t="s">
        <v>1618</v>
      </c>
      <c r="E1092" s="2" t="s">
        <v>1052</v>
      </c>
      <c r="F1092" s="2" t="s">
        <v>1643</v>
      </c>
      <c r="G1092" s="4">
        <v>42246</v>
      </c>
      <c r="H1092" s="5" t="s">
        <v>39</v>
      </c>
      <c r="I1092" s="4">
        <v>0</v>
      </c>
      <c r="J1092" s="6">
        <v>44604</v>
      </c>
      <c r="K1092" t="str">
        <f t="shared" si="34"/>
        <v>Q1 2022</v>
      </c>
      <c r="L1092" t="str">
        <f t="shared" si="35"/>
        <v>Q1 2022</v>
      </c>
    </row>
    <row r="1093" spans="1:12" ht="15.75" customHeight="1" x14ac:dyDescent="0.3">
      <c r="A1093" s="2" t="s">
        <v>1644</v>
      </c>
      <c r="B1093" s="2" t="s">
        <v>11</v>
      </c>
      <c r="C1093" s="2" t="s">
        <v>12</v>
      </c>
      <c r="D1093" s="2" t="s">
        <v>1618</v>
      </c>
      <c r="E1093" s="2" t="s">
        <v>1052</v>
      </c>
      <c r="F1093" s="2" t="s">
        <v>1645</v>
      </c>
      <c r="G1093" s="4">
        <v>154075</v>
      </c>
      <c r="H1093" s="5" t="s">
        <v>75</v>
      </c>
      <c r="I1093" s="4">
        <v>0</v>
      </c>
      <c r="J1093" s="6">
        <v>44595</v>
      </c>
      <c r="K1093" t="str">
        <f t="shared" si="34"/>
        <v>Q1 2022</v>
      </c>
      <c r="L1093" t="str">
        <f t="shared" si="35"/>
        <v>Q1 2022</v>
      </c>
    </row>
    <row r="1094" spans="1:12" ht="15.75" customHeight="1" x14ac:dyDescent="0.3">
      <c r="A1094" s="2" t="s">
        <v>1646</v>
      </c>
      <c r="B1094" s="2" t="s">
        <v>11</v>
      </c>
      <c r="C1094" s="2" t="s">
        <v>12</v>
      </c>
      <c r="D1094" s="2" t="s">
        <v>1618</v>
      </c>
      <c r="E1094" s="2" t="s">
        <v>1052</v>
      </c>
      <c r="F1094" s="2" t="s">
        <v>1161</v>
      </c>
      <c r="G1094" s="4">
        <v>127420</v>
      </c>
      <c r="H1094" s="5" t="s">
        <v>39</v>
      </c>
      <c r="I1094" s="4">
        <v>0</v>
      </c>
      <c r="J1094" s="6">
        <v>44603</v>
      </c>
      <c r="K1094" t="str">
        <f t="shared" si="34"/>
        <v>Q1 2022</v>
      </c>
      <c r="L1094" t="str">
        <f t="shared" si="35"/>
        <v>Q1 2022</v>
      </c>
    </row>
    <row r="1095" spans="1:12" ht="15.75" customHeight="1" x14ac:dyDescent="0.3">
      <c r="A1095" s="2" t="s">
        <v>1647</v>
      </c>
      <c r="B1095" s="2" t="s">
        <v>11</v>
      </c>
      <c r="C1095" s="2" t="s">
        <v>12</v>
      </c>
      <c r="D1095" s="2" t="s">
        <v>1618</v>
      </c>
      <c r="E1095" s="2" t="s">
        <v>1052</v>
      </c>
      <c r="F1095" s="2" t="s">
        <v>46</v>
      </c>
      <c r="G1095" s="4">
        <v>228068</v>
      </c>
      <c r="H1095" s="6">
        <v>44267</v>
      </c>
      <c r="I1095" s="4">
        <v>0</v>
      </c>
      <c r="J1095" s="6">
        <v>44593</v>
      </c>
      <c r="K1095" t="str">
        <f t="shared" si="34"/>
        <v>Q1 2022</v>
      </c>
      <c r="L1095" t="str">
        <f t="shared" si="35"/>
        <v>Q1 2022</v>
      </c>
    </row>
    <row r="1096" spans="1:12" ht="15.75" customHeight="1" x14ac:dyDescent="0.3">
      <c r="A1096" s="2" t="s">
        <v>1648</v>
      </c>
      <c r="B1096" s="2" t="s">
        <v>11</v>
      </c>
      <c r="C1096" s="2" t="s">
        <v>12</v>
      </c>
      <c r="D1096" s="2" t="s">
        <v>1618</v>
      </c>
      <c r="E1096" s="2" t="s">
        <v>1052</v>
      </c>
      <c r="F1096" s="2" t="s">
        <v>1649</v>
      </c>
      <c r="G1096" s="4">
        <v>58021</v>
      </c>
      <c r="H1096" s="5" t="s">
        <v>71</v>
      </c>
      <c r="I1096" s="4">
        <v>0</v>
      </c>
      <c r="J1096" s="6">
        <v>44603</v>
      </c>
      <c r="K1096" t="str">
        <f t="shared" si="34"/>
        <v>Q1 2022</v>
      </c>
      <c r="L1096" t="str">
        <f t="shared" si="35"/>
        <v>Q1 2022</v>
      </c>
    </row>
    <row r="1097" spans="1:12" ht="15.75" customHeight="1" x14ac:dyDescent="0.3">
      <c r="A1097" s="80" t="s">
        <v>1650</v>
      </c>
      <c r="B1097" s="2" t="s">
        <v>11</v>
      </c>
      <c r="C1097" s="2" t="s">
        <v>12</v>
      </c>
      <c r="D1097" s="2" t="s">
        <v>1618</v>
      </c>
      <c r="E1097" s="2" t="s">
        <v>1075</v>
      </c>
      <c r="F1097" s="2" t="s">
        <v>46</v>
      </c>
      <c r="G1097" s="4">
        <v>154835</v>
      </c>
      <c r="H1097" s="5" t="s">
        <v>71</v>
      </c>
      <c r="I1097" s="4">
        <v>0</v>
      </c>
      <c r="J1097" s="6">
        <v>44603</v>
      </c>
      <c r="K1097" t="str">
        <f t="shared" si="34"/>
        <v>Q1 2022</v>
      </c>
      <c r="L1097" t="str">
        <f t="shared" si="35"/>
        <v>Q1 2022</v>
      </c>
    </row>
    <row r="1098" spans="1:12" ht="15.75" customHeight="1" x14ac:dyDescent="0.3">
      <c r="A1098" s="2" t="s">
        <v>1651</v>
      </c>
      <c r="B1098" s="2" t="s">
        <v>11</v>
      </c>
      <c r="C1098" s="2" t="s">
        <v>12</v>
      </c>
      <c r="D1098" s="2" t="s">
        <v>1618</v>
      </c>
      <c r="E1098" s="2" t="s">
        <v>1052</v>
      </c>
      <c r="F1098" s="2" t="s">
        <v>1652</v>
      </c>
      <c r="G1098" s="4">
        <v>33520</v>
      </c>
      <c r="H1098" s="5" t="s">
        <v>232</v>
      </c>
      <c r="I1098" s="4">
        <v>0</v>
      </c>
      <c r="J1098" s="6">
        <v>44594</v>
      </c>
      <c r="K1098" t="str">
        <f t="shared" si="34"/>
        <v>Q1 2022</v>
      </c>
      <c r="L1098" t="str">
        <f t="shared" si="35"/>
        <v>Q1 2022</v>
      </c>
    </row>
    <row r="1099" spans="1:12" ht="15.75" customHeight="1" x14ac:dyDescent="0.3">
      <c r="A1099" s="2" t="s">
        <v>1653</v>
      </c>
      <c r="B1099" s="2" t="s">
        <v>11</v>
      </c>
      <c r="C1099" s="2" t="s">
        <v>12</v>
      </c>
      <c r="D1099" s="2" t="s">
        <v>1618</v>
      </c>
      <c r="E1099" s="2" t="s">
        <v>1072</v>
      </c>
      <c r="F1099" s="2" t="s">
        <v>1654</v>
      </c>
      <c r="G1099" s="4">
        <v>63437</v>
      </c>
      <c r="H1099" s="5" t="s">
        <v>192</v>
      </c>
      <c r="I1099" s="4">
        <v>0</v>
      </c>
      <c r="J1099" s="6">
        <v>44595</v>
      </c>
      <c r="K1099" t="str">
        <f t="shared" si="34"/>
        <v>Q1 2022</v>
      </c>
      <c r="L1099" t="str">
        <f t="shared" si="35"/>
        <v>Q1 2022</v>
      </c>
    </row>
    <row r="1100" spans="1:12" ht="15.75" customHeight="1" x14ac:dyDescent="0.3">
      <c r="A1100" s="2" t="s">
        <v>1655</v>
      </c>
      <c r="B1100" s="2" t="s">
        <v>11</v>
      </c>
      <c r="C1100" s="2" t="s">
        <v>12</v>
      </c>
      <c r="D1100" s="2" t="s">
        <v>1618</v>
      </c>
      <c r="E1100" s="2" t="s">
        <v>1052</v>
      </c>
      <c r="F1100" s="2" t="s">
        <v>1656</v>
      </c>
      <c r="G1100" s="4">
        <v>37979</v>
      </c>
      <c r="H1100" s="5" t="s">
        <v>39</v>
      </c>
      <c r="I1100" s="4">
        <v>0</v>
      </c>
      <c r="J1100" s="6">
        <v>44603</v>
      </c>
      <c r="K1100" t="str">
        <f t="shared" si="34"/>
        <v>Q1 2022</v>
      </c>
      <c r="L1100" t="str">
        <f t="shared" si="35"/>
        <v>Q1 2022</v>
      </c>
    </row>
    <row r="1101" spans="1:12" ht="15.75" customHeight="1" x14ac:dyDescent="0.3">
      <c r="A1101" s="2" t="s">
        <v>1657</v>
      </c>
      <c r="B1101" s="2" t="s">
        <v>11</v>
      </c>
      <c r="C1101" s="2" t="s">
        <v>12</v>
      </c>
      <c r="D1101" s="2" t="s">
        <v>1618</v>
      </c>
      <c r="E1101" s="2" t="s">
        <v>1052</v>
      </c>
      <c r="F1101" s="2" t="s">
        <v>1658</v>
      </c>
      <c r="G1101" s="4">
        <v>126347</v>
      </c>
      <c r="H1101" s="6">
        <v>44629</v>
      </c>
      <c r="I1101" s="4">
        <v>0</v>
      </c>
      <c r="J1101" s="6">
        <v>44603</v>
      </c>
      <c r="K1101" t="str">
        <f t="shared" si="34"/>
        <v>Q1 2022</v>
      </c>
      <c r="L1101" t="str">
        <f t="shared" si="35"/>
        <v>Q1 2022</v>
      </c>
    </row>
    <row r="1102" spans="1:12" ht="15.75" customHeight="1" x14ac:dyDescent="0.3">
      <c r="A1102" s="2" t="s">
        <v>1659</v>
      </c>
      <c r="B1102" s="2" t="s">
        <v>11</v>
      </c>
      <c r="C1102" s="2" t="s">
        <v>12</v>
      </c>
      <c r="D1102" s="2" t="s">
        <v>1618</v>
      </c>
      <c r="E1102" s="2" t="s">
        <v>1052</v>
      </c>
      <c r="F1102" s="2" t="s">
        <v>1660</v>
      </c>
      <c r="G1102" s="4">
        <v>63003</v>
      </c>
      <c r="H1102" s="5" t="s">
        <v>1661</v>
      </c>
      <c r="I1102" s="4">
        <v>0</v>
      </c>
      <c r="J1102" s="6">
        <v>44959</v>
      </c>
      <c r="K1102" t="str">
        <f t="shared" si="34"/>
        <v>Q1 2023</v>
      </c>
      <c r="L1102" t="str">
        <f t="shared" si="35"/>
        <v>Q1 2023</v>
      </c>
    </row>
    <row r="1103" spans="1:12" ht="15.75" customHeight="1" x14ac:dyDescent="0.3">
      <c r="A1103" s="2" t="s">
        <v>1662</v>
      </c>
      <c r="B1103" s="2" t="s">
        <v>11</v>
      </c>
      <c r="C1103" s="2" t="s">
        <v>12</v>
      </c>
      <c r="D1103" s="2" t="s">
        <v>1618</v>
      </c>
      <c r="E1103" s="2" t="s">
        <v>1052</v>
      </c>
      <c r="F1103" s="2" t="s">
        <v>1161</v>
      </c>
      <c r="G1103" s="4">
        <v>118629</v>
      </c>
      <c r="H1103" s="5" t="s">
        <v>463</v>
      </c>
      <c r="I1103" s="4">
        <v>0</v>
      </c>
      <c r="J1103" s="6">
        <v>44598</v>
      </c>
      <c r="K1103" t="str">
        <f t="shared" si="34"/>
        <v>Q1 2022</v>
      </c>
      <c r="L1103" t="str">
        <f t="shared" si="35"/>
        <v>Q1 2022</v>
      </c>
    </row>
    <row r="1104" spans="1:12" ht="15.75" customHeight="1" x14ac:dyDescent="0.3">
      <c r="A1104" s="2" t="s">
        <v>1663</v>
      </c>
      <c r="B1104" s="2" t="s">
        <v>11</v>
      </c>
      <c r="C1104" s="2" t="s">
        <v>12</v>
      </c>
      <c r="D1104" s="2" t="s">
        <v>1618</v>
      </c>
      <c r="E1104" s="2" t="s">
        <v>1052</v>
      </c>
      <c r="F1104" s="2" t="s">
        <v>1664</v>
      </c>
      <c r="G1104" s="4">
        <v>72893</v>
      </c>
      <c r="H1104" s="5" t="s">
        <v>71</v>
      </c>
      <c r="I1104" s="4">
        <v>0</v>
      </c>
      <c r="J1104" s="6">
        <v>44603</v>
      </c>
      <c r="K1104" t="str">
        <f t="shared" si="34"/>
        <v>Q1 2022</v>
      </c>
      <c r="L1104" t="str">
        <f t="shared" si="35"/>
        <v>Q1 2022</v>
      </c>
    </row>
    <row r="1105" spans="1:12" ht="15.75" customHeight="1" x14ac:dyDescent="0.3">
      <c r="A1105" s="2" t="s">
        <v>1665</v>
      </c>
      <c r="B1105" s="2" t="s">
        <v>11</v>
      </c>
      <c r="C1105" s="2" t="s">
        <v>12</v>
      </c>
      <c r="D1105" s="2" t="s">
        <v>1618</v>
      </c>
      <c r="E1105" s="2" t="s">
        <v>1052</v>
      </c>
      <c r="F1105" s="2" t="s">
        <v>1093</v>
      </c>
      <c r="G1105" s="4">
        <v>111228</v>
      </c>
      <c r="H1105" s="6">
        <v>44623</v>
      </c>
      <c r="I1105" s="4">
        <v>0</v>
      </c>
      <c r="J1105" s="6">
        <v>44596</v>
      </c>
      <c r="K1105" t="str">
        <f t="shared" si="34"/>
        <v>Q1 2022</v>
      </c>
      <c r="L1105" t="str">
        <f t="shared" si="35"/>
        <v>Q1 2022</v>
      </c>
    </row>
    <row r="1106" spans="1:12" ht="15.75" customHeight="1" x14ac:dyDescent="0.3">
      <c r="A1106" s="2" t="s">
        <v>1666</v>
      </c>
      <c r="B1106" s="2" t="s">
        <v>11</v>
      </c>
      <c r="C1106" s="2" t="s">
        <v>12</v>
      </c>
      <c r="D1106" s="2" t="s">
        <v>1618</v>
      </c>
      <c r="E1106" s="2" t="s">
        <v>1052</v>
      </c>
      <c r="F1106" s="2" t="s">
        <v>1667</v>
      </c>
      <c r="G1106" s="4">
        <v>76832</v>
      </c>
      <c r="H1106" s="6">
        <v>44630</v>
      </c>
      <c r="I1106" s="4">
        <v>0</v>
      </c>
      <c r="J1106" s="6">
        <v>44603</v>
      </c>
      <c r="K1106" t="str">
        <f t="shared" si="34"/>
        <v>Q1 2022</v>
      </c>
      <c r="L1106" t="str">
        <f t="shared" si="35"/>
        <v>Q1 2022</v>
      </c>
    </row>
    <row r="1107" spans="1:12" ht="15.75" customHeight="1" x14ac:dyDescent="0.3">
      <c r="A1107" s="2" t="s">
        <v>1668</v>
      </c>
      <c r="B1107" s="2" t="s">
        <v>11</v>
      </c>
      <c r="C1107" s="2" t="s">
        <v>12</v>
      </c>
      <c r="D1107" s="2" t="s">
        <v>1618</v>
      </c>
      <c r="E1107" s="2" t="s">
        <v>1052</v>
      </c>
      <c r="F1107" s="2" t="s">
        <v>1669</v>
      </c>
      <c r="G1107" s="4">
        <v>143579</v>
      </c>
      <c r="H1107" s="5" t="s">
        <v>25</v>
      </c>
      <c r="I1107" s="4">
        <v>0</v>
      </c>
      <c r="J1107" s="6">
        <v>44603</v>
      </c>
      <c r="K1107" t="str">
        <f t="shared" si="34"/>
        <v>Q1 2022</v>
      </c>
      <c r="L1107" t="str">
        <f t="shared" si="35"/>
        <v>Q1 2022</v>
      </c>
    </row>
    <row r="1108" spans="1:12" ht="15.75" customHeight="1" x14ac:dyDescent="0.3">
      <c r="A1108" s="2" t="s">
        <v>1670</v>
      </c>
      <c r="B1108" s="2" t="s">
        <v>11</v>
      </c>
      <c r="C1108" s="2" t="s">
        <v>12</v>
      </c>
      <c r="D1108" s="2" t="s">
        <v>1618</v>
      </c>
      <c r="E1108" s="2" t="s">
        <v>1052</v>
      </c>
      <c r="F1108" s="2" t="s">
        <v>1671</v>
      </c>
      <c r="G1108" s="4">
        <v>30393</v>
      </c>
      <c r="H1108" s="5" t="s">
        <v>30</v>
      </c>
      <c r="I1108" s="4">
        <v>0</v>
      </c>
      <c r="J1108" s="6">
        <v>44603</v>
      </c>
      <c r="K1108" t="str">
        <f t="shared" si="34"/>
        <v>Q1 2022</v>
      </c>
      <c r="L1108" t="str">
        <f t="shared" si="35"/>
        <v>Q1 2022</v>
      </c>
    </row>
    <row r="1109" spans="1:12" ht="15.75" customHeight="1" x14ac:dyDescent="0.3">
      <c r="A1109" s="2" t="s">
        <v>1672</v>
      </c>
      <c r="B1109" s="2" t="s">
        <v>11</v>
      </c>
      <c r="C1109" s="2" t="s">
        <v>12</v>
      </c>
      <c r="D1109" s="2" t="s">
        <v>1618</v>
      </c>
      <c r="E1109" s="2" t="s">
        <v>1052</v>
      </c>
      <c r="F1109" s="2" t="s">
        <v>1673</v>
      </c>
      <c r="G1109" s="4">
        <v>804709</v>
      </c>
      <c r="H1109" s="6">
        <v>44901</v>
      </c>
      <c r="I1109" s="4">
        <v>0</v>
      </c>
      <c r="J1109" s="6">
        <v>44599</v>
      </c>
      <c r="K1109" t="str">
        <f t="shared" si="34"/>
        <v>Q1 2022</v>
      </c>
      <c r="L1109" t="str">
        <f t="shared" si="35"/>
        <v>Q1 2022</v>
      </c>
    </row>
    <row r="1110" spans="1:12" ht="15.75" customHeight="1" x14ac:dyDescent="0.3">
      <c r="A1110" s="2" t="s">
        <v>1674</v>
      </c>
      <c r="B1110" s="2" t="s">
        <v>11</v>
      </c>
      <c r="C1110" s="2" t="s">
        <v>12</v>
      </c>
      <c r="D1110" s="2" t="s">
        <v>1618</v>
      </c>
      <c r="E1110" s="2" t="s">
        <v>1075</v>
      </c>
      <c r="F1110" s="2" t="s">
        <v>1675</v>
      </c>
      <c r="G1110" s="4">
        <v>48456</v>
      </c>
      <c r="H1110" s="6">
        <v>44928</v>
      </c>
      <c r="I1110" s="4">
        <v>0</v>
      </c>
      <c r="J1110" s="6">
        <v>44961</v>
      </c>
      <c r="K1110" t="str">
        <f t="shared" si="34"/>
        <v>Q1 2023</v>
      </c>
      <c r="L1110" t="str">
        <f t="shared" si="35"/>
        <v>Q1 2023</v>
      </c>
    </row>
    <row r="1111" spans="1:12" ht="15.75" customHeight="1" x14ac:dyDescent="0.3">
      <c r="A1111" s="2" t="s">
        <v>1676</v>
      </c>
      <c r="B1111" s="2" t="s">
        <v>11</v>
      </c>
      <c r="C1111" s="2" t="s">
        <v>12</v>
      </c>
      <c r="D1111" s="2" t="s">
        <v>1618</v>
      </c>
      <c r="E1111" s="2" t="s">
        <v>1052</v>
      </c>
      <c r="F1111" s="2" t="s">
        <v>1161</v>
      </c>
      <c r="G1111" s="4">
        <v>112690</v>
      </c>
      <c r="H1111" s="6">
        <v>44563</v>
      </c>
      <c r="I1111" s="4">
        <v>0</v>
      </c>
      <c r="J1111" s="6">
        <v>44596</v>
      </c>
      <c r="K1111" t="str">
        <f t="shared" si="34"/>
        <v>Q1 2022</v>
      </c>
      <c r="L1111" t="str">
        <f t="shared" si="35"/>
        <v>Q1 2022</v>
      </c>
    </row>
    <row r="1112" spans="1:12" ht="15.75" customHeight="1" x14ac:dyDescent="0.3">
      <c r="A1112" s="2" t="s">
        <v>1677</v>
      </c>
      <c r="B1112" s="2" t="s">
        <v>11</v>
      </c>
      <c r="C1112" s="2" t="s">
        <v>12</v>
      </c>
      <c r="D1112" s="2" t="s">
        <v>1618</v>
      </c>
      <c r="E1112" s="2" t="s">
        <v>1075</v>
      </c>
      <c r="F1112" s="2" t="s">
        <v>1678</v>
      </c>
      <c r="G1112" s="4">
        <v>43896</v>
      </c>
      <c r="H1112" s="6">
        <v>44629</v>
      </c>
      <c r="I1112" s="4">
        <v>0</v>
      </c>
      <c r="J1112" s="6">
        <v>44603</v>
      </c>
      <c r="K1112" t="str">
        <f t="shared" si="34"/>
        <v>Q1 2022</v>
      </c>
      <c r="L1112" t="str">
        <f t="shared" si="35"/>
        <v>Q1 2022</v>
      </c>
    </row>
    <row r="1113" spans="1:12" ht="15.75" customHeight="1" x14ac:dyDescent="0.3">
      <c r="A1113" s="2" t="s">
        <v>1679</v>
      </c>
      <c r="B1113" s="2" t="s">
        <v>11</v>
      </c>
      <c r="C1113" s="2" t="s">
        <v>12</v>
      </c>
      <c r="D1113" s="2" t="s">
        <v>1618</v>
      </c>
      <c r="E1113" s="2" t="s">
        <v>1052</v>
      </c>
      <c r="F1113" s="2" t="s">
        <v>1208</v>
      </c>
      <c r="G1113" s="4">
        <v>98316</v>
      </c>
      <c r="H1113" s="5" t="s">
        <v>136</v>
      </c>
      <c r="I1113" s="4">
        <v>0</v>
      </c>
      <c r="J1113" s="6">
        <v>44598</v>
      </c>
      <c r="K1113" t="str">
        <f t="shared" si="34"/>
        <v>Q1 2022</v>
      </c>
      <c r="L1113" t="str">
        <f t="shared" si="35"/>
        <v>Q1 2022</v>
      </c>
    </row>
    <row r="1114" spans="1:12" ht="15.75" customHeight="1" x14ac:dyDescent="0.3">
      <c r="A1114" s="2" t="s">
        <v>1680</v>
      </c>
      <c r="B1114" s="2" t="s">
        <v>11</v>
      </c>
      <c r="C1114" s="2" t="s">
        <v>12</v>
      </c>
      <c r="D1114" s="2" t="s">
        <v>1618</v>
      </c>
      <c r="E1114" s="2" t="s">
        <v>1052</v>
      </c>
      <c r="F1114" s="2" t="s">
        <v>1093</v>
      </c>
      <c r="G1114" s="4">
        <v>404413</v>
      </c>
      <c r="H1114" s="5" t="s">
        <v>42</v>
      </c>
      <c r="I1114" s="4">
        <v>0</v>
      </c>
      <c r="J1114" s="6">
        <v>44603</v>
      </c>
      <c r="K1114" t="str">
        <f t="shared" si="34"/>
        <v>Q1 2022</v>
      </c>
      <c r="L1114" t="str">
        <f t="shared" si="35"/>
        <v>Q1 2022</v>
      </c>
    </row>
    <row r="1115" spans="1:12" ht="15.75" customHeight="1" x14ac:dyDescent="0.3">
      <c r="A1115" s="2" t="s">
        <v>1681</v>
      </c>
      <c r="B1115" s="2" t="s">
        <v>11</v>
      </c>
      <c r="C1115" s="2" t="s">
        <v>12</v>
      </c>
      <c r="D1115" s="2" t="s">
        <v>1618</v>
      </c>
      <c r="E1115" s="2" t="s">
        <v>1052</v>
      </c>
      <c r="F1115" s="2" t="s">
        <v>1682</v>
      </c>
      <c r="G1115" s="4">
        <v>42234</v>
      </c>
      <c r="H1115" s="5" t="s">
        <v>42</v>
      </c>
      <c r="I1115" s="4">
        <v>0</v>
      </c>
      <c r="J1115" s="6">
        <v>44603</v>
      </c>
      <c r="K1115" t="str">
        <f t="shared" si="34"/>
        <v>Q1 2022</v>
      </c>
      <c r="L1115" t="str">
        <f t="shared" si="35"/>
        <v>Q1 2022</v>
      </c>
    </row>
    <row r="1116" spans="1:12" ht="15.75" customHeight="1" x14ac:dyDescent="0.3">
      <c r="A1116" s="2" t="s">
        <v>1683</v>
      </c>
      <c r="B1116" s="2" t="s">
        <v>20</v>
      </c>
      <c r="C1116" s="2" t="s">
        <v>57</v>
      </c>
      <c r="D1116" s="2" t="s">
        <v>1618</v>
      </c>
      <c r="E1116" s="2" t="s">
        <v>1052</v>
      </c>
      <c r="F1116" s="2" t="s">
        <v>1684</v>
      </c>
      <c r="G1116" s="4">
        <v>143555</v>
      </c>
      <c r="H1116" s="5" t="s">
        <v>1685</v>
      </c>
      <c r="I1116" s="4">
        <v>17944</v>
      </c>
      <c r="J1116" s="6">
        <v>44775</v>
      </c>
      <c r="K1116" t="str">
        <f t="shared" si="34"/>
        <v>Q3 2022</v>
      </c>
      <c r="L1116" t="str">
        <f t="shared" si="35"/>
        <v>Q3 2022</v>
      </c>
    </row>
    <row r="1117" spans="1:12" ht="15.75" customHeight="1" x14ac:dyDescent="0.3">
      <c r="A1117" s="2" t="s">
        <v>1686</v>
      </c>
      <c r="B1117" s="2" t="s">
        <v>11</v>
      </c>
      <c r="C1117" s="2" t="s">
        <v>12</v>
      </c>
      <c r="D1117" s="2" t="s">
        <v>1618</v>
      </c>
      <c r="E1117" s="2" t="s">
        <v>1072</v>
      </c>
      <c r="F1117" s="2" t="s">
        <v>46</v>
      </c>
      <c r="G1117" s="4">
        <v>158784</v>
      </c>
      <c r="H1117" s="5" t="s">
        <v>71</v>
      </c>
      <c r="I1117" s="4">
        <v>0</v>
      </c>
      <c r="J1117" s="6">
        <v>44603</v>
      </c>
      <c r="K1117" t="str">
        <f t="shared" si="34"/>
        <v>Q1 2022</v>
      </c>
      <c r="L1117" t="str">
        <f t="shared" si="35"/>
        <v>Q1 2022</v>
      </c>
    </row>
    <row r="1118" spans="1:12" ht="15.75" customHeight="1" x14ac:dyDescent="0.3">
      <c r="A1118" s="2" t="s">
        <v>1687</v>
      </c>
      <c r="B1118" s="2" t="s">
        <v>11</v>
      </c>
      <c r="C1118" s="2" t="s">
        <v>12</v>
      </c>
      <c r="D1118" s="2" t="s">
        <v>1618</v>
      </c>
      <c r="E1118" s="2" t="s">
        <v>1075</v>
      </c>
      <c r="F1118" s="2" t="s">
        <v>46</v>
      </c>
      <c r="G1118" s="4">
        <v>270419</v>
      </c>
      <c r="H1118" s="6">
        <v>44986</v>
      </c>
      <c r="I1118" s="4">
        <v>0</v>
      </c>
      <c r="J1118" s="6">
        <v>44959</v>
      </c>
      <c r="K1118" t="str">
        <f t="shared" si="34"/>
        <v>Q1 2023</v>
      </c>
      <c r="L1118" t="str">
        <f t="shared" si="35"/>
        <v>Q1 2023</v>
      </c>
    </row>
    <row r="1119" spans="1:12" ht="15.75" customHeight="1" x14ac:dyDescent="0.3">
      <c r="A1119" s="2" t="s">
        <v>1688</v>
      </c>
      <c r="B1119" s="2" t="s">
        <v>11</v>
      </c>
      <c r="C1119" s="2" t="s">
        <v>12</v>
      </c>
      <c r="D1119" s="2" t="s">
        <v>1618</v>
      </c>
      <c r="E1119" s="2" t="s">
        <v>1052</v>
      </c>
      <c r="F1119" s="2" t="s">
        <v>1689</v>
      </c>
      <c r="G1119" s="4">
        <v>70043</v>
      </c>
      <c r="H1119" s="6">
        <v>44629</v>
      </c>
      <c r="I1119" s="4">
        <v>0</v>
      </c>
      <c r="J1119" s="6">
        <v>44603</v>
      </c>
      <c r="K1119" t="str">
        <f t="shared" si="34"/>
        <v>Q1 2022</v>
      </c>
      <c r="L1119" t="str">
        <f t="shared" si="35"/>
        <v>Q1 2022</v>
      </c>
    </row>
    <row r="1120" spans="1:12" ht="15.75" customHeight="1" x14ac:dyDescent="0.3">
      <c r="A1120" s="2" t="s">
        <v>1690</v>
      </c>
      <c r="B1120" s="2" t="s">
        <v>11</v>
      </c>
      <c r="C1120" s="2" t="s">
        <v>12</v>
      </c>
      <c r="D1120" s="2" t="s">
        <v>1618</v>
      </c>
      <c r="E1120" s="2" t="s">
        <v>1052</v>
      </c>
      <c r="F1120" s="2" t="s">
        <v>1691</v>
      </c>
      <c r="G1120" s="4">
        <v>189646</v>
      </c>
      <c r="H1120" s="6">
        <v>44624</v>
      </c>
      <c r="I1120" s="4">
        <v>0</v>
      </c>
      <c r="J1120" s="6">
        <v>44598</v>
      </c>
      <c r="K1120" t="str">
        <f t="shared" si="34"/>
        <v>Q1 2022</v>
      </c>
      <c r="L1120" t="str">
        <f t="shared" si="35"/>
        <v>Q1 2022</v>
      </c>
    </row>
    <row r="1121" spans="1:12" ht="15.75" customHeight="1" x14ac:dyDescent="0.3">
      <c r="A1121" s="2" t="s">
        <v>1692</v>
      </c>
      <c r="B1121" s="2" t="s">
        <v>11</v>
      </c>
      <c r="C1121" s="2" t="s">
        <v>12</v>
      </c>
      <c r="D1121" s="2" t="s">
        <v>1618</v>
      </c>
      <c r="E1121" s="2" t="s">
        <v>1052</v>
      </c>
      <c r="F1121" s="2" t="s">
        <v>1693</v>
      </c>
      <c r="G1121" s="4">
        <v>323942</v>
      </c>
      <c r="H1121" s="5" t="s">
        <v>130</v>
      </c>
      <c r="I1121" s="4">
        <v>0</v>
      </c>
      <c r="J1121" s="6">
        <v>44601</v>
      </c>
      <c r="K1121" t="str">
        <f t="shared" si="34"/>
        <v>Q1 2022</v>
      </c>
      <c r="L1121" t="str">
        <f t="shared" si="35"/>
        <v>Q1 2022</v>
      </c>
    </row>
    <row r="1122" spans="1:12" ht="15.75" customHeight="1" x14ac:dyDescent="0.3">
      <c r="A1122" s="2" t="s">
        <v>1694</v>
      </c>
      <c r="B1122" s="2" t="s">
        <v>20</v>
      </c>
      <c r="C1122" s="2" t="s">
        <v>57</v>
      </c>
      <c r="D1122" s="2" t="s">
        <v>1618</v>
      </c>
      <c r="E1122" s="2" t="s">
        <v>1052</v>
      </c>
      <c r="F1122" s="2" t="s">
        <v>1082</v>
      </c>
      <c r="G1122" s="4">
        <v>141978</v>
      </c>
      <c r="H1122" s="6">
        <v>44631</v>
      </c>
      <c r="I1122" s="4">
        <v>70989</v>
      </c>
      <c r="J1122" s="5" t="s">
        <v>97</v>
      </c>
      <c r="K1122" t="str">
        <f t="shared" si="34"/>
        <v>Q4 2022</v>
      </c>
      <c r="L1122" t="str">
        <f t="shared" si="35"/>
        <v>Q4 2022</v>
      </c>
    </row>
    <row r="1123" spans="1:12" ht="15.75" customHeight="1" x14ac:dyDescent="0.3">
      <c r="A1123" s="2" t="s">
        <v>1695</v>
      </c>
      <c r="B1123" s="2" t="s">
        <v>11</v>
      </c>
      <c r="C1123" s="2" t="s">
        <v>12</v>
      </c>
      <c r="D1123" s="2" t="s">
        <v>1618</v>
      </c>
      <c r="E1123" s="2" t="s">
        <v>1052</v>
      </c>
      <c r="F1123" s="2" t="s">
        <v>1696</v>
      </c>
      <c r="G1123" s="4">
        <v>195611</v>
      </c>
      <c r="H1123" s="5" t="s">
        <v>71</v>
      </c>
      <c r="I1123" s="4">
        <v>0</v>
      </c>
      <c r="J1123" s="6">
        <v>44603</v>
      </c>
      <c r="K1123" t="str">
        <f t="shared" si="34"/>
        <v>Q1 2022</v>
      </c>
      <c r="L1123" t="str">
        <f t="shared" si="35"/>
        <v>Q1 2022</v>
      </c>
    </row>
    <row r="1124" spans="1:12" ht="15.75" customHeight="1" x14ac:dyDescent="0.3">
      <c r="A1124" s="2" t="s">
        <v>1697</v>
      </c>
      <c r="B1124" s="2" t="s">
        <v>11</v>
      </c>
      <c r="C1124" s="2" t="s">
        <v>12</v>
      </c>
      <c r="D1124" s="2" t="s">
        <v>1618</v>
      </c>
      <c r="E1124" s="2" t="s">
        <v>1052</v>
      </c>
      <c r="F1124" s="2" t="s">
        <v>1078</v>
      </c>
      <c r="G1124" s="4">
        <v>340449</v>
      </c>
      <c r="H1124" s="5" t="s">
        <v>232</v>
      </c>
      <c r="I1124" s="4">
        <v>0</v>
      </c>
      <c r="J1124" s="6">
        <v>44594</v>
      </c>
      <c r="K1124" t="str">
        <f t="shared" si="34"/>
        <v>Q1 2022</v>
      </c>
      <c r="L1124" t="str">
        <f t="shared" si="35"/>
        <v>Q1 2022</v>
      </c>
    </row>
    <row r="1125" spans="1:12" ht="15.75" customHeight="1" x14ac:dyDescent="0.3">
      <c r="A1125" s="2" t="s">
        <v>1698</v>
      </c>
      <c r="B1125" s="2" t="s">
        <v>11</v>
      </c>
      <c r="C1125" s="2" t="s">
        <v>12</v>
      </c>
      <c r="D1125" s="2" t="s">
        <v>1618</v>
      </c>
      <c r="E1125" s="2" t="s">
        <v>1052</v>
      </c>
      <c r="F1125" s="2" t="s">
        <v>1699</v>
      </c>
      <c r="G1125" s="4">
        <v>180897</v>
      </c>
      <c r="H1125" s="5" t="s">
        <v>25</v>
      </c>
      <c r="I1125" s="4">
        <v>0</v>
      </c>
      <c r="J1125" s="6">
        <v>44603</v>
      </c>
      <c r="K1125" t="str">
        <f t="shared" si="34"/>
        <v>Q1 2022</v>
      </c>
      <c r="L1125" t="str">
        <f t="shared" si="35"/>
        <v>Q1 2022</v>
      </c>
    </row>
    <row r="1126" spans="1:12" ht="15.75" customHeight="1" x14ac:dyDescent="0.3">
      <c r="A1126" s="2" t="s">
        <v>1700</v>
      </c>
      <c r="B1126" s="2" t="s">
        <v>20</v>
      </c>
      <c r="C1126" s="2" t="s">
        <v>57</v>
      </c>
      <c r="D1126" s="2" t="s">
        <v>1618</v>
      </c>
      <c r="E1126" s="2" t="s">
        <v>1052</v>
      </c>
      <c r="F1126" s="2" t="s">
        <v>1701</v>
      </c>
      <c r="G1126" s="4">
        <v>107231</v>
      </c>
      <c r="H1126" s="5" t="s">
        <v>1702</v>
      </c>
      <c r="I1126" s="4">
        <v>53615</v>
      </c>
      <c r="J1126" s="6">
        <v>44692</v>
      </c>
      <c r="K1126" t="str">
        <f t="shared" si="34"/>
        <v>Q2 2022</v>
      </c>
      <c r="L1126" t="str">
        <f t="shared" si="35"/>
        <v>Q2 2022</v>
      </c>
    </row>
    <row r="1127" spans="1:12" ht="15.75" customHeight="1" x14ac:dyDescent="0.3">
      <c r="A1127" s="2" t="s">
        <v>1703</v>
      </c>
      <c r="B1127" s="2" t="s">
        <v>11</v>
      </c>
      <c r="C1127" s="2" t="s">
        <v>12</v>
      </c>
      <c r="D1127" s="2" t="s">
        <v>1618</v>
      </c>
      <c r="E1127" s="2" t="s">
        <v>1052</v>
      </c>
      <c r="F1127" s="2" t="s">
        <v>1704</v>
      </c>
      <c r="G1127" s="4">
        <v>304640</v>
      </c>
      <c r="H1127" s="6">
        <v>44624</v>
      </c>
      <c r="I1127" s="4">
        <v>0</v>
      </c>
      <c r="J1127" s="6">
        <v>44598</v>
      </c>
      <c r="K1127" t="str">
        <f t="shared" si="34"/>
        <v>Q1 2022</v>
      </c>
      <c r="L1127" t="str">
        <f t="shared" si="35"/>
        <v>Q1 2022</v>
      </c>
    </row>
    <row r="1128" spans="1:12" ht="15.75" customHeight="1" x14ac:dyDescent="0.3">
      <c r="A1128" s="2" t="s">
        <v>1705</v>
      </c>
      <c r="B1128" s="2" t="s">
        <v>11</v>
      </c>
      <c r="C1128" s="2" t="s">
        <v>12</v>
      </c>
      <c r="D1128" s="2" t="s">
        <v>1618</v>
      </c>
      <c r="E1128" s="2" t="s">
        <v>1052</v>
      </c>
      <c r="F1128" s="2" t="s">
        <v>1706</v>
      </c>
      <c r="G1128" s="4">
        <v>42218</v>
      </c>
      <c r="H1128" s="6">
        <v>44238</v>
      </c>
      <c r="I1128" s="4">
        <v>0</v>
      </c>
      <c r="J1128" s="6">
        <v>44239</v>
      </c>
      <c r="K1128" t="str">
        <f t="shared" si="34"/>
        <v>Q1 2021</v>
      </c>
      <c r="L1128" t="str">
        <f t="shared" si="35"/>
        <v>Q1 2021</v>
      </c>
    </row>
    <row r="1129" spans="1:12" ht="15.75" customHeight="1" x14ac:dyDescent="0.3">
      <c r="A1129" s="2" t="s">
        <v>1707</v>
      </c>
      <c r="B1129" s="2" t="s">
        <v>11</v>
      </c>
      <c r="C1129" s="2" t="s">
        <v>12</v>
      </c>
      <c r="D1129" s="2" t="s">
        <v>1618</v>
      </c>
      <c r="E1129" s="2" t="s">
        <v>1075</v>
      </c>
      <c r="F1129" s="2" t="s">
        <v>1708</v>
      </c>
      <c r="G1129" s="4">
        <v>262297</v>
      </c>
      <c r="H1129" s="5" t="s">
        <v>25</v>
      </c>
      <c r="I1129" s="4">
        <v>0</v>
      </c>
      <c r="J1129" s="6">
        <v>44603</v>
      </c>
      <c r="K1129" t="str">
        <f t="shared" si="34"/>
        <v>Q1 2022</v>
      </c>
      <c r="L1129" t="str">
        <f t="shared" si="35"/>
        <v>Q1 2022</v>
      </c>
    </row>
    <row r="1130" spans="1:12" ht="15.75" customHeight="1" x14ac:dyDescent="0.3">
      <c r="A1130" s="2" t="s">
        <v>1709</v>
      </c>
      <c r="B1130" s="2" t="s">
        <v>11</v>
      </c>
      <c r="C1130" s="2" t="s">
        <v>12</v>
      </c>
      <c r="D1130" s="2" t="s">
        <v>1618</v>
      </c>
      <c r="E1130" s="2" t="s">
        <v>1052</v>
      </c>
      <c r="F1130" s="2" t="s">
        <v>1710</v>
      </c>
      <c r="G1130" s="4">
        <v>270461</v>
      </c>
      <c r="H1130" s="5" t="s">
        <v>42</v>
      </c>
      <c r="I1130" s="4">
        <v>0</v>
      </c>
      <c r="J1130" s="6">
        <v>44603</v>
      </c>
      <c r="K1130" t="str">
        <f t="shared" si="34"/>
        <v>Q1 2022</v>
      </c>
      <c r="L1130" t="str">
        <f t="shared" si="35"/>
        <v>Q1 2022</v>
      </c>
    </row>
    <row r="1131" spans="1:12" ht="15.75" customHeight="1" x14ac:dyDescent="0.3">
      <c r="A1131" s="2" t="s">
        <v>1711</v>
      </c>
      <c r="B1131" s="2" t="s">
        <v>11</v>
      </c>
      <c r="C1131" s="2" t="s">
        <v>12</v>
      </c>
      <c r="D1131" s="2" t="s">
        <v>1618</v>
      </c>
      <c r="E1131" s="2" t="s">
        <v>1075</v>
      </c>
      <c r="F1131" s="2" t="s">
        <v>46</v>
      </c>
      <c r="G1131" s="4">
        <v>121657</v>
      </c>
      <c r="H1131" s="5" t="s">
        <v>30</v>
      </c>
      <c r="I1131" s="4">
        <v>0</v>
      </c>
      <c r="J1131" s="6">
        <v>44603</v>
      </c>
      <c r="K1131" t="str">
        <f t="shared" si="34"/>
        <v>Q1 2022</v>
      </c>
      <c r="L1131" t="str">
        <f t="shared" si="35"/>
        <v>Q1 2022</v>
      </c>
    </row>
    <row r="1132" spans="1:12" ht="15.75" customHeight="1" x14ac:dyDescent="0.3">
      <c r="A1132" s="2" t="s">
        <v>1712</v>
      </c>
      <c r="B1132" s="2" t="s">
        <v>11</v>
      </c>
      <c r="C1132" s="2" t="s">
        <v>12</v>
      </c>
      <c r="D1132" s="2" t="s">
        <v>1618</v>
      </c>
      <c r="E1132" s="2" t="s">
        <v>1052</v>
      </c>
      <c r="F1132" s="2" t="s">
        <v>1713</v>
      </c>
      <c r="G1132" s="4">
        <v>421991</v>
      </c>
      <c r="H1132" s="6">
        <v>44630</v>
      </c>
      <c r="I1132" s="4">
        <v>0</v>
      </c>
      <c r="J1132" s="6">
        <v>44603</v>
      </c>
      <c r="K1132" t="str">
        <f t="shared" si="34"/>
        <v>Q1 2022</v>
      </c>
      <c r="L1132" t="str">
        <f t="shared" si="35"/>
        <v>Q1 2022</v>
      </c>
    </row>
    <row r="1133" spans="1:12" ht="15.75" customHeight="1" x14ac:dyDescent="0.3">
      <c r="A1133" s="2" t="s">
        <v>1714</v>
      </c>
      <c r="B1133" s="2" t="s">
        <v>11</v>
      </c>
      <c r="C1133" s="2" t="s">
        <v>12</v>
      </c>
      <c r="D1133" s="2" t="s">
        <v>1618</v>
      </c>
      <c r="E1133" s="2" t="s">
        <v>1052</v>
      </c>
      <c r="F1133" s="2" t="s">
        <v>46</v>
      </c>
      <c r="G1133" s="4">
        <v>120899</v>
      </c>
      <c r="H1133" s="6">
        <v>44298</v>
      </c>
      <c r="I1133" s="4">
        <v>0</v>
      </c>
      <c r="J1133" s="6">
        <v>44594</v>
      </c>
      <c r="K1133" t="str">
        <f t="shared" si="34"/>
        <v>Q1 2022</v>
      </c>
      <c r="L1133" t="str">
        <f t="shared" si="35"/>
        <v>Q1 2022</v>
      </c>
    </row>
    <row r="1134" spans="1:12" ht="15.75" customHeight="1" x14ac:dyDescent="0.3">
      <c r="A1134" s="2" t="s">
        <v>1715</v>
      </c>
      <c r="B1134" s="2" t="s">
        <v>20</v>
      </c>
      <c r="C1134" s="2" t="s">
        <v>21</v>
      </c>
      <c r="D1134" s="2" t="s">
        <v>1618</v>
      </c>
      <c r="E1134" s="2" t="s">
        <v>1052</v>
      </c>
      <c r="F1134" s="2" t="s">
        <v>1716</v>
      </c>
      <c r="G1134" s="4">
        <v>155785</v>
      </c>
      <c r="H1134" s="6">
        <v>44595</v>
      </c>
      <c r="I1134" s="4">
        <v>77892</v>
      </c>
      <c r="J1134" s="6">
        <v>44869</v>
      </c>
      <c r="K1134" t="str">
        <f t="shared" si="34"/>
        <v>Q4 2022</v>
      </c>
      <c r="L1134" t="str">
        <f t="shared" si="35"/>
        <v>Q4 2022</v>
      </c>
    </row>
    <row r="1135" spans="1:12" ht="15.75" customHeight="1" x14ac:dyDescent="0.3">
      <c r="A1135" s="2" t="s">
        <v>1717</v>
      </c>
      <c r="B1135" s="2" t="s">
        <v>11</v>
      </c>
      <c r="C1135" s="2" t="s">
        <v>12</v>
      </c>
      <c r="D1135" s="2" t="s">
        <v>1618</v>
      </c>
      <c r="E1135" s="2" t="s">
        <v>1052</v>
      </c>
      <c r="F1135" s="2" t="s">
        <v>1664</v>
      </c>
      <c r="G1135" s="4">
        <v>686067</v>
      </c>
      <c r="H1135" s="5" t="s">
        <v>71</v>
      </c>
      <c r="I1135" s="4">
        <v>0</v>
      </c>
      <c r="J1135" s="6">
        <v>44603</v>
      </c>
      <c r="K1135" t="str">
        <f t="shared" si="34"/>
        <v>Q1 2022</v>
      </c>
      <c r="L1135" t="str">
        <f t="shared" si="35"/>
        <v>Q1 2022</v>
      </c>
    </row>
    <row r="1136" spans="1:12" ht="15.75" customHeight="1" x14ac:dyDescent="0.3">
      <c r="A1136" s="2" t="s">
        <v>1718</v>
      </c>
      <c r="B1136" s="2" t="s">
        <v>11</v>
      </c>
      <c r="C1136" s="2" t="s">
        <v>12</v>
      </c>
      <c r="D1136" s="2" t="s">
        <v>1618</v>
      </c>
      <c r="E1136" s="2" t="s">
        <v>1052</v>
      </c>
      <c r="F1136" s="2" t="s">
        <v>1719</v>
      </c>
      <c r="G1136" s="4">
        <v>57380</v>
      </c>
      <c r="H1136" s="5" t="s">
        <v>167</v>
      </c>
      <c r="I1136" s="4">
        <v>0</v>
      </c>
      <c r="J1136" s="6">
        <v>44960</v>
      </c>
      <c r="K1136" t="str">
        <f t="shared" si="34"/>
        <v>Q1 2023</v>
      </c>
      <c r="L1136" t="str">
        <f t="shared" si="35"/>
        <v>Q1 2023</v>
      </c>
    </row>
    <row r="1137" spans="1:12" ht="15.75" customHeight="1" x14ac:dyDescent="0.3">
      <c r="A1137" s="2" t="s">
        <v>1720</v>
      </c>
      <c r="B1137" s="2" t="s">
        <v>11</v>
      </c>
      <c r="C1137" s="2" t="s">
        <v>12</v>
      </c>
      <c r="D1137" s="2" t="s">
        <v>1618</v>
      </c>
      <c r="E1137" s="2" t="s">
        <v>1052</v>
      </c>
      <c r="F1137" s="2" t="s">
        <v>1721</v>
      </c>
      <c r="G1137" s="4">
        <v>250938</v>
      </c>
      <c r="H1137" s="5" t="s">
        <v>123</v>
      </c>
      <c r="I1137" s="4">
        <v>0</v>
      </c>
      <c r="J1137" s="6">
        <v>44594</v>
      </c>
      <c r="K1137" t="str">
        <f t="shared" si="34"/>
        <v>Q1 2022</v>
      </c>
      <c r="L1137" t="str">
        <f t="shared" si="35"/>
        <v>Q1 2022</v>
      </c>
    </row>
    <row r="1138" spans="1:12" ht="15.75" customHeight="1" x14ac:dyDescent="0.3">
      <c r="A1138" s="2" t="s">
        <v>1722</v>
      </c>
      <c r="B1138" s="2" t="s">
        <v>11</v>
      </c>
      <c r="C1138" s="2" t="s">
        <v>12</v>
      </c>
      <c r="D1138" s="2" t="s">
        <v>1618</v>
      </c>
      <c r="E1138" s="2" t="s">
        <v>1052</v>
      </c>
      <c r="F1138" s="2" t="s">
        <v>1093</v>
      </c>
      <c r="G1138" s="4">
        <v>211472</v>
      </c>
      <c r="H1138" s="5" t="s">
        <v>378</v>
      </c>
      <c r="I1138" s="4">
        <v>0</v>
      </c>
      <c r="J1138" s="6">
        <v>44958</v>
      </c>
      <c r="K1138" t="str">
        <f t="shared" si="34"/>
        <v>Q1 2023</v>
      </c>
      <c r="L1138" t="str">
        <f t="shared" si="35"/>
        <v>Q1 2023</v>
      </c>
    </row>
    <row r="1139" spans="1:12" ht="15.75" customHeight="1" x14ac:dyDescent="0.3">
      <c r="A1139" s="2" t="s">
        <v>1723</v>
      </c>
      <c r="B1139" s="2" t="s">
        <v>11</v>
      </c>
      <c r="C1139" s="2" t="s">
        <v>12</v>
      </c>
      <c r="D1139" s="2" t="s">
        <v>1618</v>
      </c>
      <c r="E1139" s="2" t="s">
        <v>1052</v>
      </c>
      <c r="F1139" s="2" t="s">
        <v>46</v>
      </c>
      <c r="G1139" s="4">
        <v>177791</v>
      </c>
      <c r="H1139" s="5" t="s">
        <v>333</v>
      </c>
      <c r="I1139" s="4">
        <v>0</v>
      </c>
      <c r="J1139" s="6">
        <v>44598</v>
      </c>
      <c r="K1139" t="str">
        <f t="shared" si="34"/>
        <v>Q1 2022</v>
      </c>
      <c r="L1139" t="str">
        <f t="shared" si="35"/>
        <v>Q1 2022</v>
      </c>
    </row>
    <row r="1140" spans="1:12" ht="15.75" customHeight="1" x14ac:dyDescent="0.3">
      <c r="A1140" s="2" t="s">
        <v>1724</v>
      </c>
      <c r="B1140" s="2" t="s">
        <v>20</v>
      </c>
      <c r="C1140" s="2" t="s">
        <v>57</v>
      </c>
      <c r="D1140" s="2" t="s">
        <v>1618</v>
      </c>
      <c r="E1140" s="2" t="s">
        <v>1052</v>
      </c>
      <c r="F1140" s="2" t="s">
        <v>1725</v>
      </c>
      <c r="G1140" s="4">
        <v>301094</v>
      </c>
      <c r="H1140" s="6">
        <v>44783</v>
      </c>
      <c r="I1140" s="4">
        <v>150547</v>
      </c>
      <c r="J1140" s="5" t="s">
        <v>301</v>
      </c>
      <c r="K1140" t="str">
        <f t="shared" si="34"/>
        <v>Q4 2022</v>
      </c>
      <c r="L1140" t="str">
        <f t="shared" si="35"/>
        <v>Q4 2022</v>
      </c>
    </row>
    <row r="1141" spans="1:12" ht="15.75" customHeight="1" x14ac:dyDescent="0.3">
      <c r="A1141" s="2" t="s">
        <v>1726</v>
      </c>
      <c r="B1141" s="2" t="s">
        <v>20</v>
      </c>
      <c r="C1141" s="2" t="s">
        <v>57</v>
      </c>
      <c r="D1141" s="2" t="s">
        <v>1618</v>
      </c>
      <c r="E1141" s="2" t="s">
        <v>1052</v>
      </c>
      <c r="F1141" s="2" t="s">
        <v>1727</v>
      </c>
      <c r="G1141" s="4">
        <v>217224</v>
      </c>
      <c r="H1141" s="5" t="s">
        <v>434</v>
      </c>
      <c r="I1141" s="4">
        <v>108612</v>
      </c>
      <c r="J1141" s="5" t="s">
        <v>1728</v>
      </c>
      <c r="K1141" t="str">
        <f t="shared" si="34"/>
        <v>Q2 2023</v>
      </c>
      <c r="L1141" t="str">
        <f t="shared" si="35"/>
        <v>Q2 2023</v>
      </c>
    </row>
    <row r="1142" spans="1:12" ht="15.75" customHeight="1" x14ac:dyDescent="0.3">
      <c r="A1142" s="2" t="s">
        <v>1729</v>
      </c>
      <c r="B1142" s="2" t="s">
        <v>11</v>
      </c>
      <c r="C1142" s="2" t="s">
        <v>12</v>
      </c>
      <c r="D1142" s="2" t="s">
        <v>1618</v>
      </c>
      <c r="E1142" s="2" t="s">
        <v>1075</v>
      </c>
      <c r="F1142" s="2" t="s">
        <v>1730</v>
      </c>
      <c r="G1142" s="4">
        <v>434352</v>
      </c>
      <c r="H1142" s="5" t="s">
        <v>16</v>
      </c>
      <c r="I1142" s="4">
        <v>0</v>
      </c>
      <c r="J1142" s="6">
        <v>44596</v>
      </c>
      <c r="K1142" t="str">
        <f t="shared" si="34"/>
        <v>Q1 2022</v>
      </c>
      <c r="L1142" t="str">
        <f t="shared" si="35"/>
        <v>Q1 2022</v>
      </c>
    </row>
    <row r="1143" spans="1:12" ht="15.75" customHeight="1" x14ac:dyDescent="0.3">
      <c r="A1143" s="2" t="s">
        <v>1731</v>
      </c>
      <c r="B1143" s="2" t="s">
        <v>11</v>
      </c>
      <c r="C1143" s="2" t="s">
        <v>12</v>
      </c>
      <c r="D1143" s="2" t="s">
        <v>1618</v>
      </c>
      <c r="E1143" s="2" t="s">
        <v>1052</v>
      </c>
      <c r="F1143" s="2" t="s">
        <v>1732</v>
      </c>
      <c r="G1143" s="4">
        <v>373568</v>
      </c>
      <c r="H1143" s="5" t="s">
        <v>123</v>
      </c>
      <c r="I1143" s="4">
        <v>0</v>
      </c>
      <c r="J1143" s="6">
        <v>44594</v>
      </c>
      <c r="K1143" t="str">
        <f t="shared" si="34"/>
        <v>Q1 2022</v>
      </c>
      <c r="L1143" t="str">
        <f t="shared" si="35"/>
        <v>Q1 2022</v>
      </c>
    </row>
    <row r="1144" spans="1:12" ht="15.75" customHeight="1" x14ac:dyDescent="0.3">
      <c r="A1144" s="2" t="s">
        <v>1733</v>
      </c>
      <c r="B1144" s="2" t="s">
        <v>11</v>
      </c>
      <c r="C1144" s="2" t="s">
        <v>12</v>
      </c>
      <c r="D1144" s="2" t="s">
        <v>1618</v>
      </c>
      <c r="E1144" s="2" t="s">
        <v>1075</v>
      </c>
      <c r="F1144" s="2" t="s">
        <v>46</v>
      </c>
      <c r="G1144" s="4">
        <v>429547</v>
      </c>
      <c r="H1144" s="6">
        <v>44928</v>
      </c>
      <c r="I1144" s="4">
        <v>0</v>
      </c>
      <c r="J1144" s="6">
        <v>44961</v>
      </c>
      <c r="K1144" t="str">
        <f t="shared" si="34"/>
        <v>Q1 2023</v>
      </c>
      <c r="L1144" t="str">
        <f t="shared" si="35"/>
        <v>Q1 2023</v>
      </c>
    </row>
    <row r="1145" spans="1:12" ht="15.75" customHeight="1" x14ac:dyDescent="0.3">
      <c r="A1145" s="2" t="s">
        <v>1734</v>
      </c>
      <c r="B1145" s="2" t="s">
        <v>11</v>
      </c>
      <c r="C1145" s="2" t="s">
        <v>12</v>
      </c>
      <c r="D1145" s="2" t="s">
        <v>1618</v>
      </c>
      <c r="E1145" s="2" t="s">
        <v>1052</v>
      </c>
      <c r="F1145" s="2" t="s">
        <v>1735</v>
      </c>
      <c r="G1145" s="4">
        <v>123309</v>
      </c>
      <c r="H1145" s="5" t="s">
        <v>42</v>
      </c>
      <c r="I1145" s="4">
        <v>0</v>
      </c>
      <c r="J1145" s="6">
        <v>44603</v>
      </c>
      <c r="K1145" t="str">
        <f t="shared" si="34"/>
        <v>Q1 2022</v>
      </c>
      <c r="L1145" t="str">
        <f t="shared" si="35"/>
        <v>Q1 2022</v>
      </c>
    </row>
    <row r="1146" spans="1:12" ht="15.75" customHeight="1" x14ac:dyDescent="0.3">
      <c r="A1146" s="2" t="s">
        <v>1736</v>
      </c>
      <c r="B1146" s="2" t="s">
        <v>11</v>
      </c>
      <c r="C1146" s="2" t="s">
        <v>12</v>
      </c>
      <c r="D1146" s="2" t="s">
        <v>1618</v>
      </c>
      <c r="E1146" s="2" t="s">
        <v>1052</v>
      </c>
      <c r="F1146" s="2" t="s">
        <v>1148</v>
      </c>
      <c r="G1146" s="4">
        <v>105623</v>
      </c>
      <c r="H1146" s="5" t="s">
        <v>71</v>
      </c>
      <c r="I1146" s="4">
        <v>0</v>
      </c>
      <c r="J1146" s="6">
        <v>44603</v>
      </c>
      <c r="K1146" t="str">
        <f t="shared" si="34"/>
        <v>Q1 2022</v>
      </c>
      <c r="L1146" t="str">
        <f t="shared" si="35"/>
        <v>Q1 2022</v>
      </c>
    </row>
    <row r="1147" spans="1:12" ht="15.75" customHeight="1" x14ac:dyDescent="0.3">
      <c r="A1147" s="2" t="s">
        <v>1737</v>
      </c>
      <c r="B1147" s="2" t="s">
        <v>20</v>
      </c>
      <c r="C1147" s="2" t="s">
        <v>57</v>
      </c>
      <c r="D1147" s="2" t="s">
        <v>1618</v>
      </c>
      <c r="E1147" s="2" t="s">
        <v>1052</v>
      </c>
      <c r="F1147" s="2" t="s">
        <v>1738</v>
      </c>
      <c r="G1147" s="4">
        <v>91198</v>
      </c>
      <c r="H1147" s="6">
        <v>44835</v>
      </c>
      <c r="I1147" s="4">
        <v>45599</v>
      </c>
      <c r="J1147" s="6">
        <v>44868</v>
      </c>
      <c r="K1147" t="str">
        <f t="shared" si="34"/>
        <v>Q4 2022</v>
      </c>
      <c r="L1147" t="str">
        <f t="shared" si="35"/>
        <v>Q4 2022</v>
      </c>
    </row>
    <row r="1148" spans="1:12" ht="15.75" customHeight="1" x14ac:dyDescent="0.3">
      <c r="A1148" s="2" t="s">
        <v>1739</v>
      </c>
      <c r="B1148" s="2" t="s">
        <v>11</v>
      </c>
      <c r="C1148" s="2" t="s">
        <v>12</v>
      </c>
      <c r="D1148" s="2" t="s">
        <v>1618</v>
      </c>
      <c r="E1148" s="2" t="s">
        <v>1052</v>
      </c>
      <c r="F1148" s="2" t="s">
        <v>1740</v>
      </c>
      <c r="G1148" s="4">
        <v>104884</v>
      </c>
      <c r="H1148" s="6">
        <v>44630</v>
      </c>
      <c r="I1148" s="4">
        <v>0</v>
      </c>
      <c r="J1148" s="6">
        <v>44604</v>
      </c>
      <c r="K1148" t="str">
        <f t="shared" si="34"/>
        <v>Q1 2022</v>
      </c>
      <c r="L1148" t="str">
        <f t="shared" si="35"/>
        <v>Q1 2022</v>
      </c>
    </row>
    <row r="1149" spans="1:12" ht="15.75" customHeight="1" x14ac:dyDescent="0.3">
      <c r="A1149" s="2" t="s">
        <v>1741</v>
      </c>
      <c r="B1149" s="2" t="s">
        <v>11</v>
      </c>
      <c r="C1149" s="2" t="s">
        <v>12</v>
      </c>
      <c r="D1149" s="2" t="s">
        <v>1618</v>
      </c>
      <c r="E1149" s="2" t="s">
        <v>1052</v>
      </c>
      <c r="F1149" s="2" t="s">
        <v>1742</v>
      </c>
      <c r="G1149" s="4">
        <v>136958</v>
      </c>
      <c r="H1149" s="6">
        <v>44624</v>
      </c>
      <c r="I1149" s="4">
        <v>0</v>
      </c>
      <c r="J1149" s="6">
        <v>44598</v>
      </c>
      <c r="K1149" t="str">
        <f t="shared" si="34"/>
        <v>Q1 2022</v>
      </c>
      <c r="L1149" t="str">
        <f t="shared" si="35"/>
        <v>Q1 2022</v>
      </c>
    </row>
    <row r="1150" spans="1:12" ht="15.75" customHeight="1" x14ac:dyDescent="0.3">
      <c r="A1150" s="2" t="s">
        <v>1743</v>
      </c>
      <c r="B1150" s="2" t="s">
        <v>11</v>
      </c>
      <c r="C1150" s="2" t="s">
        <v>12</v>
      </c>
      <c r="D1150" s="2" t="s">
        <v>1618</v>
      </c>
      <c r="E1150" s="2" t="s">
        <v>1052</v>
      </c>
      <c r="F1150" s="2" t="s">
        <v>1093</v>
      </c>
      <c r="G1150" s="4">
        <v>311132</v>
      </c>
      <c r="H1150" s="5" t="s">
        <v>25</v>
      </c>
      <c r="I1150" s="4">
        <v>0</v>
      </c>
      <c r="J1150" s="6">
        <v>44603</v>
      </c>
      <c r="K1150" t="str">
        <f t="shared" si="34"/>
        <v>Q1 2022</v>
      </c>
      <c r="L1150" t="str">
        <f t="shared" si="35"/>
        <v>Q1 2022</v>
      </c>
    </row>
    <row r="1151" spans="1:12" ht="15.75" customHeight="1" x14ac:dyDescent="0.3">
      <c r="A1151" s="2" t="s">
        <v>1744</v>
      </c>
      <c r="B1151" s="2" t="s">
        <v>11</v>
      </c>
      <c r="C1151" s="2" t="s">
        <v>12</v>
      </c>
      <c r="D1151" s="2" t="s">
        <v>1618</v>
      </c>
      <c r="E1151" s="2" t="s">
        <v>1052</v>
      </c>
      <c r="F1151" s="2" t="s">
        <v>1745</v>
      </c>
      <c r="G1151" s="4">
        <v>88044</v>
      </c>
      <c r="H1151" s="5" t="s">
        <v>1038</v>
      </c>
      <c r="I1151" s="4">
        <v>0</v>
      </c>
      <c r="J1151" s="6">
        <v>44237</v>
      </c>
      <c r="K1151" t="str">
        <f t="shared" si="34"/>
        <v>Q1 2021</v>
      </c>
      <c r="L1151" t="str">
        <f t="shared" si="35"/>
        <v>Q1 2021</v>
      </c>
    </row>
    <row r="1152" spans="1:12" ht="15.75" customHeight="1" x14ac:dyDescent="0.3">
      <c r="A1152" s="2" t="s">
        <v>1746</v>
      </c>
      <c r="B1152" s="2" t="s">
        <v>11</v>
      </c>
      <c r="C1152" s="2" t="s">
        <v>12</v>
      </c>
      <c r="D1152" s="2" t="s">
        <v>1618</v>
      </c>
      <c r="E1152" s="2" t="s">
        <v>1072</v>
      </c>
      <c r="F1152" s="2" t="s">
        <v>1597</v>
      </c>
      <c r="G1152" s="4">
        <v>56404</v>
      </c>
      <c r="H1152" s="5" t="s">
        <v>42</v>
      </c>
      <c r="I1152" s="4">
        <v>0</v>
      </c>
      <c r="J1152" s="6">
        <v>44603</v>
      </c>
      <c r="K1152" t="str">
        <f t="shared" si="34"/>
        <v>Q1 2022</v>
      </c>
      <c r="L1152" t="str">
        <f t="shared" si="35"/>
        <v>Q1 2022</v>
      </c>
    </row>
    <row r="1153" spans="1:12" ht="15.75" customHeight="1" x14ac:dyDescent="0.3">
      <c r="A1153" s="2" t="s">
        <v>1747</v>
      </c>
      <c r="B1153" s="2" t="s">
        <v>20</v>
      </c>
      <c r="C1153" s="2" t="s">
        <v>57</v>
      </c>
      <c r="D1153" s="2" t="s">
        <v>1618</v>
      </c>
      <c r="E1153" s="2" t="s">
        <v>1052</v>
      </c>
      <c r="F1153" s="2" t="s">
        <v>1748</v>
      </c>
      <c r="G1153" s="4">
        <v>98846</v>
      </c>
      <c r="H1153" s="7">
        <v>44875</v>
      </c>
      <c r="I1153" s="4">
        <v>24712</v>
      </c>
      <c r="J1153" s="5" t="s">
        <v>36</v>
      </c>
      <c r="K1153" t="str">
        <f t="shared" si="34"/>
        <v>Q4 2022</v>
      </c>
      <c r="L1153" t="str">
        <f t="shared" si="35"/>
        <v>Q4 2022</v>
      </c>
    </row>
    <row r="1154" spans="1:12" ht="15.75" customHeight="1" x14ac:dyDescent="0.3">
      <c r="A1154" s="2" t="s">
        <v>1749</v>
      </c>
      <c r="B1154" s="2" t="s">
        <v>11</v>
      </c>
      <c r="C1154" s="2" t="s">
        <v>12</v>
      </c>
      <c r="D1154" s="2" t="s">
        <v>1618</v>
      </c>
      <c r="E1154" s="2" t="s">
        <v>1075</v>
      </c>
      <c r="F1154" s="2" t="s">
        <v>46</v>
      </c>
      <c r="G1154" s="2"/>
      <c r="H1154" s="6">
        <v>44990</v>
      </c>
      <c r="I1154" s="4">
        <v>0</v>
      </c>
      <c r="J1154" s="6">
        <v>44963</v>
      </c>
      <c r="K1154" t="str">
        <f t="shared" ref="K1154:K1217" si="36">"Q" &amp; ROUNDUP(MONTH(J:J)/3,0) &amp; " " &amp; YEAR(J:J)</f>
        <v>Q1 2023</v>
      </c>
      <c r="L1154" t="str">
        <f t="shared" ref="L1154:L1217" si="37">"Q" &amp; ROUNDUP(MONTH(J:J)/3,0) &amp; " " &amp; YEAR(J:J)</f>
        <v>Q1 2023</v>
      </c>
    </row>
    <row r="1155" spans="1:12" ht="15.75" customHeight="1" x14ac:dyDescent="0.3">
      <c r="A1155" s="2" t="s">
        <v>1750</v>
      </c>
      <c r="B1155" s="2" t="s">
        <v>11</v>
      </c>
      <c r="C1155" s="2" t="s">
        <v>12</v>
      </c>
      <c r="D1155" s="2" t="s">
        <v>1618</v>
      </c>
      <c r="E1155" s="2" t="s">
        <v>1052</v>
      </c>
      <c r="F1155" s="2" t="s">
        <v>1751</v>
      </c>
      <c r="G1155" s="4">
        <v>57250</v>
      </c>
      <c r="H1155" s="5" t="s">
        <v>82</v>
      </c>
      <c r="I1155" s="4">
        <v>0</v>
      </c>
      <c r="J1155" s="6">
        <v>44597</v>
      </c>
      <c r="K1155" t="str">
        <f t="shared" si="36"/>
        <v>Q1 2022</v>
      </c>
      <c r="L1155" t="str">
        <f t="shared" si="37"/>
        <v>Q1 2022</v>
      </c>
    </row>
    <row r="1156" spans="1:12" ht="15.75" customHeight="1" x14ac:dyDescent="0.3">
      <c r="A1156" s="2" t="s">
        <v>1752</v>
      </c>
      <c r="B1156" s="2" t="s">
        <v>11</v>
      </c>
      <c r="C1156" s="2" t="s">
        <v>12</v>
      </c>
      <c r="D1156" s="2" t="s">
        <v>1618</v>
      </c>
      <c r="E1156" s="2" t="s">
        <v>1052</v>
      </c>
      <c r="F1156" s="2" t="s">
        <v>1753</v>
      </c>
      <c r="G1156" s="4">
        <v>107349</v>
      </c>
      <c r="H1156" s="6">
        <v>44628</v>
      </c>
      <c r="I1156" s="4">
        <v>0</v>
      </c>
      <c r="J1156" s="6">
        <v>44601</v>
      </c>
      <c r="K1156" t="str">
        <f t="shared" si="36"/>
        <v>Q1 2022</v>
      </c>
      <c r="L1156" t="str">
        <f t="shared" si="37"/>
        <v>Q1 2022</v>
      </c>
    </row>
    <row r="1157" spans="1:12" ht="15.75" customHeight="1" x14ac:dyDescent="0.3">
      <c r="A1157" s="2" t="s">
        <v>1754</v>
      </c>
      <c r="B1157" s="2" t="s">
        <v>11</v>
      </c>
      <c r="C1157" s="2" t="s">
        <v>12</v>
      </c>
      <c r="D1157" s="2" t="s">
        <v>1618</v>
      </c>
      <c r="E1157" s="2" t="s">
        <v>1052</v>
      </c>
      <c r="F1157" s="2" t="s">
        <v>1755</v>
      </c>
      <c r="G1157" s="4">
        <v>89785</v>
      </c>
      <c r="H1157" s="5" t="s">
        <v>179</v>
      </c>
      <c r="I1157" s="4">
        <v>0</v>
      </c>
      <c r="J1157" s="6">
        <v>44594</v>
      </c>
      <c r="K1157" t="str">
        <f t="shared" si="36"/>
        <v>Q1 2022</v>
      </c>
      <c r="L1157" t="str">
        <f t="shared" si="37"/>
        <v>Q1 2022</v>
      </c>
    </row>
    <row r="1158" spans="1:12" ht="15.75" customHeight="1" x14ac:dyDescent="0.3">
      <c r="A1158" s="2" t="s">
        <v>1756</v>
      </c>
      <c r="B1158" s="2" t="s">
        <v>11</v>
      </c>
      <c r="C1158" s="2" t="s">
        <v>12</v>
      </c>
      <c r="D1158" s="2" t="s">
        <v>1618</v>
      </c>
      <c r="E1158" s="2" t="s">
        <v>1052</v>
      </c>
      <c r="F1158" s="2" t="s">
        <v>1093</v>
      </c>
      <c r="G1158" s="4">
        <v>315752</v>
      </c>
      <c r="H1158" s="5" t="s">
        <v>255</v>
      </c>
      <c r="I1158" s="4">
        <v>0</v>
      </c>
      <c r="J1158" s="6">
        <v>44959</v>
      </c>
      <c r="K1158" t="str">
        <f t="shared" si="36"/>
        <v>Q1 2023</v>
      </c>
      <c r="L1158" t="str">
        <f t="shared" si="37"/>
        <v>Q1 2023</v>
      </c>
    </row>
    <row r="1159" spans="1:12" ht="15.75" customHeight="1" x14ac:dyDescent="0.3">
      <c r="A1159" s="2" t="s">
        <v>1757</v>
      </c>
      <c r="B1159" s="2" t="s">
        <v>11</v>
      </c>
      <c r="C1159" s="2" t="s">
        <v>12</v>
      </c>
      <c r="D1159" s="2" t="s">
        <v>1618</v>
      </c>
      <c r="E1159" s="2" t="s">
        <v>1072</v>
      </c>
      <c r="F1159" s="2" t="s">
        <v>1597</v>
      </c>
      <c r="G1159" s="4">
        <v>197463</v>
      </c>
      <c r="H1159" s="5" t="s">
        <v>71</v>
      </c>
      <c r="I1159" s="4">
        <v>0</v>
      </c>
      <c r="J1159" s="6">
        <v>44603</v>
      </c>
      <c r="K1159" t="str">
        <f t="shared" si="36"/>
        <v>Q1 2022</v>
      </c>
      <c r="L1159" t="str">
        <f t="shared" si="37"/>
        <v>Q1 2022</v>
      </c>
    </row>
    <row r="1160" spans="1:12" ht="15.75" customHeight="1" x14ac:dyDescent="0.3">
      <c r="A1160" s="2" t="s">
        <v>1758</v>
      </c>
      <c r="B1160" s="2" t="s">
        <v>11</v>
      </c>
      <c r="C1160" s="2" t="s">
        <v>12</v>
      </c>
      <c r="D1160" s="2" t="s">
        <v>1618</v>
      </c>
      <c r="E1160" s="2" t="s">
        <v>1075</v>
      </c>
      <c r="F1160" s="2" t="s">
        <v>46</v>
      </c>
      <c r="G1160" s="4">
        <v>97713</v>
      </c>
      <c r="H1160" s="6">
        <v>44928</v>
      </c>
      <c r="I1160" s="4">
        <v>0</v>
      </c>
      <c r="J1160" s="6">
        <v>44961</v>
      </c>
      <c r="K1160" t="str">
        <f t="shared" si="36"/>
        <v>Q1 2023</v>
      </c>
      <c r="L1160" t="str">
        <f t="shared" si="37"/>
        <v>Q1 2023</v>
      </c>
    </row>
    <row r="1161" spans="1:12" ht="15.75" customHeight="1" x14ac:dyDescent="0.3">
      <c r="A1161" s="2" t="s">
        <v>1759</v>
      </c>
      <c r="B1161" s="2" t="s">
        <v>11</v>
      </c>
      <c r="C1161" s="2" t="s">
        <v>12</v>
      </c>
      <c r="D1161" s="2" t="s">
        <v>1618</v>
      </c>
      <c r="E1161" s="2" t="s">
        <v>1052</v>
      </c>
      <c r="F1161" s="2" t="s">
        <v>1760</v>
      </c>
      <c r="G1161" s="4">
        <v>217224</v>
      </c>
      <c r="H1161" s="6">
        <v>44621</v>
      </c>
      <c r="I1161" s="4">
        <v>0</v>
      </c>
      <c r="J1161" s="6">
        <v>44594</v>
      </c>
      <c r="K1161" t="str">
        <f t="shared" si="36"/>
        <v>Q1 2022</v>
      </c>
      <c r="L1161" t="str">
        <f t="shared" si="37"/>
        <v>Q1 2022</v>
      </c>
    </row>
    <row r="1162" spans="1:12" ht="15.75" customHeight="1" x14ac:dyDescent="0.3">
      <c r="A1162" s="2" t="s">
        <v>1761</v>
      </c>
      <c r="B1162" s="2" t="s">
        <v>11</v>
      </c>
      <c r="C1162" s="2" t="s">
        <v>12</v>
      </c>
      <c r="D1162" s="2" t="s">
        <v>1618</v>
      </c>
      <c r="E1162" s="2" t="s">
        <v>1072</v>
      </c>
      <c r="F1162" s="2" t="s">
        <v>1085</v>
      </c>
      <c r="G1162" s="4">
        <v>335001</v>
      </c>
      <c r="H1162" s="5" t="s">
        <v>71</v>
      </c>
      <c r="I1162" s="4">
        <v>0</v>
      </c>
      <c r="J1162" s="6">
        <v>44603</v>
      </c>
      <c r="K1162" t="str">
        <f t="shared" si="36"/>
        <v>Q1 2022</v>
      </c>
      <c r="L1162" t="str">
        <f t="shared" si="37"/>
        <v>Q1 2022</v>
      </c>
    </row>
    <row r="1163" spans="1:12" ht="15.75" customHeight="1" x14ac:dyDescent="0.3">
      <c r="A1163" s="2" t="s">
        <v>1762</v>
      </c>
      <c r="B1163" s="2" t="s">
        <v>11</v>
      </c>
      <c r="C1163" s="2" t="s">
        <v>12</v>
      </c>
      <c r="D1163" s="2" t="s">
        <v>1618</v>
      </c>
      <c r="E1163" s="2" t="s">
        <v>1052</v>
      </c>
      <c r="F1163" s="2" t="s">
        <v>1082</v>
      </c>
      <c r="G1163" s="4">
        <v>141785</v>
      </c>
      <c r="H1163" s="5" t="s">
        <v>309</v>
      </c>
      <c r="I1163" s="4">
        <v>0</v>
      </c>
      <c r="J1163" s="6">
        <v>44594</v>
      </c>
      <c r="K1163" t="str">
        <f t="shared" si="36"/>
        <v>Q1 2022</v>
      </c>
      <c r="L1163" t="str">
        <f t="shared" si="37"/>
        <v>Q1 2022</v>
      </c>
    </row>
    <row r="1164" spans="1:12" ht="15.75" customHeight="1" x14ac:dyDescent="0.3">
      <c r="A1164" s="2" t="s">
        <v>1763</v>
      </c>
      <c r="B1164" s="2" t="s">
        <v>11</v>
      </c>
      <c r="C1164" s="2" t="s">
        <v>12</v>
      </c>
      <c r="D1164" s="2" t="s">
        <v>1618</v>
      </c>
      <c r="E1164" s="2" t="s">
        <v>1072</v>
      </c>
      <c r="F1164" s="2" t="s">
        <v>1597</v>
      </c>
      <c r="G1164" s="4">
        <v>29747</v>
      </c>
      <c r="H1164" s="5" t="s">
        <v>728</v>
      </c>
      <c r="I1164" s="4">
        <v>0</v>
      </c>
      <c r="J1164" s="6">
        <v>44600</v>
      </c>
      <c r="K1164" t="str">
        <f t="shared" si="36"/>
        <v>Q1 2022</v>
      </c>
      <c r="L1164" t="str">
        <f t="shared" si="37"/>
        <v>Q1 2022</v>
      </c>
    </row>
    <row r="1165" spans="1:12" ht="15.75" customHeight="1" x14ac:dyDescent="0.3">
      <c r="A1165" s="2" t="s">
        <v>1764</v>
      </c>
      <c r="B1165" s="2" t="s">
        <v>11</v>
      </c>
      <c r="C1165" s="2" t="s">
        <v>12</v>
      </c>
      <c r="D1165" s="2" t="s">
        <v>1618</v>
      </c>
      <c r="E1165" s="2" t="s">
        <v>1052</v>
      </c>
      <c r="F1165" s="2" t="s">
        <v>1689</v>
      </c>
      <c r="G1165" s="4">
        <v>83497</v>
      </c>
      <c r="H1165" s="5" t="s">
        <v>39</v>
      </c>
      <c r="I1165" s="4">
        <v>0</v>
      </c>
      <c r="J1165" s="6">
        <v>44603</v>
      </c>
      <c r="K1165" t="str">
        <f t="shared" si="36"/>
        <v>Q1 2022</v>
      </c>
      <c r="L1165" t="str">
        <f t="shared" si="37"/>
        <v>Q1 2022</v>
      </c>
    </row>
    <row r="1166" spans="1:12" ht="15.75" customHeight="1" x14ac:dyDescent="0.3">
      <c r="A1166" s="2" t="s">
        <v>1765</v>
      </c>
      <c r="B1166" s="2" t="s">
        <v>11</v>
      </c>
      <c r="C1166" s="2" t="s">
        <v>12</v>
      </c>
      <c r="D1166" s="2" t="s">
        <v>1618</v>
      </c>
      <c r="E1166" s="2" t="s">
        <v>1075</v>
      </c>
      <c r="F1166" s="2" t="s">
        <v>1766</v>
      </c>
      <c r="G1166" s="2"/>
      <c r="H1166" s="6">
        <v>44601</v>
      </c>
      <c r="I1166" s="4">
        <v>0</v>
      </c>
      <c r="J1166" s="6">
        <v>44602</v>
      </c>
      <c r="K1166" t="str">
        <f t="shared" si="36"/>
        <v>Q1 2022</v>
      </c>
      <c r="L1166" t="str">
        <f t="shared" si="37"/>
        <v>Q1 2022</v>
      </c>
    </row>
    <row r="1167" spans="1:12" ht="15.75" customHeight="1" x14ac:dyDescent="0.3">
      <c r="A1167" s="2" t="s">
        <v>1767</v>
      </c>
      <c r="B1167" s="2" t="s">
        <v>11</v>
      </c>
      <c r="C1167" s="2" t="s">
        <v>12</v>
      </c>
      <c r="D1167" s="2" t="s">
        <v>1618</v>
      </c>
      <c r="E1167" s="2" t="s">
        <v>1075</v>
      </c>
      <c r="F1167" s="2" t="s">
        <v>46</v>
      </c>
      <c r="G1167" s="4">
        <v>69934</v>
      </c>
      <c r="H1167" s="5" t="s">
        <v>42</v>
      </c>
      <c r="I1167" s="4">
        <v>0</v>
      </c>
      <c r="J1167" s="6">
        <v>44603</v>
      </c>
      <c r="K1167" t="str">
        <f t="shared" si="36"/>
        <v>Q1 2022</v>
      </c>
      <c r="L1167" t="str">
        <f t="shared" si="37"/>
        <v>Q1 2022</v>
      </c>
    </row>
    <row r="1168" spans="1:12" ht="15.75" customHeight="1" x14ac:dyDescent="0.3">
      <c r="A1168" s="2" t="s">
        <v>1768</v>
      </c>
      <c r="B1168" s="2" t="s">
        <v>20</v>
      </c>
      <c r="C1168" s="2" t="s">
        <v>57</v>
      </c>
      <c r="D1168" s="2" t="s">
        <v>1618</v>
      </c>
      <c r="E1168" s="2" t="s">
        <v>1052</v>
      </c>
      <c r="F1168" s="2" t="s">
        <v>1208</v>
      </c>
      <c r="G1168" s="4">
        <v>202550</v>
      </c>
      <c r="H1168" s="5" t="s">
        <v>1145</v>
      </c>
      <c r="I1168" s="4">
        <v>25319</v>
      </c>
      <c r="J1168" s="6">
        <v>45048</v>
      </c>
      <c r="K1168" t="str">
        <f t="shared" si="36"/>
        <v>Q2 2023</v>
      </c>
      <c r="L1168" t="str">
        <f t="shared" si="37"/>
        <v>Q2 2023</v>
      </c>
    </row>
    <row r="1169" spans="1:12" ht="15.75" customHeight="1" x14ac:dyDescent="0.3">
      <c r="A1169" s="2" t="s">
        <v>1769</v>
      </c>
      <c r="B1169" s="2" t="s">
        <v>11</v>
      </c>
      <c r="C1169" s="2" t="s">
        <v>12</v>
      </c>
      <c r="D1169" s="2" t="s">
        <v>1618</v>
      </c>
      <c r="E1169" s="2" t="s">
        <v>1052</v>
      </c>
      <c r="F1169" s="2" t="s">
        <v>1770</v>
      </c>
      <c r="G1169" s="4">
        <v>30746</v>
      </c>
      <c r="H1169" s="6">
        <v>44598</v>
      </c>
      <c r="I1169" s="4">
        <v>0</v>
      </c>
      <c r="J1169" s="6">
        <v>44599</v>
      </c>
      <c r="K1169" t="str">
        <f t="shared" si="36"/>
        <v>Q1 2022</v>
      </c>
      <c r="L1169" t="str">
        <f t="shared" si="37"/>
        <v>Q1 2022</v>
      </c>
    </row>
    <row r="1170" spans="1:12" ht="15.75" customHeight="1" x14ac:dyDescent="0.3">
      <c r="A1170" s="2" t="s">
        <v>1771</v>
      </c>
      <c r="B1170" s="2" t="s">
        <v>11</v>
      </c>
      <c r="C1170" s="2" t="s">
        <v>12</v>
      </c>
      <c r="D1170" s="2" t="s">
        <v>1618</v>
      </c>
      <c r="E1170" s="2" t="s">
        <v>1075</v>
      </c>
      <c r="F1170" s="2" t="s">
        <v>1678</v>
      </c>
      <c r="G1170" s="4">
        <v>87557</v>
      </c>
      <c r="H1170" s="6">
        <v>44623</v>
      </c>
      <c r="I1170" s="4">
        <v>0</v>
      </c>
      <c r="J1170" s="6">
        <v>44596</v>
      </c>
      <c r="K1170" t="str">
        <f t="shared" si="36"/>
        <v>Q1 2022</v>
      </c>
      <c r="L1170" t="str">
        <f t="shared" si="37"/>
        <v>Q1 2022</v>
      </c>
    </row>
    <row r="1171" spans="1:12" ht="15.75" customHeight="1" x14ac:dyDescent="0.3">
      <c r="A1171" s="2" t="s">
        <v>1772</v>
      </c>
      <c r="B1171" s="2" t="s">
        <v>11</v>
      </c>
      <c r="C1171" s="2" t="s">
        <v>12</v>
      </c>
      <c r="D1171" s="2" t="s">
        <v>1618</v>
      </c>
      <c r="E1171" s="2" t="s">
        <v>1072</v>
      </c>
      <c r="F1171" s="2" t="s">
        <v>1607</v>
      </c>
      <c r="G1171" s="4">
        <v>396756</v>
      </c>
      <c r="H1171" s="5" t="s">
        <v>167</v>
      </c>
      <c r="I1171" s="4">
        <v>0</v>
      </c>
      <c r="J1171" s="6">
        <v>44960</v>
      </c>
      <c r="K1171" t="str">
        <f t="shared" si="36"/>
        <v>Q1 2023</v>
      </c>
      <c r="L1171" t="str">
        <f t="shared" si="37"/>
        <v>Q1 2023</v>
      </c>
    </row>
    <row r="1172" spans="1:12" ht="15.75" customHeight="1" x14ac:dyDescent="0.3">
      <c r="A1172" s="2" t="s">
        <v>1773</v>
      </c>
      <c r="B1172" s="2" t="s">
        <v>11</v>
      </c>
      <c r="C1172" s="2" t="s">
        <v>12</v>
      </c>
      <c r="D1172" s="2" t="s">
        <v>1618</v>
      </c>
      <c r="E1172" s="2" t="s">
        <v>1052</v>
      </c>
      <c r="F1172" s="2" t="s">
        <v>1774</v>
      </c>
      <c r="G1172" s="2"/>
      <c r="H1172" s="5" t="s">
        <v>35</v>
      </c>
      <c r="I1172" s="4">
        <v>0</v>
      </c>
      <c r="J1172" s="5" t="s">
        <v>36</v>
      </c>
      <c r="K1172" t="str">
        <f t="shared" si="36"/>
        <v>Q4 2022</v>
      </c>
      <c r="L1172" t="str">
        <f t="shared" si="37"/>
        <v>Q4 2022</v>
      </c>
    </row>
    <row r="1173" spans="1:12" ht="15.75" customHeight="1" x14ac:dyDescent="0.3">
      <c r="A1173" s="2" t="s">
        <v>1775</v>
      </c>
      <c r="B1173" s="2" t="s">
        <v>11</v>
      </c>
      <c r="C1173" s="2" t="s">
        <v>12</v>
      </c>
      <c r="D1173" s="2" t="s">
        <v>1618</v>
      </c>
      <c r="E1173" s="2" t="s">
        <v>1052</v>
      </c>
      <c r="F1173" s="2" t="s">
        <v>1138</v>
      </c>
      <c r="G1173" s="4">
        <v>91174</v>
      </c>
      <c r="H1173" s="5" t="s">
        <v>30</v>
      </c>
      <c r="I1173" s="4">
        <v>0</v>
      </c>
      <c r="J1173" s="6">
        <v>44603</v>
      </c>
      <c r="K1173" t="str">
        <f t="shared" si="36"/>
        <v>Q1 2022</v>
      </c>
      <c r="L1173" t="str">
        <f t="shared" si="37"/>
        <v>Q1 2022</v>
      </c>
    </row>
    <row r="1174" spans="1:12" ht="15.75" customHeight="1" x14ac:dyDescent="0.3">
      <c r="A1174" s="2" t="s">
        <v>1776</v>
      </c>
      <c r="B1174" s="2" t="s">
        <v>11</v>
      </c>
      <c r="C1174" s="2" t="s">
        <v>12</v>
      </c>
      <c r="D1174" s="2" t="s">
        <v>1618</v>
      </c>
      <c r="E1174" s="2" t="s">
        <v>1052</v>
      </c>
      <c r="F1174" s="2" t="s">
        <v>1777</v>
      </c>
      <c r="G1174" s="4">
        <v>120138</v>
      </c>
      <c r="H1174" s="5" t="s">
        <v>39</v>
      </c>
      <c r="I1174" s="4">
        <v>0</v>
      </c>
      <c r="J1174" s="6">
        <v>44603</v>
      </c>
      <c r="K1174" t="str">
        <f t="shared" si="36"/>
        <v>Q1 2022</v>
      </c>
      <c r="L1174" t="str">
        <f t="shared" si="37"/>
        <v>Q1 2022</v>
      </c>
    </row>
    <row r="1175" spans="1:12" ht="15.75" customHeight="1" x14ac:dyDescent="0.3">
      <c r="A1175" s="2" t="s">
        <v>1778</v>
      </c>
      <c r="B1175" s="2" t="s">
        <v>20</v>
      </c>
      <c r="C1175" s="2" t="s">
        <v>12</v>
      </c>
      <c r="D1175" s="2" t="s">
        <v>1618</v>
      </c>
      <c r="E1175" s="2" t="s">
        <v>1052</v>
      </c>
      <c r="F1175" s="2" t="s">
        <v>1774</v>
      </c>
      <c r="G1175" s="4">
        <v>70066</v>
      </c>
      <c r="H1175" s="6">
        <v>44653</v>
      </c>
      <c r="I1175" s="8">
        <v>8758</v>
      </c>
      <c r="J1175" s="5" t="s">
        <v>305</v>
      </c>
      <c r="K1175" t="str">
        <f t="shared" si="36"/>
        <v>Q1 2022</v>
      </c>
      <c r="L1175" t="str">
        <f t="shared" si="37"/>
        <v>Q1 2022</v>
      </c>
    </row>
    <row r="1176" spans="1:12" ht="15.75" customHeight="1" x14ac:dyDescent="0.3">
      <c r="A1176" s="2" t="s">
        <v>1779</v>
      </c>
      <c r="B1176" s="2" t="s">
        <v>20</v>
      </c>
      <c r="C1176" s="2" t="s">
        <v>21</v>
      </c>
      <c r="D1176" s="2" t="s">
        <v>1618</v>
      </c>
      <c r="E1176" s="2" t="s">
        <v>1052</v>
      </c>
      <c r="F1176" s="2" t="s">
        <v>1780</v>
      </c>
      <c r="G1176" s="4">
        <v>104067</v>
      </c>
      <c r="H1176" s="6">
        <v>44655</v>
      </c>
      <c r="I1176" s="4">
        <v>52034</v>
      </c>
      <c r="J1176" s="5" t="s">
        <v>1781</v>
      </c>
      <c r="K1176" t="str">
        <f t="shared" si="36"/>
        <v>Q2 2022</v>
      </c>
      <c r="L1176" t="str">
        <f t="shared" si="37"/>
        <v>Q2 2022</v>
      </c>
    </row>
    <row r="1177" spans="1:12" ht="15.75" customHeight="1" x14ac:dyDescent="0.3">
      <c r="A1177" s="2" t="s">
        <v>1782</v>
      </c>
      <c r="B1177" s="2" t="s">
        <v>11</v>
      </c>
      <c r="C1177" s="2" t="s">
        <v>12</v>
      </c>
      <c r="D1177" s="2" t="s">
        <v>1618</v>
      </c>
      <c r="E1177" s="2" t="s">
        <v>1052</v>
      </c>
      <c r="F1177" s="2" t="s">
        <v>1738</v>
      </c>
      <c r="G1177" s="4">
        <v>68829</v>
      </c>
      <c r="H1177" s="5" t="s">
        <v>1016</v>
      </c>
      <c r="I1177" s="4">
        <v>0</v>
      </c>
      <c r="J1177" s="6">
        <v>44595</v>
      </c>
      <c r="K1177" t="str">
        <f t="shared" si="36"/>
        <v>Q1 2022</v>
      </c>
      <c r="L1177" t="str">
        <f t="shared" si="37"/>
        <v>Q1 2022</v>
      </c>
    </row>
    <row r="1178" spans="1:12" ht="15.75" customHeight="1" x14ac:dyDescent="0.3">
      <c r="A1178" s="2" t="s">
        <v>1783</v>
      </c>
      <c r="B1178" s="2" t="s">
        <v>11</v>
      </c>
      <c r="C1178" s="2" t="s">
        <v>12</v>
      </c>
      <c r="D1178" s="2" t="s">
        <v>1618</v>
      </c>
      <c r="E1178" s="2" t="s">
        <v>1052</v>
      </c>
      <c r="F1178" s="2" t="s">
        <v>1784</v>
      </c>
      <c r="G1178" s="4">
        <v>164828</v>
      </c>
      <c r="H1178" s="6">
        <v>44629</v>
      </c>
      <c r="I1178" s="4">
        <v>0</v>
      </c>
      <c r="J1178" s="6">
        <v>44603</v>
      </c>
      <c r="K1178" t="str">
        <f t="shared" si="36"/>
        <v>Q1 2022</v>
      </c>
      <c r="L1178" t="str">
        <f t="shared" si="37"/>
        <v>Q1 2022</v>
      </c>
    </row>
    <row r="1179" spans="1:12" ht="15.75" customHeight="1" x14ac:dyDescent="0.3">
      <c r="A1179" s="2" t="s">
        <v>1785</v>
      </c>
      <c r="B1179" s="2" t="s">
        <v>11</v>
      </c>
      <c r="C1179" s="2" t="s">
        <v>12</v>
      </c>
      <c r="D1179" s="2" t="s">
        <v>1618</v>
      </c>
      <c r="E1179" s="2" t="s">
        <v>1052</v>
      </c>
      <c r="F1179" s="2" t="s">
        <v>1138</v>
      </c>
      <c r="G1179" s="4">
        <v>110003</v>
      </c>
      <c r="H1179" s="6">
        <v>44630</v>
      </c>
      <c r="I1179" s="4">
        <v>0</v>
      </c>
      <c r="J1179" s="6">
        <v>44603</v>
      </c>
      <c r="K1179" t="str">
        <f t="shared" si="36"/>
        <v>Q1 2022</v>
      </c>
      <c r="L1179" t="str">
        <f t="shared" si="37"/>
        <v>Q1 2022</v>
      </c>
    </row>
    <row r="1180" spans="1:12" ht="15.75" customHeight="1" x14ac:dyDescent="0.3">
      <c r="A1180" s="2" t="s">
        <v>1786</v>
      </c>
      <c r="B1180" s="2" t="s">
        <v>11</v>
      </c>
      <c r="C1180" s="2" t="s">
        <v>12</v>
      </c>
      <c r="D1180" s="2" t="s">
        <v>1618</v>
      </c>
      <c r="E1180" s="2" t="s">
        <v>1075</v>
      </c>
      <c r="F1180" s="2" t="s">
        <v>46</v>
      </c>
      <c r="G1180" s="4">
        <v>117618</v>
      </c>
      <c r="H1180" s="5" t="s">
        <v>189</v>
      </c>
      <c r="I1180" s="4">
        <v>0</v>
      </c>
      <c r="J1180" s="6">
        <v>44601</v>
      </c>
      <c r="K1180" t="str">
        <f t="shared" si="36"/>
        <v>Q1 2022</v>
      </c>
      <c r="L1180" t="str">
        <f t="shared" si="37"/>
        <v>Q1 2022</v>
      </c>
    </row>
    <row r="1181" spans="1:12" ht="15.75" customHeight="1" x14ac:dyDescent="0.3">
      <c r="A1181" s="2" t="s">
        <v>1787</v>
      </c>
      <c r="B1181" s="2" t="s">
        <v>11</v>
      </c>
      <c r="C1181" s="2" t="s">
        <v>12</v>
      </c>
      <c r="D1181" s="2" t="s">
        <v>1618</v>
      </c>
      <c r="E1181" s="2" t="s">
        <v>1052</v>
      </c>
      <c r="F1181" s="2" t="s">
        <v>1788</v>
      </c>
      <c r="G1181" s="4">
        <v>185364</v>
      </c>
      <c r="H1181" s="5" t="s">
        <v>30</v>
      </c>
      <c r="I1181" s="4">
        <v>0</v>
      </c>
      <c r="J1181" s="6">
        <v>44603</v>
      </c>
      <c r="K1181" t="str">
        <f t="shared" si="36"/>
        <v>Q1 2022</v>
      </c>
      <c r="L1181" t="str">
        <f t="shared" si="37"/>
        <v>Q1 2022</v>
      </c>
    </row>
    <row r="1182" spans="1:12" ht="15.75" customHeight="1" x14ac:dyDescent="0.3">
      <c r="A1182" s="2" t="s">
        <v>1789</v>
      </c>
      <c r="B1182" s="2" t="s">
        <v>20</v>
      </c>
      <c r="C1182" s="2" t="s">
        <v>21</v>
      </c>
      <c r="D1182" s="2" t="s">
        <v>1618</v>
      </c>
      <c r="E1182" s="2" t="s">
        <v>1052</v>
      </c>
      <c r="F1182" s="2" t="s">
        <v>1656</v>
      </c>
      <c r="G1182" s="4">
        <v>185510</v>
      </c>
      <c r="H1182" s="6">
        <v>44814</v>
      </c>
      <c r="I1182" s="4">
        <v>92755</v>
      </c>
      <c r="J1182" s="6">
        <v>44784</v>
      </c>
      <c r="K1182" t="str">
        <f t="shared" si="36"/>
        <v>Q3 2022</v>
      </c>
      <c r="L1182" t="str">
        <f t="shared" si="37"/>
        <v>Q3 2022</v>
      </c>
    </row>
    <row r="1183" spans="1:12" ht="15.75" customHeight="1" x14ac:dyDescent="0.3">
      <c r="A1183" s="2" t="s">
        <v>1790</v>
      </c>
      <c r="B1183" s="2" t="s">
        <v>11</v>
      </c>
      <c r="C1183" s="2" t="s">
        <v>12</v>
      </c>
      <c r="D1183" s="2" t="s">
        <v>1618</v>
      </c>
      <c r="E1183" s="2" t="s">
        <v>1052</v>
      </c>
      <c r="F1183" s="2" t="s">
        <v>1093</v>
      </c>
      <c r="G1183" s="4">
        <v>80098</v>
      </c>
      <c r="H1183" s="5" t="s">
        <v>30</v>
      </c>
      <c r="I1183" s="4">
        <v>0</v>
      </c>
      <c r="J1183" s="6">
        <v>44603</v>
      </c>
      <c r="K1183" t="str">
        <f t="shared" si="36"/>
        <v>Q1 2022</v>
      </c>
      <c r="L1183" t="str">
        <f t="shared" si="37"/>
        <v>Q1 2022</v>
      </c>
    </row>
    <row r="1184" spans="1:12" ht="15.75" customHeight="1" x14ac:dyDescent="0.3">
      <c r="A1184" s="2" t="s">
        <v>1791</v>
      </c>
      <c r="B1184" s="2" t="s">
        <v>11</v>
      </c>
      <c r="C1184" s="2" t="s">
        <v>12</v>
      </c>
      <c r="D1184" s="2" t="s">
        <v>1618</v>
      </c>
      <c r="E1184" s="2" t="s">
        <v>1052</v>
      </c>
      <c r="F1184" s="2" t="s">
        <v>1063</v>
      </c>
      <c r="G1184" s="4">
        <v>242686</v>
      </c>
      <c r="H1184" s="5" t="s">
        <v>30</v>
      </c>
      <c r="I1184" s="4">
        <v>0</v>
      </c>
      <c r="J1184" s="6">
        <v>44603</v>
      </c>
      <c r="K1184" t="str">
        <f t="shared" si="36"/>
        <v>Q1 2022</v>
      </c>
      <c r="L1184" t="str">
        <f t="shared" si="37"/>
        <v>Q1 2022</v>
      </c>
    </row>
    <row r="1185" spans="1:12" ht="15.75" customHeight="1" x14ac:dyDescent="0.3">
      <c r="A1185" s="2" t="s">
        <v>1792</v>
      </c>
      <c r="B1185" s="2" t="s">
        <v>11</v>
      </c>
      <c r="C1185" s="2" t="s">
        <v>12</v>
      </c>
      <c r="D1185" s="2" t="s">
        <v>1618</v>
      </c>
      <c r="E1185" s="2" t="s">
        <v>1072</v>
      </c>
      <c r="F1185" s="2" t="s">
        <v>46</v>
      </c>
      <c r="G1185" s="4">
        <v>270276</v>
      </c>
      <c r="H1185" s="6">
        <v>45231</v>
      </c>
      <c r="I1185" s="4">
        <v>0</v>
      </c>
      <c r="J1185" s="6">
        <v>44960</v>
      </c>
      <c r="K1185" t="str">
        <f t="shared" si="36"/>
        <v>Q1 2023</v>
      </c>
      <c r="L1185" t="str">
        <f t="shared" si="37"/>
        <v>Q1 2023</v>
      </c>
    </row>
    <row r="1186" spans="1:12" ht="15.75" customHeight="1" x14ac:dyDescent="0.3">
      <c r="A1186" s="2" t="s">
        <v>1793</v>
      </c>
      <c r="B1186" s="2" t="s">
        <v>11</v>
      </c>
      <c r="C1186" s="2" t="s">
        <v>12</v>
      </c>
      <c r="D1186" s="2" t="s">
        <v>1618</v>
      </c>
      <c r="E1186" s="2" t="s">
        <v>1052</v>
      </c>
      <c r="F1186" s="2" t="s">
        <v>1794</v>
      </c>
      <c r="G1186" s="4">
        <v>96601</v>
      </c>
      <c r="H1186" s="6">
        <v>44836</v>
      </c>
      <c r="I1186" s="4">
        <v>0</v>
      </c>
      <c r="J1186" s="6">
        <v>44595</v>
      </c>
      <c r="K1186" t="str">
        <f t="shared" si="36"/>
        <v>Q1 2022</v>
      </c>
      <c r="L1186" t="str">
        <f t="shared" si="37"/>
        <v>Q1 2022</v>
      </c>
    </row>
    <row r="1187" spans="1:12" ht="15.75" customHeight="1" x14ac:dyDescent="0.3">
      <c r="A1187" s="2" t="s">
        <v>1795</v>
      </c>
      <c r="B1187" s="2" t="s">
        <v>11</v>
      </c>
      <c r="C1187" s="2" t="s">
        <v>12</v>
      </c>
      <c r="D1187" s="2" t="s">
        <v>1618</v>
      </c>
      <c r="E1187" s="2" t="s">
        <v>1052</v>
      </c>
      <c r="F1187" s="2" t="s">
        <v>1796</v>
      </c>
      <c r="G1187" s="4">
        <v>57602</v>
      </c>
      <c r="H1187" s="6">
        <v>44629</v>
      </c>
      <c r="I1187" s="4">
        <v>0</v>
      </c>
      <c r="J1187" s="6">
        <v>44603</v>
      </c>
      <c r="K1187" t="str">
        <f t="shared" si="36"/>
        <v>Q1 2022</v>
      </c>
      <c r="L1187" t="str">
        <f t="shared" si="37"/>
        <v>Q1 2022</v>
      </c>
    </row>
    <row r="1188" spans="1:12" ht="15.75" customHeight="1" x14ac:dyDescent="0.3">
      <c r="A1188" s="2" t="s">
        <v>1797</v>
      </c>
      <c r="B1188" s="2" t="s">
        <v>11</v>
      </c>
      <c r="C1188" s="2" t="s">
        <v>12</v>
      </c>
      <c r="D1188" s="2" t="s">
        <v>1618</v>
      </c>
      <c r="E1188" s="2" t="s">
        <v>1052</v>
      </c>
      <c r="F1188" s="2" t="s">
        <v>1798</v>
      </c>
      <c r="G1188" s="4">
        <v>109436</v>
      </c>
      <c r="H1188" s="5" t="s">
        <v>42</v>
      </c>
      <c r="I1188" s="4">
        <v>0</v>
      </c>
      <c r="J1188" s="6">
        <v>44603</v>
      </c>
      <c r="K1188" t="str">
        <f t="shared" si="36"/>
        <v>Q1 2022</v>
      </c>
      <c r="L1188" t="str">
        <f t="shared" si="37"/>
        <v>Q1 2022</v>
      </c>
    </row>
    <row r="1189" spans="1:12" ht="15.75" customHeight="1" x14ac:dyDescent="0.3">
      <c r="A1189" s="2" t="s">
        <v>1799</v>
      </c>
      <c r="B1189" s="2" t="s">
        <v>11</v>
      </c>
      <c r="C1189" s="2" t="s">
        <v>12</v>
      </c>
      <c r="D1189" s="2" t="s">
        <v>1618</v>
      </c>
      <c r="E1189" s="2" t="s">
        <v>1052</v>
      </c>
      <c r="F1189" s="2" t="s">
        <v>1800</v>
      </c>
      <c r="G1189" s="4">
        <v>98301</v>
      </c>
      <c r="H1189" s="6">
        <v>44630</v>
      </c>
      <c r="I1189" s="4">
        <v>0</v>
      </c>
      <c r="J1189" s="6">
        <v>44603</v>
      </c>
      <c r="K1189" t="str">
        <f t="shared" si="36"/>
        <v>Q1 2022</v>
      </c>
      <c r="L1189" t="str">
        <f t="shared" si="37"/>
        <v>Q1 2022</v>
      </c>
    </row>
    <row r="1190" spans="1:12" ht="15.75" customHeight="1" x14ac:dyDescent="0.3">
      <c r="A1190" s="2" t="s">
        <v>1801</v>
      </c>
      <c r="B1190" s="2" t="s">
        <v>11</v>
      </c>
      <c r="C1190" s="2" t="s">
        <v>12</v>
      </c>
      <c r="D1190" s="2" t="s">
        <v>1618</v>
      </c>
      <c r="E1190" s="2" t="s">
        <v>1052</v>
      </c>
      <c r="F1190" s="2" t="s">
        <v>1148</v>
      </c>
      <c r="G1190" s="2"/>
      <c r="H1190" s="6">
        <v>44629</v>
      </c>
      <c r="I1190" s="4">
        <v>0</v>
      </c>
      <c r="J1190" s="6">
        <v>44603</v>
      </c>
      <c r="K1190" t="str">
        <f t="shared" si="36"/>
        <v>Q1 2022</v>
      </c>
      <c r="L1190" t="str">
        <f t="shared" si="37"/>
        <v>Q1 2022</v>
      </c>
    </row>
    <row r="1191" spans="1:12" ht="15.75" customHeight="1" x14ac:dyDescent="0.3">
      <c r="A1191" s="2" t="s">
        <v>1802</v>
      </c>
      <c r="B1191" s="2" t="s">
        <v>11</v>
      </c>
      <c r="C1191" s="2" t="s">
        <v>12</v>
      </c>
      <c r="D1191" s="2" t="s">
        <v>1618</v>
      </c>
      <c r="E1191" s="2" t="s">
        <v>1052</v>
      </c>
      <c r="F1191" s="2" t="s">
        <v>1803</v>
      </c>
      <c r="G1191" s="4">
        <v>373025</v>
      </c>
      <c r="H1191" s="5" t="s">
        <v>463</v>
      </c>
      <c r="I1191" s="4">
        <v>0</v>
      </c>
      <c r="J1191" s="6">
        <v>44599</v>
      </c>
      <c r="K1191" t="str">
        <f t="shared" si="36"/>
        <v>Q1 2022</v>
      </c>
      <c r="L1191" t="str">
        <f t="shared" si="37"/>
        <v>Q1 2022</v>
      </c>
    </row>
    <row r="1192" spans="1:12" ht="15.75" customHeight="1" x14ac:dyDescent="0.3">
      <c r="A1192" s="2" t="s">
        <v>1804</v>
      </c>
      <c r="B1192" s="2" t="s">
        <v>11</v>
      </c>
      <c r="C1192" s="2" t="s">
        <v>12</v>
      </c>
      <c r="D1192" s="2" t="s">
        <v>1618</v>
      </c>
      <c r="E1192" s="2" t="s">
        <v>1805</v>
      </c>
      <c r="F1192" s="2" t="s">
        <v>1806</v>
      </c>
      <c r="G1192" s="4">
        <v>89785</v>
      </c>
      <c r="H1192" s="6">
        <v>45232</v>
      </c>
      <c r="I1192" s="4">
        <v>0</v>
      </c>
      <c r="J1192" s="6">
        <v>44961</v>
      </c>
      <c r="K1192" t="str">
        <f t="shared" si="36"/>
        <v>Q1 2023</v>
      </c>
      <c r="L1192" t="str">
        <f t="shared" si="37"/>
        <v>Q1 2023</v>
      </c>
    </row>
    <row r="1193" spans="1:12" ht="15.75" customHeight="1" x14ac:dyDescent="0.3">
      <c r="A1193" s="2" t="s">
        <v>1807</v>
      </c>
      <c r="B1193" s="2" t="s">
        <v>11</v>
      </c>
      <c r="C1193" s="2" t="s">
        <v>12</v>
      </c>
      <c r="D1193" s="2" t="s">
        <v>1618</v>
      </c>
      <c r="E1193" s="2" t="s">
        <v>1075</v>
      </c>
      <c r="F1193" s="2" t="s">
        <v>1808</v>
      </c>
      <c r="G1193" s="4">
        <v>114534</v>
      </c>
      <c r="H1193" s="6">
        <v>44867</v>
      </c>
      <c r="I1193" s="4">
        <v>0</v>
      </c>
      <c r="J1193" s="6">
        <v>44596</v>
      </c>
      <c r="K1193" t="str">
        <f t="shared" si="36"/>
        <v>Q1 2022</v>
      </c>
      <c r="L1193" t="str">
        <f t="shared" si="37"/>
        <v>Q1 2022</v>
      </c>
    </row>
    <row r="1194" spans="1:12" ht="15.75" customHeight="1" x14ac:dyDescent="0.3">
      <c r="A1194" s="2" t="s">
        <v>1809</v>
      </c>
      <c r="B1194" s="2" t="s">
        <v>20</v>
      </c>
      <c r="C1194" s="2" t="s">
        <v>21</v>
      </c>
      <c r="D1194" s="2" t="s">
        <v>1618</v>
      </c>
      <c r="E1194" s="2" t="s">
        <v>1052</v>
      </c>
      <c r="F1194" s="2" t="s">
        <v>46</v>
      </c>
      <c r="G1194" s="4">
        <v>128469</v>
      </c>
      <c r="H1194" s="5" t="s">
        <v>35</v>
      </c>
      <c r="I1194" s="4">
        <v>64234</v>
      </c>
      <c r="J1194" s="5" t="s">
        <v>36</v>
      </c>
      <c r="K1194" t="str">
        <f t="shared" si="36"/>
        <v>Q4 2022</v>
      </c>
      <c r="L1194" t="str">
        <f t="shared" si="37"/>
        <v>Q4 2022</v>
      </c>
    </row>
    <row r="1195" spans="1:12" ht="15.75" customHeight="1" x14ac:dyDescent="0.3">
      <c r="A1195" s="2" t="s">
        <v>1810</v>
      </c>
      <c r="B1195" s="2" t="s">
        <v>11</v>
      </c>
      <c r="C1195" s="2" t="s">
        <v>12</v>
      </c>
      <c r="D1195" s="2" t="s">
        <v>1618</v>
      </c>
      <c r="E1195" s="2" t="s">
        <v>1075</v>
      </c>
      <c r="F1195" s="2" t="s">
        <v>1811</v>
      </c>
      <c r="G1195" s="4">
        <v>290547</v>
      </c>
      <c r="H1195" s="5" t="s">
        <v>322</v>
      </c>
      <c r="I1195" s="4">
        <v>0</v>
      </c>
      <c r="J1195" s="6">
        <v>44594</v>
      </c>
      <c r="K1195" t="str">
        <f t="shared" si="36"/>
        <v>Q1 2022</v>
      </c>
      <c r="L1195" t="str">
        <f t="shared" si="37"/>
        <v>Q1 2022</v>
      </c>
    </row>
    <row r="1196" spans="1:12" ht="15.75" customHeight="1" x14ac:dyDescent="0.3">
      <c r="A1196" s="2" t="s">
        <v>1812</v>
      </c>
      <c r="B1196" s="2" t="s">
        <v>11</v>
      </c>
      <c r="C1196" s="2" t="s">
        <v>12</v>
      </c>
      <c r="D1196" s="2" t="s">
        <v>1618</v>
      </c>
      <c r="E1196" s="2" t="s">
        <v>1072</v>
      </c>
      <c r="F1196" s="2" t="s">
        <v>1813</v>
      </c>
      <c r="G1196" s="4">
        <v>365681</v>
      </c>
      <c r="H1196" s="5" t="s">
        <v>42</v>
      </c>
      <c r="I1196" s="4">
        <v>0</v>
      </c>
      <c r="J1196" s="6">
        <v>44603</v>
      </c>
      <c r="K1196" t="str">
        <f t="shared" si="36"/>
        <v>Q1 2022</v>
      </c>
      <c r="L1196" t="str">
        <f t="shared" si="37"/>
        <v>Q1 2022</v>
      </c>
    </row>
    <row r="1197" spans="1:12" ht="15.75" customHeight="1" x14ac:dyDescent="0.3">
      <c r="A1197" s="2" t="s">
        <v>1814</v>
      </c>
      <c r="B1197" s="2" t="s">
        <v>20</v>
      </c>
      <c r="C1197" s="2" t="s">
        <v>57</v>
      </c>
      <c r="D1197" s="2" t="s">
        <v>1618</v>
      </c>
      <c r="E1197" s="2" t="s">
        <v>1052</v>
      </c>
      <c r="F1197" s="2" t="s">
        <v>1815</v>
      </c>
      <c r="G1197" s="4">
        <v>85140</v>
      </c>
      <c r="H1197" s="5" t="s">
        <v>769</v>
      </c>
      <c r="I1197" s="4">
        <v>42570</v>
      </c>
      <c r="J1197" s="5" t="s">
        <v>36</v>
      </c>
      <c r="K1197" t="str">
        <f t="shared" si="36"/>
        <v>Q4 2022</v>
      </c>
      <c r="L1197" t="str">
        <f t="shared" si="37"/>
        <v>Q4 2022</v>
      </c>
    </row>
    <row r="1198" spans="1:12" ht="15.75" customHeight="1" x14ac:dyDescent="0.3">
      <c r="A1198" s="2" t="s">
        <v>1816</v>
      </c>
      <c r="B1198" s="2" t="s">
        <v>11</v>
      </c>
      <c r="C1198" s="2" t="s">
        <v>12</v>
      </c>
      <c r="D1198" s="2" t="s">
        <v>1618</v>
      </c>
      <c r="E1198" s="2" t="s">
        <v>1052</v>
      </c>
      <c r="F1198" s="2" t="s">
        <v>1591</v>
      </c>
      <c r="G1198" s="4">
        <v>220731</v>
      </c>
      <c r="H1198" s="5" t="s">
        <v>463</v>
      </c>
      <c r="I1198" s="4">
        <v>0</v>
      </c>
      <c r="J1198" s="6">
        <v>44599</v>
      </c>
      <c r="K1198" t="str">
        <f t="shared" si="36"/>
        <v>Q1 2022</v>
      </c>
      <c r="L1198" t="str">
        <f t="shared" si="37"/>
        <v>Q1 2022</v>
      </c>
    </row>
    <row r="1199" spans="1:12" ht="15.75" customHeight="1" x14ac:dyDescent="0.3">
      <c r="A1199" s="2" t="s">
        <v>1817</v>
      </c>
      <c r="B1199" s="2" t="s">
        <v>11</v>
      </c>
      <c r="C1199" s="2" t="s">
        <v>12</v>
      </c>
      <c r="D1199" s="2" t="s">
        <v>1618</v>
      </c>
      <c r="E1199" s="2" t="s">
        <v>1075</v>
      </c>
      <c r="F1199" s="2" t="s">
        <v>1818</v>
      </c>
      <c r="G1199" s="4">
        <v>115047</v>
      </c>
      <c r="H1199" s="5" t="s">
        <v>42</v>
      </c>
      <c r="I1199" s="4">
        <v>0</v>
      </c>
      <c r="J1199" s="6">
        <v>44603</v>
      </c>
      <c r="K1199" t="str">
        <f t="shared" si="36"/>
        <v>Q1 2022</v>
      </c>
      <c r="L1199" t="str">
        <f t="shared" si="37"/>
        <v>Q1 2022</v>
      </c>
    </row>
    <row r="1200" spans="1:12" ht="15.75" customHeight="1" x14ac:dyDescent="0.3">
      <c r="A1200" s="2" t="s">
        <v>1819</v>
      </c>
      <c r="B1200" s="2" t="s">
        <v>11</v>
      </c>
      <c r="C1200" s="2" t="s">
        <v>12</v>
      </c>
      <c r="D1200" s="2" t="s">
        <v>1618</v>
      </c>
      <c r="E1200" s="2" t="s">
        <v>1052</v>
      </c>
      <c r="F1200" s="2" t="s">
        <v>1820</v>
      </c>
      <c r="G1200" s="4">
        <v>121681</v>
      </c>
      <c r="H1200" s="6">
        <v>44629</v>
      </c>
      <c r="I1200" s="4">
        <v>0</v>
      </c>
      <c r="J1200" s="6">
        <v>44603</v>
      </c>
      <c r="K1200" t="str">
        <f t="shared" si="36"/>
        <v>Q1 2022</v>
      </c>
      <c r="L1200" t="str">
        <f t="shared" si="37"/>
        <v>Q1 2022</v>
      </c>
    </row>
    <row r="1201" spans="1:12" ht="15.75" customHeight="1" x14ac:dyDescent="0.3">
      <c r="A1201" s="2" t="s">
        <v>1821</v>
      </c>
      <c r="B1201" s="2" t="s">
        <v>11</v>
      </c>
      <c r="C1201" s="2" t="s">
        <v>12</v>
      </c>
      <c r="D1201" s="2" t="s">
        <v>1618</v>
      </c>
      <c r="E1201" s="2" t="s">
        <v>1052</v>
      </c>
      <c r="F1201" s="2" t="s">
        <v>1822</v>
      </c>
      <c r="G1201" s="4">
        <v>181209</v>
      </c>
      <c r="H1201" s="5" t="s">
        <v>212</v>
      </c>
      <c r="I1201" s="4">
        <v>0</v>
      </c>
      <c r="J1201" s="6">
        <v>44597</v>
      </c>
      <c r="K1201" t="str">
        <f t="shared" si="36"/>
        <v>Q1 2022</v>
      </c>
      <c r="L1201" t="str">
        <f t="shared" si="37"/>
        <v>Q1 2022</v>
      </c>
    </row>
    <row r="1202" spans="1:12" ht="15.75" customHeight="1" x14ac:dyDescent="0.3">
      <c r="A1202" s="2" t="s">
        <v>1823</v>
      </c>
      <c r="B1202" s="2" t="s">
        <v>11</v>
      </c>
      <c r="C1202" s="2" t="s">
        <v>12</v>
      </c>
      <c r="D1202" s="2" t="s">
        <v>1618</v>
      </c>
      <c r="E1202" s="2" t="s">
        <v>1075</v>
      </c>
      <c r="F1202" s="2" t="s">
        <v>1824</v>
      </c>
      <c r="G1202" s="4">
        <v>94757</v>
      </c>
      <c r="H1202" s="6">
        <v>44629</v>
      </c>
      <c r="I1202" s="4">
        <v>0</v>
      </c>
      <c r="J1202" s="6">
        <v>44603</v>
      </c>
      <c r="K1202" t="str">
        <f t="shared" si="36"/>
        <v>Q1 2022</v>
      </c>
      <c r="L1202" t="str">
        <f t="shared" si="37"/>
        <v>Q1 2022</v>
      </c>
    </row>
    <row r="1203" spans="1:12" ht="15.75" customHeight="1" x14ac:dyDescent="0.3">
      <c r="A1203" s="2" t="s">
        <v>1825</v>
      </c>
      <c r="B1203" s="2" t="s">
        <v>11</v>
      </c>
      <c r="C1203" s="2" t="s">
        <v>12</v>
      </c>
      <c r="D1203" s="2" t="s">
        <v>1618</v>
      </c>
      <c r="E1203" s="2" t="s">
        <v>1052</v>
      </c>
      <c r="F1203" s="2" t="s">
        <v>1826</v>
      </c>
      <c r="G1203" s="4">
        <v>138924</v>
      </c>
      <c r="H1203" s="6">
        <v>44989</v>
      </c>
      <c r="I1203" s="4">
        <v>0</v>
      </c>
      <c r="J1203" s="6">
        <v>44963</v>
      </c>
      <c r="K1203" t="str">
        <f t="shared" si="36"/>
        <v>Q1 2023</v>
      </c>
      <c r="L1203" t="str">
        <f t="shared" si="37"/>
        <v>Q1 2023</v>
      </c>
    </row>
    <row r="1204" spans="1:12" ht="15.75" customHeight="1" x14ac:dyDescent="0.3">
      <c r="A1204" s="2" t="s">
        <v>1827</v>
      </c>
      <c r="B1204" s="2" t="s">
        <v>11</v>
      </c>
      <c r="C1204" s="2" t="s">
        <v>12</v>
      </c>
      <c r="D1204" s="2" t="s">
        <v>1618</v>
      </c>
      <c r="E1204" s="2" t="s">
        <v>1052</v>
      </c>
      <c r="F1204" s="2" t="s">
        <v>1828</v>
      </c>
      <c r="G1204" s="4">
        <v>141274</v>
      </c>
      <c r="H1204" s="6">
        <v>44988</v>
      </c>
      <c r="I1204" s="4">
        <v>0</v>
      </c>
      <c r="J1204" s="6">
        <v>44961</v>
      </c>
      <c r="K1204" t="str">
        <f t="shared" si="36"/>
        <v>Q1 2023</v>
      </c>
      <c r="L1204" t="str">
        <f t="shared" si="37"/>
        <v>Q1 2023</v>
      </c>
    </row>
    <row r="1205" spans="1:12" ht="15.75" customHeight="1" x14ac:dyDescent="0.3">
      <c r="A1205" s="2" t="s">
        <v>1829</v>
      </c>
      <c r="B1205" s="2" t="s">
        <v>11</v>
      </c>
      <c r="C1205" s="2" t="s">
        <v>12</v>
      </c>
      <c r="D1205" s="2" t="s">
        <v>1618</v>
      </c>
      <c r="E1205" s="2" t="s">
        <v>1075</v>
      </c>
      <c r="F1205" s="2" t="s">
        <v>1830</v>
      </c>
      <c r="G1205" s="4">
        <v>149252</v>
      </c>
      <c r="H1205" s="5" t="s">
        <v>25</v>
      </c>
      <c r="I1205" s="4">
        <v>0</v>
      </c>
      <c r="J1205" s="6">
        <v>44603</v>
      </c>
      <c r="K1205" t="str">
        <f t="shared" si="36"/>
        <v>Q1 2022</v>
      </c>
      <c r="L1205" t="str">
        <f t="shared" si="37"/>
        <v>Q1 2022</v>
      </c>
    </row>
    <row r="1206" spans="1:12" ht="15.75" customHeight="1" x14ac:dyDescent="0.3">
      <c r="A1206" s="2" t="s">
        <v>1831</v>
      </c>
      <c r="B1206" s="2" t="s">
        <v>11</v>
      </c>
      <c r="C1206" s="2" t="s">
        <v>12</v>
      </c>
      <c r="D1206" s="2" t="s">
        <v>1618</v>
      </c>
      <c r="E1206" s="2" t="s">
        <v>1052</v>
      </c>
      <c r="F1206" s="2" t="s">
        <v>1832</v>
      </c>
      <c r="G1206" s="2"/>
      <c r="H1206" s="6">
        <v>44630</v>
      </c>
      <c r="I1206" s="4">
        <v>0</v>
      </c>
      <c r="J1206" s="6">
        <v>44603</v>
      </c>
      <c r="K1206" t="str">
        <f t="shared" si="36"/>
        <v>Q1 2022</v>
      </c>
      <c r="L1206" t="str">
        <f t="shared" si="37"/>
        <v>Q1 2022</v>
      </c>
    </row>
    <row r="1207" spans="1:12" ht="15.75" customHeight="1" x14ac:dyDescent="0.3">
      <c r="A1207" s="2" t="s">
        <v>1833</v>
      </c>
      <c r="B1207" s="2" t="s">
        <v>11</v>
      </c>
      <c r="C1207" s="2" t="s">
        <v>12</v>
      </c>
      <c r="D1207" s="2" t="s">
        <v>1618</v>
      </c>
      <c r="E1207" s="2" t="s">
        <v>1052</v>
      </c>
      <c r="F1207" s="2" t="s">
        <v>1834</v>
      </c>
      <c r="G1207" s="4">
        <v>457075</v>
      </c>
      <c r="H1207" s="5" t="s">
        <v>179</v>
      </c>
      <c r="I1207" s="4">
        <v>0</v>
      </c>
      <c r="J1207" s="6">
        <v>44594</v>
      </c>
      <c r="K1207" t="str">
        <f t="shared" si="36"/>
        <v>Q1 2022</v>
      </c>
      <c r="L1207" t="str">
        <f t="shared" si="37"/>
        <v>Q1 2022</v>
      </c>
    </row>
    <row r="1208" spans="1:12" ht="15.75" customHeight="1" x14ac:dyDescent="0.3">
      <c r="A1208" s="2" t="s">
        <v>1835</v>
      </c>
      <c r="B1208" s="2" t="s">
        <v>11</v>
      </c>
      <c r="C1208" s="2" t="s">
        <v>12</v>
      </c>
      <c r="D1208" s="2" t="s">
        <v>1618</v>
      </c>
      <c r="E1208" s="2" t="s">
        <v>1052</v>
      </c>
      <c r="F1208" s="2" t="s">
        <v>1721</v>
      </c>
      <c r="G1208" s="4">
        <v>115084</v>
      </c>
      <c r="H1208" s="6">
        <v>44630</v>
      </c>
      <c r="I1208" s="4">
        <v>0</v>
      </c>
      <c r="J1208" s="6">
        <v>44603</v>
      </c>
      <c r="K1208" t="str">
        <f t="shared" si="36"/>
        <v>Q1 2022</v>
      </c>
      <c r="L1208" t="str">
        <f t="shared" si="37"/>
        <v>Q1 2022</v>
      </c>
    </row>
    <row r="1209" spans="1:12" ht="15.75" customHeight="1" x14ac:dyDescent="0.3">
      <c r="A1209" s="2" t="s">
        <v>1836</v>
      </c>
      <c r="B1209" s="2" t="s">
        <v>11</v>
      </c>
      <c r="C1209" s="2" t="s">
        <v>12</v>
      </c>
      <c r="D1209" s="2" t="s">
        <v>1618</v>
      </c>
      <c r="E1209" s="2" t="s">
        <v>1052</v>
      </c>
      <c r="F1209" s="2" t="s">
        <v>1837</v>
      </c>
      <c r="G1209" s="4">
        <v>311196</v>
      </c>
      <c r="H1209" s="5" t="s">
        <v>137</v>
      </c>
      <c r="I1209" s="4">
        <v>0</v>
      </c>
      <c r="J1209" s="6">
        <v>44598</v>
      </c>
      <c r="K1209" t="str">
        <f t="shared" si="36"/>
        <v>Q1 2022</v>
      </c>
      <c r="L1209" t="str">
        <f t="shared" si="37"/>
        <v>Q1 2022</v>
      </c>
    </row>
    <row r="1210" spans="1:12" ht="15.75" customHeight="1" x14ac:dyDescent="0.3">
      <c r="A1210" s="2" t="s">
        <v>1838</v>
      </c>
      <c r="B1210" s="2" t="s">
        <v>11</v>
      </c>
      <c r="C1210" s="2" t="s">
        <v>12</v>
      </c>
      <c r="D1210" s="2" t="s">
        <v>1618</v>
      </c>
      <c r="E1210" s="2" t="s">
        <v>1839</v>
      </c>
      <c r="F1210" s="2" t="s">
        <v>1840</v>
      </c>
      <c r="G1210" s="4">
        <v>237786</v>
      </c>
      <c r="H1210" s="5" t="s">
        <v>25</v>
      </c>
      <c r="I1210" s="4">
        <v>0</v>
      </c>
      <c r="J1210" s="6">
        <v>44603</v>
      </c>
      <c r="K1210" t="str">
        <f t="shared" si="36"/>
        <v>Q1 2022</v>
      </c>
      <c r="L1210" t="str">
        <f t="shared" si="37"/>
        <v>Q1 2022</v>
      </c>
    </row>
    <row r="1211" spans="1:12" ht="15.75" customHeight="1" x14ac:dyDescent="0.3">
      <c r="A1211" s="2" t="s">
        <v>1841</v>
      </c>
      <c r="B1211" s="2" t="s">
        <v>11</v>
      </c>
      <c r="C1211" s="2" t="s">
        <v>12</v>
      </c>
      <c r="D1211" s="2" t="s">
        <v>1618</v>
      </c>
      <c r="E1211" s="2" t="s">
        <v>1052</v>
      </c>
      <c r="F1211" s="2" t="s">
        <v>1842</v>
      </c>
      <c r="G1211" s="4">
        <v>100561</v>
      </c>
      <c r="H1211" s="5" t="s">
        <v>25</v>
      </c>
      <c r="I1211" s="4">
        <v>0</v>
      </c>
      <c r="J1211" s="6">
        <v>44603</v>
      </c>
      <c r="K1211" t="str">
        <f t="shared" si="36"/>
        <v>Q1 2022</v>
      </c>
      <c r="L1211" t="str">
        <f t="shared" si="37"/>
        <v>Q1 2022</v>
      </c>
    </row>
    <row r="1212" spans="1:12" ht="15.75" customHeight="1" x14ac:dyDescent="0.3">
      <c r="A1212" s="2" t="s">
        <v>1843</v>
      </c>
      <c r="B1212" s="2" t="s">
        <v>11</v>
      </c>
      <c r="C1212" s="2" t="s">
        <v>12</v>
      </c>
      <c r="D1212" s="2" t="s">
        <v>1618</v>
      </c>
      <c r="E1212" s="2" t="s">
        <v>1072</v>
      </c>
      <c r="F1212" s="2" t="s">
        <v>1607</v>
      </c>
      <c r="G1212" s="4">
        <v>118571</v>
      </c>
      <c r="H1212" s="6">
        <v>44629</v>
      </c>
      <c r="I1212" s="4">
        <v>0</v>
      </c>
      <c r="J1212" s="6">
        <v>44603</v>
      </c>
      <c r="K1212" t="str">
        <f t="shared" si="36"/>
        <v>Q1 2022</v>
      </c>
      <c r="L1212" t="str">
        <f t="shared" si="37"/>
        <v>Q1 2022</v>
      </c>
    </row>
    <row r="1213" spans="1:12" ht="15.75" customHeight="1" x14ac:dyDescent="0.3">
      <c r="A1213" s="2" t="s">
        <v>1844</v>
      </c>
      <c r="B1213" s="2" t="s">
        <v>11</v>
      </c>
      <c r="C1213" s="2" t="s">
        <v>12</v>
      </c>
      <c r="D1213" s="2" t="s">
        <v>1618</v>
      </c>
      <c r="E1213" s="2" t="s">
        <v>1052</v>
      </c>
      <c r="F1213" s="2" t="s">
        <v>1093</v>
      </c>
      <c r="G1213" s="2"/>
      <c r="H1213" s="6">
        <v>44629</v>
      </c>
      <c r="I1213" s="4">
        <v>0</v>
      </c>
      <c r="J1213" s="6">
        <v>44603</v>
      </c>
      <c r="K1213" t="str">
        <f t="shared" si="36"/>
        <v>Q1 2022</v>
      </c>
      <c r="L1213" t="str">
        <f t="shared" si="37"/>
        <v>Q1 2022</v>
      </c>
    </row>
    <row r="1214" spans="1:12" ht="15.75" customHeight="1" x14ac:dyDescent="0.3">
      <c r="A1214" s="2" t="s">
        <v>1845</v>
      </c>
      <c r="B1214" s="2" t="s">
        <v>11</v>
      </c>
      <c r="C1214" s="2" t="s">
        <v>12</v>
      </c>
      <c r="D1214" s="2" t="s">
        <v>1618</v>
      </c>
      <c r="E1214" s="2" t="s">
        <v>1052</v>
      </c>
      <c r="F1214" s="2" t="s">
        <v>1152</v>
      </c>
      <c r="G1214" s="4">
        <v>107100</v>
      </c>
      <c r="H1214" s="5" t="s">
        <v>232</v>
      </c>
      <c r="I1214" s="4">
        <v>0</v>
      </c>
      <c r="J1214" s="6">
        <v>44594</v>
      </c>
      <c r="K1214" t="str">
        <f t="shared" si="36"/>
        <v>Q1 2022</v>
      </c>
      <c r="L1214" t="str">
        <f t="shared" si="37"/>
        <v>Q1 2022</v>
      </c>
    </row>
    <row r="1215" spans="1:12" ht="15.75" customHeight="1" x14ac:dyDescent="0.3">
      <c r="A1215" s="2" t="s">
        <v>1846</v>
      </c>
      <c r="B1215" s="2" t="s">
        <v>11</v>
      </c>
      <c r="C1215" s="2" t="s">
        <v>12</v>
      </c>
      <c r="D1215" s="2" t="s">
        <v>1618</v>
      </c>
      <c r="E1215" s="2" t="s">
        <v>1052</v>
      </c>
      <c r="F1215" s="2" t="s">
        <v>1847</v>
      </c>
      <c r="G1215" s="4">
        <v>149252</v>
      </c>
      <c r="H1215" s="5" t="s">
        <v>71</v>
      </c>
      <c r="I1215" s="4">
        <v>0</v>
      </c>
      <c r="J1215" s="6">
        <v>44603</v>
      </c>
      <c r="K1215" t="str">
        <f t="shared" si="36"/>
        <v>Q1 2022</v>
      </c>
      <c r="L1215" t="str">
        <f t="shared" si="37"/>
        <v>Q1 2022</v>
      </c>
    </row>
    <row r="1216" spans="1:12" ht="15.75" customHeight="1" x14ac:dyDescent="0.3">
      <c r="A1216" s="2" t="s">
        <v>1848</v>
      </c>
      <c r="B1216" s="2" t="s">
        <v>11</v>
      </c>
      <c r="C1216" s="2" t="s">
        <v>12</v>
      </c>
      <c r="D1216" s="2" t="s">
        <v>1618</v>
      </c>
      <c r="E1216" s="2" t="s">
        <v>1052</v>
      </c>
      <c r="F1216" s="2" t="s">
        <v>1849</v>
      </c>
      <c r="G1216" s="4">
        <v>141255</v>
      </c>
      <c r="H1216" s="6">
        <v>44628</v>
      </c>
      <c r="I1216" s="4">
        <v>0</v>
      </c>
      <c r="J1216" s="6">
        <v>44601</v>
      </c>
      <c r="K1216" t="str">
        <f t="shared" si="36"/>
        <v>Q1 2022</v>
      </c>
      <c r="L1216" t="str">
        <f t="shared" si="37"/>
        <v>Q1 2022</v>
      </c>
    </row>
    <row r="1217" spans="1:12" ht="15.75" customHeight="1" x14ac:dyDescent="0.3">
      <c r="A1217" s="2" t="s">
        <v>1850</v>
      </c>
      <c r="B1217" s="2" t="s">
        <v>11</v>
      </c>
      <c r="C1217" s="2" t="s">
        <v>12</v>
      </c>
      <c r="D1217" s="2" t="s">
        <v>1618</v>
      </c>
      <c r="E1217" s="2" t="s">
        <v>1075</v>
      </c>
      <c r="F1217" s="2" t="s">
        <v>1851</v>
      </c>
      <c r="G1217" s="4">
        <v>143553</v>
      </c>
      <c r="H1217" s="6">
        <v>44630</v>
      </c>
      <c r="I1217" s="4">
        <v>0</v>
      </c>
      <c r="J1217" s="6">
        <v>44603</v>
      </c>
      <c r="K1217" t="str">
        <f t="shared" si="36"/>
        <v>Q1 2022</v>
      </c>
      <c r="L1217" t="str">
        <f t="shared" si="37"/>
        <v>Q1 2022</v>
      </c>
    </row>
    <row r="1218" spans="1:12" ht="15.75" customHeight="1" x14ac:dyDescent="0.3">
      <c r="A1218" s="2" t="s">
        <v>1852</v>
      </c>
      <c r="B1218" s="2" t="s">
        <v>11</v>
      </c>
      <c r="C1218" s="2" t="s">
        <v>12</v>
      </c>
      <c r="D1218" s="2" t="s">
        <v>1618</v>
      </c>
      <c r="E1218" s="2" t="s">
        <v>1052</v>
      </c>
      <c r="F1218" s="2" t="s">
        <v>46</v>
      </c>
      <c r="G1218" s="4">
        <v>69905</v>
      </c>
      <c r="H1218" s="5" t="s">
        <v>827</v>
      </c>
      <c r="I1218" s="4">
        <v>0</v>
      </c>
      <c r="J1218" s="6">
        <v>44593</v>
      </c>
      <c r="K1218" t="str">
        <f t="shared" ref="K1218:K1281" si="38">"Q" &amp; ROUNDUP(MONTH(J:J)/3,0) &amp; " " &amp; YEAR(J:J)</f>
        <v>Q1 2022</v>
      </c>
      <c r="L1218" t="str">
        <f t="shared" ref="L1218:L1281" si="39">"Q" &amp; ROUNDUP(MONTH(J:J)/3,0) &amp; " " &amp; YEAR(J:J)</f>
        <v>Q1 2022</v>
      </c>
    </row>
    <row r="1219" spans="1:12" ht="15.75" customHeight="1" x14ac:dyDescent="0.3">
      <c r="A1219" s="2" t="s">
        <v>1853</v>
      </c>
      <c r="B1219" s="2" t="s">
        <v>11</v>
      </c>
      <c r="C1219" s="2" t="s">
        <v>12</v>
      </c>
      <c r="D1219" s="2" t="s">
        <v>1618</v>
      </c>
      <c r="E1219" s="2" t="s">
        <v>1075</v>
      </c>
      <c r="F1219" s="2" t="s">
        <v>46</v>
      </c>
      <c r="G1219" s="4">
        <v>98844</v>
      </c>
      <c r="H1219" s="5" t="s">
        <v>760</v>
      </c>
      <c r="I1219" s="4">
        <v>0</v>
      </c>
      <c r="J1219" s="6">
        <v>44961</v>
      </c>
      <c r="K1219" t="str">
        <f t="shared" si="38"/>
        <v>Q1 2023</v>
      </c>
      <c r="L1219" t="str">
        <f t="shared" si="39"/>
        <v>Q1 2023</v>
      </c>
    </row>
    <row r="1220" spans="1:12" ht="15.75" customHeight="1" x14ac:dyDescent="0.3">
      <c r="A1220" s="2" t="s">
        <v>1854</v>
      </c>
      <c r="B1220" s="2" t="s">
        <v>11</v>
      </c>
      <c r="C1220" s="2" t="s">
        <v>12</v>
      </c>
      <c r="D1220" s="2" t="s">
        <v>1618</v>
      </c>
      <c r="E1220" s="2" t="s">
        <v>1052</v>
      </c>
      <c r="F1220" s="2" t="s">
        <v>1070</v>
      </c>
      <c r="G1220" s="4">
        <v>78985</v>
      </c>
      <c r="H1220" s="6">
        <v>44629</v>
      </c>
      <c r="I1220" s="4">
        <v>0</v>
      </c>
      <c r="J1220" s="6">
        <v>44603</v>
      </c>
      <c r="K1220" t="str">
        <f t="shared" si="38"/>
        <v>Q1 2022</v>
      </c>
      <c r="L1220" t="str">
        <f t="shared" si="39"/>
        <v>Q1 2022</v>
      </c>
    </row>
    <row r="1221" spans="1:12" ht="15.75" customHeight="1" x14ac:dyDescent="0.3">
      <c r="A1221" s="2" t="s">
        <v>1855</v>
      </c>
      <c r="B1221" s="2" t="s">
        <v>11</v>
      </c>
      <c r="C1221" s="2" t="s">
        <v>12</v>
      </c>
      <c r="D1221" s="2" t="s">
        <v>1618</v>
      </c>
      <c r="E1221" s="2" t="s">
        <v>1075</v>
      </c>
      <c r="F1221" s="2" t="s">
        <v>46</v>
      </c>
      <c r="G1221" s="4">
        <v>397020</v>
      </c>
      <c r="H1221" s="5" t="s">
        <v>39</v>
      </c>
      <c r="I1221" s="4">
        <v>0</v>
      </c>
      <c r="J1221" s="6">
        <v>44603</v>
      </c>
      <c r="K1221" t="str">
        <f t="shared" si="38"/>
        <v>Q1 2022</v>
      </c>
      <c r="L1221" t="str">
        <f t="shared" si="39"/>
        <v>Q1 2022</v>
      </c>
    </row>
    <row r="1222" spans="1:12" ht="15.75" customHeight="1" x14ac:dyDescent="0.3">
      <c r="A1222" s="2" t="s">
        <v>1856</v>
      </c>
      <c r="B1222" s="2" t="s">
        <v>11</v>
      </c>
      <c r="C1222" s="2" t="s">
        <v>12</v>
      </c>
      <c r="D1222" s="2" t="s">
        <v>1618</v>
      </c>
      <c r="E1222" s="2" t="s">
        <v>1052</v>
      </c>
      <c r="F1222" s="2" t="s">
        <v>1857</v>
      </c>
      <c r="G1222" s="4">
        <v>468134</v>
      </c>
      <c r="H1222" s="5" t="s">
        <v>42</v>
      </c>
      <c r="I1222" s="4">
        <v>0</v>
      </c>
      <c r="J1222" s="6">
        <v>44603</v>
      </c>
      <c r="K1222" t="str">
        <f t="shared" si="38"/>
        <v>Q1 2022</v>
      </c>
      <c r="L1222" t="str">
        <f t="shared" si="39"/>
        <v>Q1 2022</v>
      </c>
    </row>
    <row r="1223" spans="1:12" ht="15.75" customHeight="1" x14ac:dyDescent="0.3">
      <c r="A1223" s="2" t="s">
        <v>1858</v>
      </c>
      <c r="B1223" s="2" t="s">
        <v>20</v>
      </c>
      <c r="C1223" s="2" t="s">
        <v>57</v>
      </c>
      <c r="D1223" s="2" t="s">
        <v>1618</v>
      </c>
      <c r="E1223" s="2" t="s">
        <v>1052</v>
      </c>
      <c r="F1223" s="2" t="s">
        <v>1689</v>
      </c>
      <c r="G1223" s="4">
        <v>50290</v>
      </c>
      <c r="H1223" s="5" t="s">
        <v>1562</v>
      </c>
      <c r="I1223" s="4">
        <v>12572</v>
      </c>
      <c r="J1223" s="5" t="s">
        <v>301</v>
      </c>
      <c r="K1223" t="str">
        <f t="shared" si="38"/>
        <v>Q4 2022</v>
      </c>
      <c r="L1223" t="str">
        <f t="shared" si="39"/>
        <v>Q4 2022</v>
      </c>
    </row>
    <row r="1224" spans="1:12" ht="15.75" customHeight="1" x14ac:dyDescent="0.3">
      <c r="A1224" s="2" t="s">
        <v>1859</v>
      </c>
      <c r="B1224" s="2" t="s">
        <v>11</v>
      </c>
      <c r="C1224" s="2" t="s">
        <v>12</v>
      </c>
      <c r="D1224" s="2" t="s">
        <v>1618</v>
      </c>
      <c r="E1224" s="2" t="s">
        <v>1052</v>
      </c>
      <c r="F1224" s="2" t="s">
        <v>1860</v>
      </c>
      <c r="G1224" s="4">
        <v>58235</v>
      </c>
      <c r="H1224" s="5" t="s">
        <v>25</v>
      </c>
      <c r="I1224" s="4">
        <v>0</v>
      </c>
      <c r="J1224" s="6">
        <v>44603</v>
      </c>
      <c r="K1224" t="str">
        <f t="shared" si="38"/>
        <v>Q1 2022</v>
      </c>
      <c r="L1224" t="str">
        <f t="shared" si="39"/>
        <v>Q1 2022</v>
      </c>
    </row>
    <row r="1225" spans="1:12" ht="15.75" customHeight="1" x14ac:dyDescent="0.3">
      <c r="A1225" s="2" t="s">
        <v>1861</v>
      </c>
      <c r="B1225" s="2" t="s">
        <v>11</v>
      </c>
      <c r="C1225" s="2" t="s">
        <v>12</v>
      </c>
      <c r="D1225" s="2" t="s">
        <v>1618</v>
      </c>
      <c r="E1225" s="2" t="s">
        <v>1052</v>
      </c>
      <c r="F1225" s="2" t="s">
        <v>1093</v>
      </c>
      <c r="G1225" s="4">
        <v>107478</v>
      </c>
      <c r="H1225" s="5" t="s">
        <v>1862</v>
      </c>
      <c r="I1225" s="4">
        <v>0</v>
      </c>
      <c r="J1225" s="6">
        <v>44593</v>
      </c>
      <c r="K1225" t="str">
        <f t="shared" si="38"/>
        <v>Q1 2022</v>
      </c>
      <c r="L1225" t="str">
        <f t="shared" si="39"/>
        <v>Q1 2022</v>
      </c>
    </row>
    <row r="1226" spans="1:12" ht="15.75" customHeight="1" x14ac:dyDescent="0.3">
      <c r="A1226" s="2" t="s">
        <v>1863</v>
      </c>
      <c r="B1226" s="2" t="s">
        <v>11</v>
      </c>
      <c r="C1226" s="2" t="s">
        <v>12</v>
      </c>
      <c r="D1226" s="2" t="s">
        <v>1618</v>
      </c>
      <c r="E1226" s="2" t="s">
        <v>1052</v>
      </c>
      <c r="F1226" s="2" t="s">
        <v>46</v>
      </c>
      <c r="G1226" s="4">
        <v>88249</v>
      </c>
      <c r="H1226" s="6">
        <v>44927</v>
      </c>
      <c r="I1226" s="4">
        <v>0</v>
      </c>
      <c r="J1226" s="6">
        <v>44960</v>
      </c>
      <c r="K1226" t="str">
        <f t="shared" si="38"/>
        <v>Q1 2023</v>
      </c>
      <c r="L1226" t="str">
        <f t="shared" si="39"/>
        <v>Q1 2023</v>
      </c>
    </row>
    <row r="1227" spans="1:12" ht="15.75" customHeight="1" x14ac:dyDescent="0.3">
      <c r="A1227" s="2" t="s">
        <v>1864</v>
      </c>
      <c r="B1227" s="2" t="s">
        <v>11</v>
      </c>
      <c r="C1227" s="2" t="s">
        <v>12</v>
      </c>
      <c r="D1227" s="2" t="s">
        <v>1618</v>
      </c>
      <c r="E1227" s="2" t="s">
        <v>1052</v>
      </c>
      <c r="F1227" s="2" t="s">
        <v>1865</v>
      </c>
      <c r="G1227" s="4">
        <v>143593</v>
      </c>
      <c r="H1227" s="5" t="s">
        <v>1016</v>
      </c>
      <c r="I1227" s="4">
        <v>0</v>
      </c>
      <c r="J1227" s="6">
        <v>44595</v>
      </c>
      <c r="K1227" t="str">
        <f t="shared" si="38"/>
        <v>Q1 2022</v>
      </c>
      <c r="L1227" t="str">
        <f t="shared" si="39"/>
        <v>Q1 2022</v>
      </c>
    </row>
    <row r="1228" spans="1:12" ht="15.75" customHeight="1" x14ac:dyDescent="0.3">
      <c r="A1228" s="2" t="s">
        <v>1866</v>
      </c>
      <c r="B1228" s="2" t="s">
        <v>11</v>
      </c>
      <c r="C1228" s="2" t="s">
        <v>12</v>
      </c>
      <c r="D1228" s="2" t="s">
        <v>1618</v>
      </c>
      <c r="E1228" s="2" t="s">
        <v>1052</v>
      </c>
      <c r="F1228" s="2" t="s">
        <v>1867</v>
      </c>
      <c r="G1228" s="4">
        <v>205072</v>
      </c>
      <c r="H1228" s="6">
        <v>44624</v>
      </c>
      <c r="I1228" s="4">
        <v>0</v>
      </c>
      <c r="J1228" s="6">
        <v>44598</v>
      </c>
      <c r="K1228" t="str">
        <f t="shared" si="38"/>
        <v>Q1 2022</v>
      </c>
      <c r="L1228" t="str">
        <f t="shared" si="39"/>
        <v>Q1 2022</v>
      </c>
    </row>
    <row r="1229" spans="1:12" ht="15.75" customHeight="1" x14ac:dyDescent="0.3">
      <c r="A1229" s="2" t="s">
        <v>1868</v>
      </c>
      <c r="B1229" s="2" t="s">
        <v>11</v>
      </c>
      <c r="C1229" s="2" t="s">
        <v>12</v>
      </c>
      <c r="D1229" s="2" t="s">
        <v>1618</v>
      </c>
      <c r="E1229" s="2" t="s">
        <v>1052</v>
      </c>
      <c r="F1229" s="2" t="s">
        <v>1161</v>
      </c>
      <c r="G1229" s="2"/>
      <c r="H1229" s="5" t="s">
        <v>142</v>
      </c>
      <c r="I1229" s="4">
        <v>0</v>
      </c>
      <c r="J1229" s="6">
        <v>44597</v>
      </c>
      <c r="K1229" t="str">
        <f t="shared" si="38"/>
        <v>Q1 2022</v>
      </c>
      <c r="L1229" t="str">
        <f t="shared" si="39"/>
        <v>Q1 2022</v>
      </c>
    </row>
    <row r="1230" spans="1:12" ht="15.75" customHeight="1" x14ac:dyDescent="0.3">
      <c r="A1230" s="2" t="s">
        <v>1869</v>
      </c>
      <c r="B1230" s="2" t="s">
        <v>11</v>
      </c>
      <c r="C1230" s="2" t="s">
        <v>12</v>
      </c>
      <c r="D1230" s="2" t="s">
        <v>1618</v>
      </c>
      <c r="E1230" s="2" t="s">
        <v>1052</v>
      </c>
      <c r="F1230" s="2" t="s">
        <v>46</v>
      </c>
      <c r="G1230" s="4">
        <v>104709</v>
      </c>
      <c r="H1230" s="5" t="s">
        <v>16</v>
      </c>
      <c r="I1230" s="4">
        <v>0</v>
      </c>
      <c r="J1230" s="6">
        <v>44597</v>
      </c>
      <c r="K1230" t="str">
        <f t="shared" si="38"/>
        <v>Q1 2022</v>
      </c>
      <c r="L1230" t="str">
        <f t="shared" si="39"/>
        <v>Q1 2022</v>
      </c>
    </row>
    <row r="1231" spans="1:12" ht="15.75" customHeight="1" x14ac:dyDescent="0.3">
      <c r="A1231" s="2" t="s">
        <v>1870</v>
      </c>
      <c r="B1231" s="2" t="s">
        <v>11</v>
      </c>
      <c r="C1231" s="2" t="s">
        <v>12</v>
      </c>
      <c r="D1231" s="2" t="s">
        <v>1618</v>
      </c>
      <c r="E1231" s="2" t="s">
        <v>1052</v>
      </c>
      <c r="F1231" s="2" t="s">
        <v>1148</v>
      </c>
      <c r="G1231" s="4">
        <v>228933</v>
      </c>
      <c r="H1231" s="5" t="s">
        <v>378</v>
      </c>
      <c r="I1231" s="4">
        <v>0</v>
      </c>
      <c r="J1231" s="6">
        <v>44958</v>
      </c>
      <c r="K1231" t="str">
        <f t="shared" si="38"/>
        <v>Q1 2023</v>
      </c>
      <c r="L1231" t="str">
        <f t="shared" si="39"/>
        <v>Q1 2023</v>
      </c>
    </row>
    <row r="1232" spans="1:12" ht="15.75" customHeight="1" x14ac:dyDescent="0.3">
      <c r="A1232" s="2" t="s">
        <v>1871</v>
      </c>
      <c r="B1232" s="2" t="s">
        <v>11</v>
      </c>
      <c r="C1232" s="2" t="s">
        <v>12</v>
      </c>
      <c r="D1232" s="2" t="s">
        <v>1618</v>
      </c>
      <c r="E1232" s="2" t="s">
        <v>1052</v>
      </c>
      <c r="F1232" s="2" t="s">
        <v>1872</v>
      </c>
      <c r="G1232" s="4">
        <v>126095</v>
      </c>
      <c r="H1232" s="6">
        <v>44630</v>
      </c>
      <c r="I1232" s="4">
        <v>0</v>
      </c>
      <c r="J1232" s="6">
        <v>44603</v>
      </c>
      <c r="K1232" t="str">
        <f t="shared" si="38"/>
        <v>Q1 2022</v>
      </c>
      <c r="L1232" t="str">
        <f t="shared" si="39"/>
        <v>Q1 2022</v>
      </c>
    </row>
    <row r="1233" spans="1:12" ht="15.75" customHeight="1" x14ac:dyDescent="0.3">
      <c r="A1233" s="2" t="s">
        <v>1873</v>
      </c>
      <c r="B1233" s="2" t="s">
        <v>11</v>
      </c>
      <c r="C1233" s="2" t="s">
        <v>12</v>
      </c>
      <c r="D1233" s="2" t="s">
        <v>1618</v>
      </c>
      <c r="E1233" s="2" t="s">
        <v>1052</v>
      </c>
      <c r="F1233" s="2" t="s">
        <v>1874</v>
      </c>
      <c r="G1233" s="4">
        <v>86919</v>
      </c>
      <c r="H1233" s="5" t="s">
        <v>513</v>
      </c>
      <c r="I1233" s="4">
        <v>0</v>
      </c>
      <c r="J1233" s="6">
        <v>44600</v>
      </c>
      <c r="K1233" t="str">
        <f t="shared" si="38"/>
        <v>Q1 2022</v>
      </c>
      <c r="L1233" t="str">
        <f t="shared" si="39"/>
        <v>Q1 2022</v>
      </c>
    </row>
    <row r="1234" spans="1:12" ht="15.75" customHeight="1" x14ac:dyDescent="0.3">
      <c r="A1234" s="2" t="s">
        <v>1875</v>
      </c>
      <c r="B1234" s="2" t="s">
        <v>11</v>
      </c>
      <c r="C1234" s="2" t="s">
        <v>12</v>
      </c>
      <c r="D1234" s="2" t="s">
        <v>1618</v>
      </c>
      <c r="E1234" s="2" t="s">
        <v>1052</v>
      </c>
      <c r="F1234" s="2" t="s">
        <v>1876</v>
      </c>
      <c r="G1234" s="4">
        <v>290520</v>
      </c>
      <c r="H1234" s="5" t="s">
        <v>39</v>
      </c>
      <c r="I1234" s="4">
        <v>0</v>
      </c>
      <c r="J1234" s="6">
        <v>44603</v>
      </c>
      <c r="K1234" t="str">
        <f t="shared" si="38"/>
        <v>Q1 2022</v>
      </c>
      <c r="L1234" t="str">
        <f t="shared" si="39"/>
        <v>Q1 2022</v>
      </c>
    </row>
    <row r="1235" spans="1:12" ht="15.75" customHeight="1" x14ac:dyDescent="0.3">
      <c r="A1235" s="2" t="s">
        <v>1877</v>
      </c>
      <c r="B1235" s="2" t="s">
        <v>11</v>
      </c>
      <c r="C1235" s="2" t="s">
        <v>12</v>
      </c>
      <c r="D1235" s="2" t="s">
        <v>1618</v>
      </c>
      <c r="E1235" s="2" t="s">
        <v>1075</v>
      </c>
      <c r="F1235" s="2" t="s">
        <v>1878</v>
      </c>
      <c r="G1235" s="4">
        <v>143043</v>
      </c>
      <c r="H1235" s="5" t="s">
        <v>121</v>
      </c>
      <c r="I1235" s="4">
        <v>0</v>
      </c>
      <c r="J1235" s="6">
        <v>44960</v>
      </c>
      <c r="K1235" t="str">
        <f t="shared" si="38"/>
        <v>Q1 2023</v>
      </c>
      <c r="L1235" t="str">
        <f t="shared" si="39"/>
        <v>Q1 2023</v>
      </c>
    </row>
    <row r="1236" spans="1:12" ht="15.75" customHeight="1" x14ac:dyDescent="0.3">
      <c r="A1236" s="2" t="s">
        <v>1879</v>
      </c>
      <c r="B1236" s="2" t="s">
        <v>11</v>
      </c>
      <c r="C1236" s="2" t="s">
        <v>12</v>
      </c>
      <c r="D1236" s="2" t="s">
        <v>1618</v>
      </c>
      <c r="E1236" s="2" t="s">
        <v>1052</v>
      </c>
      <c r="F1236" s="2" t="s">
        <v>1880</v>
      </c>
      <c r="G1236" s="4">
        <v>70910</v>
      </c>
      <c r="H1236" s="6">
        <v>44630</v>
      </c>
      <c r="I1236" s="4">
        <v>0</v>
      </c>
      <c r="J1236" s="6">
        <v>44603</v>
      </c>
      <c r="K1236" t="str">
        <f t="shared" si="38"/>
        <v>Q1 2022</v>
      </c>
      <c r="L1236" t="str">
        <f t="shared" si="39"/>
        <v>Q1 2022</v>
      </c>
    </row>
    <row r="1237" spans="1:12" ht="15.75" customHeight="1" x14ac:dyDescent="0.3">
      <c r="A1237" s="2" t="s">
        <v>1881</v>
      </c>
      <c r="B1237" s="2" t="s">
        <v>20</v>
      </c>
      <c r="C1237" s="2" t="s">
        <v>57</v>
      </c>
      <c r="D1237" s="2" t="s">
        <v>1618</v>
      </c>
      <c r="E1237" s="2" t="s">
        <v>1052</v>
      </c>
      <c r="F1237" s="2" t="s">
        <v>1882</v>
      </c>
      <c r="G1237" s="4">
        <v>260822</v>
      </c>
      <c r="H1237" s="5" t="s">
        <v>93</v>
      </c>
      <c r="I1237" s="4">
        <v>130411</v>
      </c>
      <c r="J1237" s="7">
        <v>44876</v>
      </c>
      <c r="K1237" t="str">
        <f t="shared" si="38"/>
        <v>Q4 2022</v>
      </c>
      <c r="L1237" t="str">
        <f t="shared" si="39"/>
        <v>Q4 2022</v>
      </c>
    </row>
    <row r="1238" spans="1:12" ht="15.75" customHeight="1" x14ac:dyDescent="0.3">
      <c r="A1238" s="2" t="s">
        <v>1883</v>
      </c>
      <c r="B1238" s="2" t="s">
        <v>11</v>
      </c>
      <c r="C1238" s="2" t="s">
        <v>12</v>
      </c>
      <c r="D1238" s="2" t="s">
        <v>1618</v>
      </c>
      <c r="E1238" s="2" t="s">
        <v>1052</v>
      </c>
      <c r="F1238" s="2" t="s">
        <v>1093</v>
      </c>
      <c r="G1238" s="4">
        <v>91171</v>
      </c>
      <c r="H1238" s="6">
        <v>44621</v>
      </c>
      <c r="I1238" s="4">
        <v>0</v>
      </c>
      <c r="J1238" s="6">
        <v>44594</v>
      </c>
      <c r="K1238" t="str">
        <f t="shared" si="38"/>
        <v>Q1 2022</v>
      </c>
      <c r="L1238" t="str">
        <f t="shared" si="39"/>
        <v>Q1 2022</v>
      </c>
    </row>
    <row r="1239" spans="1:12" ht="15.75" customHeight="1" x14ac:dyDescent="0.3">
      <c r="A1239" s="2" t="s">
        <v>1884</v>
      </c>
      <c r="B1239" s="2" t="s">
        <v>11</v>
      </c>
      <c r="C1239" s="2" t="s">
        <v>12</v>
      </c>
      <c r="D1239" s="2" t="s">
        <v>1618</v>
      </c>
      <c r="E1239" s="2" t="s">
        <v>1052</v>
      </c>
      <c r="F1239" s="2" t="s">
        <v>1885</v>
      </c>
      <c r="G1239" s="2"/>
      <c r="H1239" s="5" t="s">
        <v>179</v>
      </c>
      <c r="I1239" s="4">
        <v>0</v>
      </c>
      <c r="J1239" s="6">
        <v>44594</v>
      </c>
      <c r="K1239" t="str">
        <f t="shared" si="38"/>
        <v>Q1 2022</v>
      </c>
      <c r="L1239" t="str">
        <f t="shared" si="39"/>
        <v>Q1 2022</v>
      </c>
    </row>
    <row r="1240" spans="1:12" ht="15.75" customHeight="1" x14ac:dyDescent="0.3">
      <c r="A1240" s="2" t="s">
        <v>1886</v>
      </c>
      <c r="B1240" s="2" t="s">
        <v>11</v>
      </c>
      <c r="C1240" s="2" t="s">
        <v>12</v>
      </c>
      <c r="D1240" s="2" t="s">
        <v>1618</v>
      </c>
      <c r="E1240" s="2" t="s">
        <v>1052</v>
      </c>
      <c r="F1240" s="2" t="s">
        <v>1887</v>
      </c>
      <c r="G1240" s="4">
        <v>109947</v>
      </c>
      <c r="H1240" s="6">
        <v>44630</v>
      </c>
      <c r="I1240" s="4">
        <v>0</v>
      </c>
      <c r="J1240" s="6">
        <v>44603</v>
      </c>
      <c r="K1240" t="str">
        <f t="shared" si="38"/>
        <v>Q1 2022</v>
      </c>
      <c r="L1240" t="str">
        <f t="shared" si="39"/>
        <v>Q1 2022</v>
      </c>
    </row>
    <row r="1241" spans="1:12" ht="15.75" customHeight="1" x14ac:dyDescent="0.3">
      <c r="A1241" s="2" t="s">
        <v>1888</v>
      </c>
      <c r="B1241" s="2" t="s">
        <v>11</v>
      </c>
      <c r="C1241" s="2" t="s">
        <v>12</v>
      </c>
      <c r="D1241" s="2" t="s">
        <v>1618</v>
      </c>
      <c r="E1241" s="2" t="s">
        <v>1052</v>
      </c>
      <c r="F1241" s="2" t="s">
        <v>1889</v>
      </c>
      <c r="G1241" s="4">
        <v>311129</v>
      </c>
      <c r="H1241" s="6">
        <v>44630</v>
      </c>
      <c r="I1241" s="4">
        <v>0</v>
      </c>
      <c r="J1241" s="6">
        <v>44603</v>
      </c>
      <c r="K1241" t="str">
        <f t="shared" si="38"/>
        <v>Q1 2022</v>
      </c>
      <c r="L1241" t="str">
        <f t="shared" si="39"/>
        <v>Q1 2022</v>
      </c>
    </row>
    <row r="1242" spans="1:12" ht="15.75" customHeight="1" x14ac:dyDescent="0.3">
      <c r="A1242" s="2" t="s">
        <v>1890</v>
      </c>
      <c r="B1242" s="2" t="s">
        <v>11</v>
      </c>
      <c r="C1242" s="2" t="s">
        <v>12</v>
      </c>
      <c r="D1242" s="2" t="s">
        <v>1618</v>
      </c>
      <c r="E1242" s="2" t="s">
        <v>1075</v>
      </c>
      <c r="F1242" s="2" t="s">
        <v>1891</v>
      </c>
      <c r="G1242" s="4">
        <v>90072</v>
      </c>
      <c r="H1242" s="5" t="s">
        <v>42</v>
      </c>
      <c r="I1242" s="4">
        <v>0</v>
      </c>
      <c r="J1242" s="6">
        <v>44603</v>
      </c>
      <c r="K1242" t="str">
        <f t="shared" si="38"/>
        <v>Q1 2022</v>
      </c>
      <c r="L1242" t="str">
        <f t="shared" si="39"/>
        <v>Q1 2022</v>
      </c>
    </row>
    <row r="1243" spans="1:12" ht="15.75" customHeight="1" x14ac:dyDescent="0.3">
      <c r="A1243" s="2" t="s">
        <v>1892</v>
      </c>
      <c r="B1243" s="2" t="s">
        <v>11</v>
      </c>
      <c r="C1243" s="2" t="s">
        <v>12</v>
      </c>
      <c r="D1243" s="2" t="s">
        <v>1618</v>
      </c>
      <c r="E1243" s="2" t="s">
        <v>1052</v>
      </c>
      <c r="F1243" s="2" t="s">
        <v>1777</v>
      </c>
      <c r="G1243" s="4">
        <v>33564</v>
      </c>
      <c r="H1243" s="6">
        <v>44262</v>
      </c>
      <c r="I1243" s="4">
        <v>0</v>
      </c>
      <c r="J1243" s="6">
        <v>44205</v>
      </c>
      <c r="K1243" t="str">
        <f t="shared" si="38"/>
        <v>Q1 2021</v>
      </c>
      <c r="L1243" t="str">
        <f t="shared" si="39"/>
        <v>Q1 2021</v>
      </c>
    </row>
    <row r="1244" spans="1:12" ht="15.75" customHeight="1" x14ac:dyDescent="0.3">
      <c r="A1244" s="2" t="s">
        <v>1893</v>
      </c>
      <c r="B1244" s="2" t="s">
        <v>11</v>
      </c>
      <c r="C1244" s="2" t="s">
        <v>12</v>
      </c>
      <c r="D1244" s="2" t="s">
        <v>1618</v>
      </c>
      <c r="E1244" s="2" t="s">
        <v>1052</v>
      </c>
      <c r="F1244" s="2" t="s">
        <v>1078</v>
      </c>
      <c r="G1244" s="4">
        <v>115643</v>
      </c>
      <c r="H1244" s="6">
        <v>44623</v>
      </c>
      <c r="I1244" s="4">
        <v>0</v>
      </c>
      <c r="J1244" s="6">
        <v>44596</v>
      </c>
      <c r="K1244" t="str">
        <f t="shared" si="38"/>
        <v>Q1 2022</v>
      </c>
      <c r="L1244" t="str">
        <f t="shared" si="39"/>
        <v>Q1 2022</v>
      </c>
    </row>
    <row r="1245" spans="1:12" ht="15.75" customHeight="1" x14ac:dyDescent="0.3">
      <c r="A1245" s="2" t="s">
        <v>1894</v>
      </c>
      <c r="B1245" s="2" t="s">
        <v>11</v>
      </c>
      <c r="C1245" s="2" t="s">
        <v>12</v>
      </c>
      <c r="D1245" s="2" t="s">
        <v>1618</v>
      </c>
      <c r="E1245" s="2" t="s">
        <v>1052</v>
      </c>
      <c r="F1245" s="2" t="s">
        <v>1568</v>
      </c>
      <c r="G1245" s="4">
        <v>158341</v>
      </c>
      <c r="H1245" s="6">
        <v>44628</v>
      </c>
      <c r="I1245" s="4">
        <v>0</v>
      </c>
      <c r="J1245" s="6">
        <v>44602</v>
      </c>
      <c r="K1245" t="str">
        <f t="shared" si="38"/>
        <v>Q1 2022</v>
      </c>
      <c r="L1245" t="str">
        <f t="shared" si="39"/>
        <v>Q1 2022</v>
      </c>
    </row>
    <row r="1246" spans="1:12" ht="15.75" customHeight="1" x14ac:dyDescent="0.3">
      <c r="A1246" s="2" t="s">
        <v>1895</v>
      </c>
      <c r="B1246" s="2" t="s">
        <v>11</v>
      </c>
      <c r="C1246" s="2" t="s">
        <v>12</v>
      </c>
      <c r="D1246" s="2" t="s">
        <v>1618</v>
      </c>
      <c r="E1246" s="2" t="s">
        <v>1118</v>
      </c>
      <c r="F1246" s="2" t="s">
        <v>1896</v>
      </c>
      <c r="G1246" s="4">
        <v>160759</v>
      </c>
      <c r="H1246" s="5" t="s">
        <v>42</v>
      </c>
      <c r="I1246" s="4">
        <v>0</v>
      </c>
      <c r="J1246" s="6">
        <v>44603</v>
      </c>
      <c r="K1246" t="str">
        <f t="shared" si="38"/>
        <v>Q1 2022</v>
      </c>
      <c r="L1246" t="str">
        <f t="shared" si="39"/>
        <v>Q1 2022</v>
      </c>
    </row>
    <row r="1247" spans="1:12" ht="15.75" customHeight="1" x14ac:dyDescent="0.3">
      <c r="A1247" s="2" t="s">
        <v>1897</v>
      </c>
      <c r="B1247" s="2" t="s">
        <v>11</v>
      </c>
      <c r="C1247" s="2" t="s">
        <v>12</v>
      </c>
      <c r="D1247" s="2" t="s">
        <v>1618</v>
      </c>
      <c r="E1247" s="2" t="s">
        <v>1052</v>
      </c>
      <c r="F1247" s="2" t="s">
        <v>1898</v>
      </c>
      <c r="G1247" s="4">
        <v>178915</v>
      </c>
      <c r="H1247" s="6">
        <v>44596</v>
      </c>
      <c r="I1247" s="4">
        <v>0</v>
      </c>
      <c r="J1247" s="6">
        <v>44597</v>
      </c>
      <c r="K1247" t="str">
        <f t="shared" si="38"/>
        <v>Q1 2022</v>
      </c>
      <c r="L1247" t="str">
        <f t="shared" si="39"/>
        <v>Q1 2022</v>
      </c>
    </row>
    <row r="1248" spans="1:12" ht="15.75" customHeight="1" x14ac:dyDescent="0.3">
      <c r="A1248" s="2" t="s">
        <v>1899</v>
      </c>
      <c r="B1248" s="2" t="s">
        <v>20</v>
      </c>
      <c r="C1248" s="2" t="s">
        <v>57</v>
      </c>
      <c r="D1248" s="2" t="s">
        <v>1618</v>
      </c>
      <c r="E1248" s="2" t="s">
        <v>1052</v>
      </c>
      <c r="F1248" s="2" t="s">
        <v>1900</v>
      </c>
      <c r="G1248" s="4">
        <v>209815</v>
      </c>
      <c r="H1248" s="6">
        <v>44867</v>
      </c>
      <c r="I1248" s="4">
        <v>41963</v>
      </c>
      <c r="J1248" s="5" t="s">
        <v>82</v>
      </c>
      <c r="K1248" t="str">
        <f t="shared" si="38"/>
        <v>Q1 2022</v>
      </c>
      <c r="L1248" t="str">
        <f t="shared" si="39"/>
        <v>Q1 2022</v>
      </c>
    </row>
    <row r="1249" spans="1:12" ht="15.75" customHeight="1" x14ac:dyDescent="0.3">
      <c r="A1249" s="2" t="s">
        <v>1901</v>
      </c>
      <c r="B1249" s="2" t="s">
        <v>11</v>
      </c>
      <c r="C1249" s="2" t="s">
        <v>12</v>
      </c>
      <c r="D1249" s="2" t="s">
        <v>1618</v>
      </c>
      <c r="E1249" s="2" t="s">
        <v>1075</v>
      </c>
      <c r="F1249" s="2" t="s">
        <v>1902</v>
      </c>
      <c r="G1249" s="4">
        <v>52824</v>
      </c>
      <c r="H1249" s="5" t="s">
        <v>333</v>
      </c>
      <c r="I1249" s="4">
        <v>0</v>
      </c>
      <c r="J1249" s="6">
        <v>44599</v>
      </c>
      <c r="K1249" t="str">
        <f t="shared" si="38"/>
        <v>Q1 2022</v>
      </c>
      <c r="L1249" t="str">
        <f t="shared" si="39"/>
        <v>Q1 2022</v>
      </c>
    </row>
    <row r="1250" spans="1:12" ht="15.75" customHeight="1" x14ac:dyDescent="0.3">
      <c r="A1250" s="2" t="s">
        <v>1903</v>
      </c>
      <c r="B1250" s="2" t="s">
        <v>11</v>
      </c>
      <c r="C1250" s="2" t="s">
        <v>12</v>
      </c>
      <c r="D1250" s="2" t="s">
        <v>1618</v>
      </c>
      <c r="E1250" s="2" t="s">
        <v>1075</v>
      </c>
      <c r="F1250" s="2" t="s">
        <v>1678</v>
      </c>
      <c r="G1250" s="4">
        <v>117495</v>
      </c>
      <c r="H1250" s="5" t="s">
        <v>93</v>
      </c>
      <c r="I1250" s="4">
        <v>0</v>
      </c>
      <c r="J1250" s="6">
        <v>44602</v>
      </c>
      <c r="K1250" t="str">
        <f t="shared" si="38"/>
        <v>Q1 2022</v>
      </c>
      <c r="L1250" t="str">
        <f t="shared" si="39"/>
        <v>Q1 2022</v>
      </c>
    </row>
    <row r="1251" spans="1:12" ht="15.75" customHeight="1" x14ac:dyDescent="0.3">
      <c r="A1251" s="2" t="s">
        <v>1904</v>
      </c>
      <c r="B1251" s="2" t="s">
        <v>11</v>
      </c>
      <c r="C1251" s="2" t="s">
        <v>12</v>
      </c>
      <c r="D1251" s="2" t="s">
        <v>1618</v>
      </c>
      <c r="E1251" s="2" t="s">
        <v>1052</v>
      </c>
      <c r="F1251" s="2" t="s">
        <v>1905</v>
      </c>
      <c r="G1251" s="4">
        <v>88044</v>
      </c>
      <c r="H1251" s="5" t="s">
        <v>16</v>
      </c>
      <c r="I1251" s="4">
        <v>0</v>
      </c>
      <c r="J1251" s="6">
        <v>44597</v>
      </c>
      <c r="K1251" t="str">
        <f t="shared" si="38"/>
        <v>Q1 2022</v>
      </c>
      <c r="L1251" t="str">
        <f t="shared" si="39"/>
        <v>Q1 2022</v>
      </c>
    </row>
    <row r="1252" spans="1:12" ht="15.75" customHeight="1" x14ac:dyDescent="0.3">
      <c r="A1252" s="2" t="s">
        <v>1906</v>
      </c>
      <c r="B1252" s="2" t="s">
        <v>11</v>
      </c>
      <c r="C1252" s="2" t="s">
        <v>12</v>
      </c>
      <c r="D1252" s="2" t="s">
        <v>1618</v>
      </c>
      <c r="E1252" s="2" t="s">
        <v>1052</v>
      </c>
      <c r="F1252" s="2" t="s">
        <v>1907</v>
      </c>
      <c r="G1252" s="4">
        <v>33496</v>
      </c>
      <c r="H1252" s="5" t="s">
        <v>30</v>
      </c>
      <c r="I1252" s="4">
        <v>0</v>
      </c>
      <c r="J1252" s="6">
        <v>44603</v>
      </c>
      <c r="K1252" t="str">
        <f t="shared" si="38"/>
        <v>Q1 2022</v>
      </c>
      <c r="L1252" t="str">
        <f t="shared" si="39"/>
        <v>Q1 2022</v>
      </c>
    </row>
    <row r="1253" spans="1:12" ht="15.75" customHeight="1" x14ac:dyDescent="0.3">
      <c r="A1253" s="2" t="s">
        <v>1908</v>
      </c>
      <c r="B1253" s="2" t="s">
        <v>11</v>
      </c>
      <c r="C1253" s="2" t="s">
        <v>12</v>
      </c>
      <c r="D1253" s="2" t="s">
        <v>1618</v>
      </c>
      <c r="E1253" s="2" t="s">
        <v>1052</v>
      </c>
      <c r="F1253" s="2" t="s">
        <v>1909</v>
      </c>
      <c r="G1253" s="4">
        <v>74048</v>
      </c>
      <c r="H1253" s="5" t="s">
        <v>71</v>
      </c>
      <c r="I1253" s="4">
        <v>0</v>
      </c>
      <c r="J1253" s="6">
        <v>44603</v>
      </c>
      <c r="K1253" t="str">
        <f t="shared" si="38"/>
        <v>Q1 2022</v>
      </c>
      <c r="L1253" t="str">
        <f t="shared" si="39"/>
        <v>Q1 2022</v>
      </c>
    </row>
    <row r="1254" spans="1:12" ht="15.75" customHeight="1" x14ac:dyDescent="0.3">
      <c r="A1254" s="2" t="s">
        <v>1910</v>
      </c>
      <c r="B1254" s="2" t="s">
        <v>11</v>
      </c>
      <c r="C1254" s="2" t="s">
        <v>12</v>
      </c>
      <c r="D1254" s="2" t="s">
        <v>1618</v>
      </c>
      <c r="E1254" s="2" t="s">
        <v>1052</v>
      </c>
      <c r="F1254" s="2" t="s">
        <v>1161</v>
      </c>
      <c r="G1254" s="4">
        <v>177894</v>
      </c>
      <c r="H1254" s="5" t="s">
        <v>42</v>
      </c>
      <c r="I1254" s="4">
        <v>0</v>
      </c>
      <c r="J1254" s="6">
        <v>44603</v>
      </c>
      <c r="K1254" t="str">
        <f t="shared" si="38"/>
        <v>Q1 2022</v>
      </c>
      <c r="L1254" t="str">
        <f t="shared" si="39"/>
        <v>Q1 2022</v>
      </c>
    </row>
    <row r="1255" spans="1:12" ht="15.75" customHeight="1" x14ac:dyDescent="0.3">
      <c r="A1255" s="2" t="s">
        <v>1911</v>
      </c>
      <c r="B1255" s="2" t="s">
        <v>20</v>
      </c>
      <c r="C1255" s="2" t="s">
        <v>57</v>
      </c>
      <c r="D1255" s="2" t="s">
        <v>1618</v>
      </c>
      <c r="E1255" s="2" t="s">
        <v>1052</v>
      </c>
      <c r="F1255" s="2" t="s">
        <v>1912</v>
      </c>
      <c r="G1255" s="4">
        <v>88374</v>
      </c>
      <c r="H1255" s="6">
        <v>44775</v>
      </c>
      <c r="I1255" s="4">
        <v>44187</v>
      </c>
      <c r="J1255" s="5" t="s">
        <v>1102</v>
      </c>
      <c r="K1255" t="str">
        <f t="shared" si="38"/>
        <v>Q1 2022</v>
      </c>
      <c r="L1255" t="str">
        <f t="shared" si="39"/>
        <v>Q1 2022</v>
      </c>
    </row>
    <row r="1256" spans="1:12" ht="15.75" customHeight="1" x14ac:dyDescent="0.3">
      <c r="A1256" s="2" t="s">
        <v>1913</v>
      </c>
      <c r="B1256" s="2" t="s">
        <v>11</v>
      </c>
      <c r="C1256" s="2" t="s">
        <v>12</v>
      </c>
      <c r="D1256" s="2" t="s">
        <v>1618</v>
      </c>
      <c r="E1256" s="2" t="s">
        <v>1052</v>
      </c>
      <c r="F1256" s="2" t="s">
        <v>1914</v>
      </c>
      <c r="G1256" s="4">
        <v>150659</v>
      </c>
      <c r="H1256" s="5" t="s">
        <v>39</v>
      </c>
      <c r="I1256" s="4">
        <v>0</v>
      </c>
      <c r="J1256" s="6">
        <v>44603</v>
      </c>
      <c r="K1256" t="str">
        <f t="shared" si="38"/>
        <v>Q1 2022</v>
      </c>
      <c r="L1256" t="str">
        <f t="shared" si="39"/>
        <v>Q1 2022</v>
      </c>
    </row>
    <row r="1257" spans="1:12" ht="15.75" customHeight="1" x14ac:dyDescent="0.3">
      <c r="A1257" s="2" t="s">
        <v>1915</v>
      </c>
      <c r="B1257" s="2" t="s">
        <v>11</v>
      </c>
      <c r="C1257" s="2" t="s">
        <v>12</v>
      </c>
      <c r="D1257" s="2" t="s">
        <v>1618</v>
      </c>
      <c r="E1257" s="2" t="s">
        <v>1052</v>
      </c>
      <c r="F1257" s="2" t="s">
        <v>1093</v>
      </c>
      <c r="G1257" s="4">
        <v>106909</v>
      </c>
      <c r="H1257" s="5" t="s">
        <v>39</v>
      </c>
      <c r="I1257" s="4">
        <v>0</v>
      </c>
      <c r="J1257" s="6">
        <v>44603</v>
      </c>
      <c r="K1257" t="str">
        <f t="shared" si="38"/>
        <v>Q1 2022</v>
      </c>
      <c r="L1257" t="str">
        <f t="shared" si="39"/>
        <v>Q1 2022</v>
      </c>
    </row>
    <row r="1258" spans="1:12" ht="15.75" customHeight="1" x14ac:dyDescent="0.3">
      <c r="A1258" s="2" t="s">
        <v>1916</v>
      </c>
      <c r="B1258" s="2" t="s">
        <v>11</v>
      </c>
      <c r="C1258" s="2" t="s">
        <v>12</v>
      </c>
      <c r="D1258" s="2" t="s">
        <v>1618</v>
      </c>
      <c r="E1258" s="2" t="s">
        <v>1072</v>
      </c>
      <c r="F1258" s="2" t="s">
        <v>1917</v>
      </c>
      <c r="G1258" s="4">
        <v>94769</v>
      </c>
      <c r="H1258" s="5" t="s">
        <v>197</v>
      </c>
      <c r="I1258" s="4">
        <v>0</v>
      </c>
      <c r="J1258" s="6">
        <v>44601</v>
      </c>
      <c r="K1258" t="str">
        <f t="shared" si="38"/>
        <v>Q1 2022</v>
      </c>
      <c r="L1258" t="str">
        <f t="shared" si="39"/>
        <v>Q1 2022</v>
      </c>
    </row>
    <row r="1259" spans="1:12" ht="15.75" customHeight="1" x14ac:dyDescent="0.3">
      <c r="A1259" s="2" t="s">
        <v>1918</v>
      </c>
      <c r="B1259" s="2" t="s">
        <v>11</v>
      </c>
      <c r="C1259" s="2" t="s">
        <v>12</v>
      </c>
      <c r="D1259" s="2" t="s">
        <v>1618</v>
      </c>
      <c r="E1259" s="2" t="s">
        <v>1052</v>
      </c>
      <c r="F1259" s="2" t="s">
        <v>1738</v>
      </c>
      <c r="G1259" s="4">
        <v>92190</v>
      </c>
      <c r="H1259" s="5" t="s">
        <v>322</v>
      </c>
      <c r="I1259" s="4">
        <v>0</v>
      </c>
      <c r="J1259" s="6">
        <v>44594</v>
      </c>
      <c r="K1259" t="str">
        <f t="shared" si="38"/>
        <v>Q1 2022</v>
      </c>
      <c r="L1259" t="str">
        <f t="shared" si="39"/>
        <v>Q1 2022</v>
      </c>
    </row>
    <row r="1260" spans="1:12" ht="15.75" customHeight="1" x14ac:dyDescent="0.3">
      <c r="A1260" s="2" t="s">
        <v>1919</v>
      </c>
      <c r="B1260" s="2" t="s">
        <v>11</v>
      </c>
      <c r="C1260" s="2" t="s">
        <v>12</v>
      </c>
      <c r="D1260" s="2" t="s">
        <v>1618</v>
      </c>
      <c r="E1260" s="2" t="s">
        <v>1075</v>
      </c>
      <c r="F1260" s="2" t="s">
        <v>46</v>
      </c>
      <c r="G1260" s="4">
        <v>29750</v>
      </c>
      <c r="H1260" s="5" t="s">
        <v>192</v>
      </c>
      <c r="I1260" s="4">
        <v>0</v>
      </c>
      <c r="J1260" s="6">
        <v>44595</v>
      </c>
      <c r="K1260" t="str">
        <f t="shared" si="38"/>
        <v>Q1 2022</v>
      </c>
      <c r="L1260" t="str">
        <f t="shared" si="39"/>
        <v>Q1 2022</v>
      </c>
    </row>
    <row r="1261" spans="1:12" ht="15.75" customHeight="1" x14ac:dyDescent="0.3">
      <c r="A1261" s="2" t="s">
        <v>1920</v>
      </c>
      <c r="B1261" s="2" t="s">
        <v>11</v>
      </c>
      <c r="C1261" s="2" t="s">
        <v>12</v>
      </c>
      <c r="D1261" s="2" t="s">
        <v>1618</v>
      </c>
      <c r="E1261" s="2" t="s">
        <v>1052</v>
      </c>
      <c r="F1261" s="2" t="s">
        <v>1921</v>
      </c>
      <c r="G1261" s="4">
        <v>132213</v>
      </c>
      <c r="H1261" s="5" t="s">
        <v>25</v>
      </c>
      <c r="I1261" s="4">
        <v>0</v>
      </c>
      <c r="J1261" s="6">
        <v>44603</v>
      </c>
      <c r="K1261" t="str">
        <f t="shared" si="38"/>
        <v>Q1 2022</v>
      </c>
      <c r="L1261" t="str">
        <f t="shared" si="39"/>
        <v>Q1 2022</v>
      </c>
    </row>
    <row r="1262" spans="1:12" ht="15.75" customHeight="1" x14ac:dyDescent="0.3">
      <c r="A1262" s="2" t="s">
        <v>1922</v>
      </c>
      <c r="B1262" s="2" t="s">
        <v>11</v>
      </c>
      <c r="C1262" s="2" t="s">
        <v>12</v>
      </c>
      <c r="D1262" s="2" t="s">
        <v>1618</v>
      </c>
      <c r="E1262" s="2" t="s">
        <v>1052</v>
      </c>
      <c r="F1262" s="2" t="s">
        <v>1161</v>
      </c>
      <c r="G1262" s="4">
        <v>74394</v>
      </c>
      <c r="H1262" s="5" t="s">
        <v>71</v>
      </c>
      <c r="I1262" s="4">
        <v>0</v>
      </c>
      <c r="J1262" s="6">
        <v>44603</v>
      </c>
      <c r="K1262" t="str">
        <f t="shared" si="38"/>
        <v>Q1 2022</v>
      </c>
      <c r="L1262" t="str">
        <f t="shared" si="39"/>
        <v>Q1 2022</v>
      </c>
    </row>
    <row r="1263" spans="1:12" ht="15.75" customHeight="1" x14ac:dyDescent="0.3">
      <c r="A1263" s="2" t="s">
        <v>1923</v>
      </c>
      <c r="B1263" s="2" t="s">
        <v>11</v>
      </c>
      <c r="C1263" s="2" t="s">
        <v>12</v>
      </c>
      <c r="D1263" s="2" t="s">
        <v>1618</v>
      </c>
      <c r="E1263" s="2" t="s">
        <v>1052</v>
      </c>
      <c r="F1263" s="2" t="s">
        <v>1924</v>
      </c>
      <c r="G1263" s="4">
        <v>143820</v>
      </c>
      <c r="H1263" s="6">
        <v>44630</v>
      </c>
      <c r="I1263" s="4">
        <v>0</v>
      </c>
      <c r="J1263" s="6">
        <v>44603</v>
      </c>
      <c r="K1263" t="str">
        <f t="shared" si="38"/>
        <v>Q1 2022</v>
      </c>
      <c r="L1263" t="str">
        <f t="shared" si="39"/>
        <v>Q1 2022</v>
      </c>
    </row>
    <row r="1264" spans="1:12" ht="15.75" customHeight="1" x14ac:dyDescent="0.3">
      <c r="A1264" s="2" t="s">
        <v>1925</v>
      </c>
      <c r="B1264" s="2" t="s">
        <v>11</v>
      </c>
      <c r="C1264" s="2" t="s">
        <v>12</v>
      </c>
      <c r="D1264" s="2" t="s">
        <v>1618</v>
      </c>
      <c r="E1264" s="2" t="s">
        <v>1052</v>
      </c>
      <c r="F1264" s="2" t="s">
        <v>1926</v>
      </c>
      <c r="G1264" s="4">
        <v>69927</v>
      </c>
      <c r="H1264" s="5" t="s">
        <v>455</v>
      </c>
      <c r="I1264" s="4">
        <v>0</v>
      </c>
      <c r="J1264" s="6">
        <v>44600</v>
      </c>
      <c r="K1264" t="str">
        <f t="shared" si="38"/>
        <v>Q1 2022</v>
      </c>
      <c r="L1264" t="str">
        <f t="shared" si="39"/>
        <v>Q1 2022</v>
      </c>
    </row>
    <row r="1265" spans="1:12" ht="15.75" customHeight="1" x14ac:dyDescent="0.3">
      <c r="A1265" s="2" t="s">
        <v>1927</v>
      </c>
      <c r="B1265" s="2" t="s">
        <v>11</v>
      </c>
      <c r="C1265" s="2" t="s">
        <v>12</v>
      </c>
      <c r="D1265" s="2" t="s">
        <v>1618</v>
      </c>
      <c r="E1265" s="2" t="s">
        <v>1052</v>
      </c>
      <c r="F1265" s="2" t="s">
        <v>1928</v>
      </c>
      <c r="G1265" s="4">
        <v>104065</v>
      </c>
      <c r="H1265" s="6">
        <v>44539</v>
      </c>
      <c r="I1265" s="4">
        <v>0</v>
      </c>
      <c r="J1265" s="6">
        <v>44237</v>
      </c>
      <c r="K1265" t="str">
        <f t="shared" si="38"/>
        <v>Q1 2021</v>
      </c>
      <c r="L1265" t="str">
        <f t="shared" si="39"/>
        <v>Q1 2021</v>
      </c>
    </row>
    <row r="1266" spans="1:12" ht="15.75" customHeight="1" x14ac:dyDescent="0.3">
      <c r="A1266" s="2" t="s">
        <v>1929</v>
      </c>
      <c r="B1266" s="2" t="s">
        <v>11</v>
      </c>
      <c r="C1266" s="2" t="s">
        <v>12</v>
      </c>
      <c r="D1266" s="2" t="s">
        <v>1618</v>
      </c>
      <c r="E1266" s="2" t="s">
        <v>1075</v>
      </c>
      <c r="F1266" s="2" t="s">
        <v>1930</v>
      </c>
      <c r="G1266" s="4">
        <v>203768</v>
      </c>
      <c r="H1266" s="5" t="s">
        <v>1631</v>
      </c>
      <c r="I1266" s="4">
        <v>0</v>
      </c>
      <c r="J1266" s="6">
        <v>44963</v>
      </c>
      <c r="K1266" t="str">
        <f t="shared" si="38"/>
        <v>Q1 2023</v>
      </c>
      <c r="L1266" t="str">
        <f t="shared" si="39"/>
        <v>Q1 2023</v>
      </c>
    </row>
    <row r="1267" spans="1:12" ht="15.75" customHeight="1" x14ac:dyDescent="0.3">
      <c r="A1267" s="2" t="s">
        <v>1931</v>
      </c>
      <c r="B1267" s="2" t="s">
        <v>11</v>
      </c>
      <c r="C1267" s="2" t="s">
        <v>12</v>
      </c>
      <c r="D1267" s="2" t="s">
        <v>1618</v>
      </c>
      <c r="E1267" s="2" t="s">
        <v>1075</v>
      </c>
      <c r="F1267" s="2" t="s">
        <v>46</v>
      </c>
      <c r="G1267" s="4">
        <v>311132</v>
      </c>
      <c r="H1267" s="5" t="s">
        <v>463</v>
      </c>
      <c r="I1267" s="4">
        <v>0</v>
      </c>
      <c r="J1267" s="6">
        <v>44599</v>
      </c>
      <c r="K1267" t="str">
        <f t="shared" si="38"/>
        <v>Q1 2022</v>
      </c>
      <c r="L1267" t="str">
        <f t="shared" si="39"/>
        <v>Q1 2022</v>
      </c>
    </row>
    <row r="1268" spans="1:12" ht="15.75" customHeight="1" x14ac:dyDescent="0.3">
      <c r="A1268" s="2" t="s">
        <v>1932</v>
      </c>
      <c r="B1268" s="2" t="s">
        <v>11</v>
      </c>
      <c r="C1268" s="2" t="s">
        <v>12</v>
      </c>
      <c r="D1268" s="2" t="s">
        <v>1618</v>
      </c>
      <c r="E1268" s="2" t="s">
        <v>1052</v>
      </c>
      <c r="F1268" s="2" t="s">
        <v>1933</v>
      </c>
      <c r="G1268" s="2"/>
      <c r="H1268" s="6">
        <v>44298</v>
      </c>
      <c r="I1268" s="4">
        <v>0</v>
      </c>
      <c r="J1268" s="6">
        <v>44594</v>
      </c>
      <c r="K1268" t="str">
        <f t="shared" si="38"/>
        <v>Q1 2022</v>
      </c>
      <c r="L1268" t="str">
        <f t="shared" si="39"/>
        <v>Q1 2022</v>
      </c>
    </row>
    <row r="1269" spans="1:12" ht="15.75" customHeight="1" x14ac:dyDescent="0.3">
      <c r="A1269" s="2" t="s">
        <v>1934</v>
      </c>
      <c r="B1269" s="2" t="s">
        <v>11</v>
      </c>
      <c r="C1269" s="2" t="s">
        <v>12</v>
      </c>
      <c r="D1269" s="2" t="s">
        <v>1618</v>
      </c>
      <c r="E1269" s="2" t="s">
        <v>1052</v>
      </c>
      <c r="F1269" s="2" t="s">
        <v>1148</v>
      </c>
      <c r="G1269" s="4">
        <v>66219</v>
      </c>
      <c r="H1269" s="6">
        <v>44629</v>
      </c>
      <c r="I1269" s="4">
        <v>0</v>
      </c>
      <c r="J1269" s="6">
        <v>44603</v>
      </c>
      <c r="K1269" t="str">
        <f t="shared" si="38"/>
        <v>Q1 2022</v>
      </c>
      <c r="L1269" t="str">
        <f t="shared" si="39"/>
        <v>Q1 2022</v>
      </c>
    </row>
    <row r="1270" spans="1:12" ht="15.75" customHeight="1" x14ac:dyDescent="0.3">
      <c r="A1270" s="2" t="s">
        <v>1935</v>
      </c>
      <c r="B1270" s="2" t="s">
        <v>20</v>
      </c>
      <c r="C1270" s="2" t="s">
        <v>57</v>
      </c>
      <c r="D1270" s="2" t="s">
        <v>1618</v>
      </c>
      <c r="E1270" s="2" t="s">
        <v>1052</v>
      </c>
      <c r="F1270" s="2" t="s">
        <v>1138</v>
      </c>
      <c r="G1270" s="4">
        <v>147772</v>
      </c>
      <c r="H1270" s="5" t="s">
        <v>93</v>
      </c>
      <c r="I1270" s="4">
        <v>36943</v>
      </c>
      <c r="J1270" s="7">
        <v>44876</v>
      </c>
      <c r="K1270" t="str">
        <f t="shared" si="38"/>
        <v>Q4 2022</v>
      </c>
      <c r="L1270" t="str">
        <f t="shared" si="39"/>
        <v>Q4 2022</v>
      </c>
    </row>
    <row r="1271" spans="1:12" ht="15.75" customHeight="1" x14ac:dyDescent="0.3">
      <c r="A1271" s="2" t="s">
        <v>1936</v>
      </c>
      <c r="B1271" s="2" t="s">
        <v>11</v>
      </c>
      <c r="C1271" s="2" t="s">
        <v>12</v>
      </c>
      <c r="D1271" s="2" t="s">
        <v>1618</v>
      </c>
      <c r="E1271" s="2" t="s">
        <v>1052</v>
      </c>
      <c r="F1271" s="2" t="s">
        <v>1937</v>
      </c>
      <c r="G1271" s="4">
        <v>146799</v>
      </c>
      <c r="H1271" s="6">
        <v>44621</v>
      </c>
      <c r="I1271" s="4">
        <v>0</v>
      </c>
      <c r="J1271" s="6">
        <v>44594</v>
      </c>
      <c r="K1271" t="str">
        <f t="shared" si="38"/>
        <v>Q1 2022</v>
      </c>
      <c r="L1271" t="str">
        <f t="shared" si="39"/>
        <v>Q1 2022</v>
      </c>
    </row>
    <row r="1272" spans="1:12" ht="15.75" customHeight="1" x14ac:dyDescent="0.3">
      <c r="A1272" s="2" t="s">
        <v>1938</v>
      </c>
      <c r="B1272" s="2" t="s">
        <v>11</v>
      </c>
      <c r="C1272" s="2" t="s">
        <v>12</v>
      </c>
      <c r="D1272" s="2" t="s">
        <v>1618</v>
      </c>
      <c r="E1272" s="2" t="s">
        <v>1052</v>
      </c>
      <c r="F1272" s="2" t="s">
        <v>1939</v>
      </c>
      <c r="G1272" s="4">
        <v>132359</v>
      </c>
      <c r="H1272" s="5" t="s">
        <v>130</v>
      </c>
      <c r="I1272" s="4">
        <v>0</v>
      </c>
      <c r="J1272" s="6">
        <v>44602</v>
      </c>
      <c r="K1272" t="str">
        <f t="shared" si="38"/>
        <v>Q1 2022</v>
      </c>
      <c r="L1272" t="str">
        <f t="shared" si="39"/>
        <v>Q1 2022</v>
      </c>
    </row>
    <row r="1273" spans="1:12" ht="15.75" customHeight="1" x14ac:dyDescent="0.3">
      <c r="A1273" s="2" t="s">
        <v>1940</v>
      </c>
      <c r="B1273" s="2" t="s">
        <v>11</v>
      </c>
      <c r="C1273" s="2" t="s">
        <v>12</v>
      </c>
      <c r="D1273" s="2" t="s">
        <v>1618</v>
      </c>
      <c r="E1273" s="2" t="s">
        <v>1052</v>
      </c>
      <c r="F1273" s="2" t="s">
        <v>1138</v>
      </c>
      <c r="G1273" s="4">
        <v>206073</v>
      </c>
      <c r="H1273" s="5" t="s">
        <v>25</v>
      </c>
      <c r="I1273" s="4">
        <v>0</v>
      </c>
      <c r="J1273" s="6">
        <v>44603</v>
      </c>
      <c r="K1273" t="str">
        <f t="shared" si="38"/>
        <v>Q1 2022</v>
      </c>
      <c r="L1273" t="str">
        <f t="shared" si="39"/>
        <v>Q1 2022</v>
      </c>
    </row>
    <row r="1274" spans="1:12" ht="15.75" customHeight="1" x14ac:dyDescent="0.3">
      <c r="A1274" s="2" t="s">
        <v>1941</v>
      </c>
      <c r="B1274" s="2" t="s">
        <v>11</v>
      </c>
      <c r="C1274" s="2" t="s">
        <v>12</v>
      </c>
      <c r="D1274" s="2" t="s">
        <v>1618</v>
      </c>
      <c r="E1274" s="2" t="s">
        <v>1075</v>
      </c>
      <c r="F1274" s="2" t="s">
        <v>1942</v>
      </c>
      <c r="G1274" s="4">
        <v>33497</v>
      </c>
      <c r="H1274" s="5" t="s">
        <v>232</v>
      </c>
      <c r="I1274" s="4">
        <v>0</v>
      </c>
      <c r="J1274" s="6">
        <v>44594</v>
      </c>
      <c r="K1274" t="str">
        <f t="shared" si="38"/>
        <v>Q1 2022</v>
      </c>
      <c r="L1274" t="str">
        <f t="shared" si="39"/>
        <v>Q1 2022</v>
      </c>
    </row>
    <row r="1275" spans="1:12" ht="15.75" customHeight="1" x14ac:dyDescent="0.3">
      <c r="A1275" s="2" t="s">
        <v>1943</v>
      </c>
      <c r="B1275" s="2" t="s">
        <v>11</v>
      </c>
      <c r="C1275" s="2" t="s">
        <v>12</v>
      </c>
      <c r="D1275" s="2" t="s">
        <v>1618</v>
      </c>
      <c r="E1275" s="2" t="s">
        <v>1052</v>
      </c>
      <c r="F1275" s="2" t="s">
        <v>1944</v>
      </c>
      <c r="G1275" s="4">
        <v>100210</v>
      </c>
      <c r="H1275" s="5" t="s">
        <v>728</v>
      </c>
      <c r="I1275" s="4">
        <v>0</v>
      </c>
      <c r="J1275" s="6">
        <v>44600</v>
      </c>
      <c r="K1275" t="str">
        <f t="shared" si="38"/>
        <v>Q1 2022</v>
      </c>
      <c r="L1275" t="str">
        <f t="shared" si="39"/>
        <v>Q1 2022</v>
      </c>
    </row>
    <row r="1276" spans="1:12" ht="15.75" customHeight="1" x14ac:dyDescent="0.3">
      <c r="A1276" s="2" t="s">
        <v>1945</v>
      </c>
      <c r="B1276" s="2" t="s">
        <v>20</v>
      </c>
      <c r="C1276" s="2" t="s">
        <v>57</v>
      </c>
      <c r="D1276" s="2" t="s">
        <v>1618</v>
      </c>
      <c r="E1276" s="2" t="s">
        <v>1052</v>
      </c>
      <c r="F1276" s="2" t="s">
        <v>1568</v>
      </c>
      <c r="G1276" s="4">
        <v>202434</v>
      </c>
      <c r="H1276" s="5" t="s">
        <v>1946</v>
      </c>
      <c r="I1276" s="4">
        <v>15572</v>
      </c>
      <c r="J1276" s="5" t="s">
        <v>1947</v>
      </c>
      <c r="K1276" t="str">
        <f t="shared" si="38"/>
        <v>Q3 2021</v>
      </c>
      <c r="L1276" t="str">
        <f t="shared" si="39"/>
        <v>Q3 2021</v>
      </c>
    </row>
    <row r="1277" spans="1:12" ht="15.75" customHeight="1" x14ac:dyDescent="0.3">
      <c r="A1277" s="2" t="s">
        <v>1948</v>
      </c>
      <c r="B1277" s="2" t="s">
        <v>11</v>
      </c>
      <c r="C1277" s="2" t="s">
        <v>12</v>
      </c>
      <c r="D1277" s="2" t="s">
        <v>1618</v>
      </c>
      <c r="E1277" s="2" t="s">
        <v>1052</v>
      </c>
      <c r="F1277" s="2" t="s">
        <v>1740</v>
      </c>
      <c r="G1277" s="4">
        <v>138670</v>
      </c>
      <c r="H1277" s="6">
        <v>44866</v>
      </c>
      <c r="I1277" s="4">
        <v>0</v>
      </c>
      <c r="J1277" s="6">
        <v>44595</v>
      </c>
      <c r="K1277" t="str">
        <f t="shared" si="38"/>
        <v>Q1 2022</v>
      </c>
      <c r="L1277" t="str">
        <f t="shared" si="39"/>
        <v>Q1 2022</v>
      </c>
    </row>
    <row r="1278" spans="1:12" ht="15.75" customHeight="1" x14ac:dyDescent="0.3">
      <c r="A1278" s="2" t="s">
        <v>1949</v>
      </c>
      <c r="B1278" s="2" t="s">
        <v>11</v>
      </c>
      <c r="C1278" s="2" t="s">
        <v>12</v>
      </c>
      <c r="D1278" s="2" t="s">
        <v>1618</v>
      </c>
      <c r="E1278" s="2" t="s">
        <v>1052</v>
      </c>
      <c r="F1278" s="2" t="s">
        <v>1882</v>
      </c>
      <c r="G1278" s="4">
        <v>98815</v>
      </c>
      <c r="H1278" s="5" t="s">
        <v>179</v>
      </c>
      <c r="I1278" s="4">
        <v>0</v>
      </c>
      <c r="J1278" s="6">
        <v>44594</v>
      </c>
      <c r="K1278" t="str">
        <f t="shared" si="38"/>
        <v>Q1 2022</v>
      </c>
      <c r="L1278" t="str">
        <f t="shared" si="39"/>
        <v>Q1 2022</v>
      </c>
    </row>
    <row r="1279" spans="1:12" ht="15.75" customHeight="1" x14ac:dyDescent="0.3">
      <c r="A1279" s="2" t="s">
        <v>1950</v>
      </c>
      <c r="B1279" s="2" t="s">
        <v>11</v>
      </c>
      <c r="C1279" s="2" t="s">
        <v>12</v>
      </c>
      <c r="D1279" s="2" t="s">
        <v>1618</v>
      </c>
      <c r="E1279" s="2" t="s">
        <v>1052</v>
      </c>
      <c r="F1279" s="2" t="s">
        <v>1951</v>
      </c>
      <c r="G1279" s="4">
        <v>51410</v>
      </c>
      <c r="H1279" s="5" t="s">
        <v>39</v>
      </c>
      <c r="I1279" s="4">
        <v>0</v>
      </c>
      <c r="J1279" s="6">
        <v>44603</v>
      </c>
      <c r="K1279" t="str">
        <f t="shared" si="38"/>
        <v>Q1 2022</v>
      </c>
      <c r="L1279" t="str">
        <f t="shared" si="39"/>
        <v>Q1 2022</v>
      </c>
    </row>
    <row r="1280" spans="1:12" ht="15.75" customHeight="1" x14ac:dyDescent="0.3">
      <c r="A1280" s="2" t="s">
        <v>1952</v>
      </c>
      <c r="B1280" s="2" t="s">
        <v>11</v>
      </c>
      <c r="C1280" s="2" t="s">
        <v>12</v>
      </c>
      <c r="D1280" s="2" t="s">
        <v>1618</v>
      </c>
      <c r="E1280" s="2" t="s">
        <v>1052</v>
      </c>
      <c r="F1280" s="2" t="s">
        <v>46</v>
      </c>
      <c r="G1280" s="4">
        <v>98643</v>
      </c>
      <c r="H1280" s="5" t="s">
        <v>309</v>
      </c>
      <c r="I1280" s="4">
        <v>0</v>
      </c>
      <c r="J1280" s="6">
        <v>44594</v>
      </c>
      <c r="K1280" t="str">
        <f t="shared" si="38"/>
        <v>Q1 2022</v>
      </c>
      <c r="L1280" t="str">
        <f t="shared" si="39"/>
        <v>Q1 2022</v>
      </c>
    </row>
    <row r="1281" spans="1:12" ht="15.75" customHeight="1" x14ac:dyDescent="0.3">
      <c r="A1281" s="2" t="s">
        <v>1953</v>
      </c>
      <c r="B1281" s="2" t="s">
        <v>11</v>
      </c>
      <c r="C1281" s="2" t="s">
        <v>12</v>
      </c>
      <c r="D1281" s="2" t="s">
        <v>1618</v>
      </c>
      <c r="E1281" s="2" t="s">
        <v>1052</v>
      </c>
      <c r="F1281" s="2" t="s">
        <v>1882</v>
      </c>
      <c r="G1281" s="4">
        <v>220632</v>
      </c>
      <c r="H1281" s="5" t="s">
        <v>25</v>
      </c>
      <c r="I1281" s="4">
        <v>0</v>
      </c>
      <c r="J1281" s="6">
        <v>44603</v>
      </c>
      <c r="K1281" t="str">
        <f t="shared" si="38"/>
        <v>Q1 2022</v>
      </c>
      <c r="L1281" t="str">
        <f t="shared" si="39"/>
        <v>Q1 2022</v>
      </c>
    </row>
    <row r="1282" spans="1:12" ht="15.75" customHeight="1" x14ac:dyDescent="0.3">
      <c r="A1282" s="2" t="s">
        <v>1954</v>
      </c>
      <c r="B1282" s="2" t="s">
        <v>11</v>
      </c>
      <c r="C1282" s="2" t="s">
        <v>12</v>
      </c>
      <c r="D1282" s="2" t="s">
        <v>1618</v>
      </c>
      <c r="E1282" s="2" t="s">
        <v>1052</v>
      </c>
      <c r="F1282" s="2" t="s">
        <v>1800</v>
      </c>
      <c r="G1282" s="4">
        <v>275652</v>
      </c>
      <c r="H1282" s="5" t="s">
        <v>123</v>
      </c>
      <c r="I1282" s="4">
        <v>0</v>
      </c>
      <c r="J1282" s="6">
        <v>44594</v>
      </c>
      <c r="K1282" t="str">
        <f t="shared" ref="K1282:K1345" si="40">"Q" &amp; ROUNDUP(MONTH(J:J)/3,0) &amp; " " &amp; YEAR(J:J)</f>
        <v>Q1 2022</v>
      </c>
      <c r="L1282" t="str">
        <f t="shared" ref="L1282:L1345" si="41">"Q" &amp; ROUNDUP(MONTH(J:J)/3,0) &amp; " " &amp; YEAR(J:J)</f>
        <v>Q1 2022</v>
      </c>
    </row>
    <row r="1283" spans="1:12" ht="15.75" customHeight="1" x14ac:dyDescent="0.3">
      <c r="A1283" s="2" t="s">
        <v>1955</v>
      </c>
      <c r="B1283" s="2" t="s">
        <v>11</v>
      </c>
      <c r="C1283" s="2" t="s">
        <v>12</v>
      </c>
      <c r="D1283" s="2" t="s">
        <v>1618</v>
      </c>
      <c r="E1283" s="2" t="s">
        <v>1052</v>
      </c>
      <c r="F1283" s="2" t="s">
        <v>1777</v>
      </c>
      <c r="G1283" s="4">
        <v>112521</v>
      </c>
      <c r="H1283" s="6">
        <v>44629</v>
      </c>
      <c r="I1283" s="4">
        <v>0</v>
      </c>
      <c r="J1283" s="6">
        <v>44603</v>
      </c>
      <c r="K1283" t="str">
        <f t="shared" si="40"/>
        <v>Q1 2022</v>
      </c>
      <c r="L1283" t="str">
        <f t="shared" si="41"/>
        <v>Q1 2022</v>
      </c>
    </row>
    <row r="1284" spans="1:12" ht="15.75" customHeight="1" x14ac:dyDescent="0.3">
      <c r="A1284" s="2" t="s">
        <v>1956</v>
      </c>
      <c r="B1284" s="2" t="s">
        <v>11</v>
      </c>
      <c r="C1284" s="2" t="s">
        <v>12</v>
      </c>
      <c r="D1284" s="2" t="s">
        <v>1618</v>
      </c>
      <c r="E1284" s="2" t="s">
        <v>1052</v>
      </c>
      <c r="F1284" s="2" t="s">
        <v>1924</v>
      </c>
      <c r="G1284" s="4">
        <v>69911</v>
      </c>
      <c r="H1284" s="5" t="s">
        <v>179</v>
      </c>
      <c r="I1284" s="4">
        <v>0</v>
      </c>
      <c r="J1284" s="6">
        <v>44594</v>
      </c>
      <c r="K1284" t="str">
        <f t="shared" si="40"/>
        <v>Q1 2022</v>
      </c>
      <c r="L1284" t="str">
        <f t="shared" si="41"/>
        <v>Q1 2022</v>
      </c>
    </row>
    <row r="1285" spans="1:12" ht="15.75" customHeight="1" x14ac:dyDescent="0.3">
      <c r="A1285" s="2" t="s">
        <v>1957</v>
      </c>
      <c r="B1285" s="2" t="s">
        <v>11</v>
      </c>
      <c r="C1285" s="2" t="s">
        <v>12</v>
      </c>
      <c r="D1285" s="2" t="s">
        <v>1618</v>
      </c>
      <c r="E1285" s="2" t="s">
        <v>1075</v>
      </c>
      <c r="F1285" s="2" t="s">
        <v>46</v>
      </c>
      <c r="G1285" s="4">
        <v>69912</v>
      </c>
      <c r="H1285" s="5" t="s">
        <v>30</v>
      </c>
      <c r="I1285" s="4">
        <v>0</v>
      </c>
      <c r="J1285" s="6">
        <v>44603</v>
      </c>
      <c r="K1285" t="str">
        <f t="shared" si="40"/>
        <v>Q1 2022</v>
      </c>
      <c r="L1285" t="str">
        <f t="shared" si="41"/>
        <v>Q1 2022</v>
      </c>
    </row>
    <row r="1286" spans="1:12" ht="15.75" customHeight="1" x14ac:dyDescent="0.3">
      <c r="A1286" s="2" t="s">
        <v>1958</v>
      </c>
      <c r="B1286" s="2" t="s">
        <v>11</v>
      </c>
      <c r="C1286" s="2" t="s">
        <v>12</v>
      </c>
      <c r="D1286" s="2" t="s">
        <v>1618</v>
      </c>
      <c r="E1286" s="2" t="s">
        <v>1052</v>
      </c>
      <c r="F1286" s="2" t="s">
        <v>1959</v>
      </c>
      <c r="G1286" s="4">
        <v>114000</v>
      </c>
      <c r="H1286" s="5" t="s">
        <v>333</v>
      </c>
      <c r="I1286" s="4">
        <v>0</v>
      </c>
      <c r="J1286" s="6">
        <v>44599</v>
      </c>
      <c r="K1286" t="str">
        <f t="shared" si="40"/>
        <v>Q1 2022</v>
      </c>
      <c r="L1286" t="str">
        <f t="shared" si="41"/>
        <v>Q1 2022</v>
      </c>
    </row>
    <row r="1287" spans="1:12" ht="15.75" customHeight="1" x14ac:dyDescent="0.3">
      <c r="A1287" s="2" t="s">
        <v>1960</v>
      </c>
      <c r="B1287" s="2" t="s">
        <v>11</v>
      </c>
      <c r="C1287" s="2" t="s">
        <v>12</v>
      </c>
      <c r="D1287" s="2" t="s">
        <v>1618</v>
      </c>
      <c r="E1287" s="2" t="s">
        <v>1052</v>
      </c>
      <c r="F1287" s="2" t="s">
        <v>1961</v>
      </c>
      <c r="G1287" s="2"/>
      <c r="H1287" s="5" t="s">
        <v>123</v>
      </c>
      <c r="I1287" s="4">
        <v>0</v>
      </c>
      <c r="J1287" s="6">
        <v>44594</v>
      </c>
      <c r="K1287" t="str">
        <f t="shared" si="40"/>
        <v>Q1 2022</v>
      </c>
      <c r="L1287" t="str">
        <f t="shared" si="41"/>
        <v>Q1 2022</v>
      </c>
    </row>
    <row r="1288" spans="1:12" ht="15.75" customHeight="1" x14ac:dyDescent="0.3">
      <c r="A1288" s="2" t="s">
        <v>1962</v>
      </c>
      <c r="B1288" s="2" t="s">
        <v>11</v>
      </c>
      <c r="C1288" s="2" t="s">
        <v>12</v>
      </c>
      <c r="D1288" s="2" t="s">
        <v>1618</v>
      </c>
      <c r="E1288" s="2" t="s">
        <v>1052</v>
      </c>
      <c r="F1288" s="2" t="s">
        <v>1091</v>
      </c>
      <c r="G1288" s="4">
        <v>72195</v>
      </c>
      <c r="H1288" s="5" t="s">
        <v>39</v>
      </c>
      <c r="I1288" s="4">
        <v>0</v>
      </c>
      <c r="J1288" s="6">
        <v>44603</v>
      </c>
      <c r="K1288" t="str">
        <f t="shared" si="40"/>
        <v>Q1 2022</v>
      </c>
      <c r="L1288" t="str">
        <f t="shared" si="41"/>
        <v>Q1 2022</v>
      </c>
    </row>
    <row r="1289" spans="1:12" ht="15.75" customHeight="1" x14ac:dyDescent="0.3">
      <c r="A1289" s="2" t="s">
        <v>1963</v>
      </c>
      <c r="B1289" s="2" t="s">
        <v>11</v>
      </c>
      <c r="C1289" s="2" t="s">
        <v>12</v>
      </c>
      <c r="D1289" s="2" t="s">
        <v>1618</v>
      </c>
      <c r="E1289" s="2" t="s">
        <v>1052</v>
      </c>
      <c r="F1289" s="2" t="s">
        <v>1964</v>
      </c>
      <c r="G1289" s="4">
        <v>34002</v>
      </c>
      <c r="H1289" s="5" t="s">
        <v>212</v>
      </c>
      <c r="I1289" s="4">
        <v>0</v>
      </c>
      <c r="J1289" s="6">
        <v>44597</v>
      </c>
      <c r="K1289" t="str">
        <f t="shared" si="40"/>
        <v>Q1 2022</v>
      </c>
      <c r="L1289" t="str">
        <f t="shared" si="41"/>
        <v>Q1 2022</v>
      </c>
    </row>
    <row r="1290" spans="1:12" ht="15.75" customHeight="1" x14ac:dyDescent="0.3">
      <c r="A1290" s="2" t="s">
        <v>1965</v>
      </c>
      <c r="B1290" s="2" t="s">
        <v>11</v>
      </c>
      <c r="C1290" s="2" t="s">
        <v>12</v>
      </c>
      <c r="D1290" s="2" t="s">
        <v>1618</v>
      </c>
      <c r="E1290" s="2" t="s">
        <v>1052</v>
      </c>
      <c r="F1290" s="2" t="s">
        <v>1882</v>
      </c>
      <c r="G1290" s="4">
        <v>157004</v>
      </c>
      <c r="H1290" s="5" t="s">
        <v>179</v>
      </c>
      <c r="I1290" s="4">
        <v>0</v>
      </c>
      <c r="J1290" s="6">
        <v>44594</v>
      </c>
      <c r="K1290" t="str">
        <f t="shared" si="40"/>
        <v>Q1 2022</v>
      </c>
      <c r="L1290" t="str">
        <f t="shared" si="41"/>
        <v>Q1 2022</v>
      </c>
    </row>
    <row r="1291" spans="1:12" ht="15.75" customHeight="1" x14ac:dyDescent="0.3">
      <c r="A1291" s="2" t="s">
        <v>1966</v>
      </c>
      <c r="B1291" s="2" t="s">
        <v>11</v>
      </c>
      <c r="C1291" s="2" t="s">
        <v>12</v>
      </c>
      <c r="D1291" s="2" t="s">
        <v>1618</v>
      </c>
      <c r="E1291" s="2" t="s">
        <v>1075</v>
      </c>
      <c r="F1291" s="2" t="s">
        <v>1967</v>
      </c>
      <c r="G1291" s="4">
        <v>40843</v>
      </c>
      <c r="H1291" s="5" t="s">
        <v>142</v>
      </c>
      <c r="I1291" s="4">
        <v>0</v>
      </c>
      <c r="J1291" s="6">
        <v>44597</v>
      </c>
      <c r="K1291" t="str">
        <f t="shared" si="40"/>
        <v>Q1 2022</v>
      </c>
      <c r="L1291" t="str">
        <f t="shared" si="41"/>
        <v>Q1 2022</v>
      </c>
    </row>
    <row r="1292" spans="1:12" ht="15.75" customHeight="1" x14ac:dyDescent="0.3">
      <c r="A1292" s="2" t="s">
        <v>1968</v>
      </c>
      <c r="B1292" s="2" t="s">
        <v>11</v>
      </c>
      <c r="C1292" s="2" t="s">
        <v>12</v>
      </c>
      <c r="D1292" s="2" t="s">
        <v>1618</v>
      </c>
      <c r="E1292" s="2" t="s">
        <v>1052</v>
      </c>
      <c r="F1292" s="2" t="s">
        <v>1093</v>
      </c>
      <c r="G1292" s="4">
        <v>417197</v>
      </c>
      <c r="H1292" s="5" t="s">
        <v>25</v>
      </c>
      <c r="I1292" s="4">
        <v>0</v>
      </c>
      <c r="J1292" s="6">
        <v>44603</v>
      </c>
      <c r="K1292" t="str">
        <f t="shared" si="40"/>
        <v>Q1 2022</v>
      </c>
      <c r="L1292" t="str">
        <f t="shared" si="41"/>
        <v>Q1 2022</v>
      </c>
    </row>
    <row r="1293" spans="1:12" ht="15.75" customHeight="1" x14ac:dyDescent="0.3">
      <c r="A1293" s="2" t="s">
        <v>1969</v>
      </c>
      <c r="B1293" s="2" t="s">
        <v>11</v>
      </c>
      <c r="C1293" s="2" t="s">
        <v>12</v>
      </c>
      <c r="D1293" s="2" t="s">
        <v>1618</v>
      </c>
      <c r="E1293" s="2" t="s">
        <v>1052</v>
      </c>
      <c r="F1293" s="2" t="s">
        <v>1885</v>
      </c>
      <c r="G1293" s="4">
        <v>126643</v>
      </c>
      <c r="H1293" s="6">
        <v>44630</v>
      </c>
      <c r="I1293" s="4">
        <v>0</v>
      </c>
      <c r="J1293" s="6">
        <v>44603</v>
      </c>
      <c r="K1293" t="str">
        <f t="shared" si="40"/>
        <v>Q1 2022</v>
      </c>
      <c r="L1293" t="str">
        <f t="shared" si="41"/>
        <v>Q1 2022</v>
      </c>
    </row>
    <row r="1294" spans="1:12" ht="15.75" customHeight="1" x14ac:dyDescent="0.3">
      <c r="A1294" s="2" t="s">
        <v>1970</v>
      </c>
      <c r="B1294" s="2" t="s">
        <v>11</v>
      </c>
      <c r="C1294" s="2" t="s">
        <v>12</v>
      </c>
      <c r="D1294" s="2" t="s">
        <v>1618</v>
      </c>
      <c r="E1294" s="2" t="s">
        <v>1072</v>
      </c>
      <c r="F1294" s="2" t="s">
        <v>1607</v>
      </c>
      <c r="G1294" s="4">
        <v>42359</v>
      </c>
      <c r="H1294" s="5" t="s">
        <v>123</v>
      </c>
      <c r="I1294" s="4">
        <v>0</v>
      </c>
      <c r="J1294" s="6">
        <v>44594</v>
      </c>
      <c r="K1294" t="str">
        <f t="shared" si="40"/>
        <v>Q1 2022</v>
      </c>
      <c r="L1294" t="str">
        <f t="shared" si="41"/>
        <v>Q1 2022</v>
      </c>
    </row>
    <row r="1295" spans="1:12" ht="15.75" customHeight="1" x14ac:dyDescent="0.3">
      <c r="A1295" s="2" t="s">
        <v>1971</v>
      </c>
      <c r="B1295" s="2" t="s">
        <v>11</v>
      </c>
      <c r="C1295" s="2" t="s">
        <v>12</v>
      </c>
      <c r="D1295" s="2" t="s">
        <v>1618</v>
      </c>
      <c r="E1295" s="2" t="s">
        <v>1052</v>
      </c>
      <c r="F1295" s="2" t="s">
        <v>1972</v>
      </c>
      <c r="G1295" s="4">
        <v>86087</v>
      </c>
      <c r="H1295" s="5" t="s">
        <v>513</v>
      </c>
      <c r="I1295" s="4">
        <v>0</v>
      </c>
      <c r="J1295" s="6">
        <v>44600</v>
      </c>
      <c r="K1295" t="str">
        <f t="shared" si="40"/>
        <v>Q1 2022</v>
      </c>
      <c r="L1295" t="str">
        <f t="shared" si="41"/>
        <v>Q1 2022</v>
      </c>
    </row>
    <row r="1296" spans="1:12" ht="15.75" customHeight="1" x14ac:dyDescent="0.3">
      <c r="A1296" s="2" t="s">
        <v>1973</v>
      </c>
      <c r="B1296" s="2" t="s">
        <v>11</v>
      </c>
      <c r="C1296" s="2" t="s">
        <v>12</v>
      </c>
      <c r="D1296" s="2" t="s">
        <v>1618</v>
      </c>
      <c r="E1296" s="2" t="s">
        <v>1052</v>
      </c>
      <c r="F1296" s="2" t="s">
        <v>46</v>
      </c>
      <c r="G1296" s="4">
        <v>96867</v>
      </c>
      <c r="H1296" s="6">
        <v>44628</v>
      </c>
      <c r="I1296" s="4">
        <v>0</v>
      </c>
      <c r="J1296" s="6">
        <v>44602</v>
      </c>
      <c r="K1296" t="str">
        <f t="shared" si="40"/>
        <v>Q1 2022</v>
      </c>
      <c r="L1296" t="str">
        <f t="shared" si="41"/>
        <v>Q1 2022</v>
      </c>
    </row>
    <row r="1297" spans="1:12" ht="15.75" customHeight="1" x14ac:dyDescent="0.3">
      <c r="A1297" s="2" t="s">
        <v>1974</v>
      </c>
      <c r="B1297" s="2" t="s">
        <v>11</v>
      </c>
      <c r="C1297" s="2" t="s">
        <v>12</v>
      </c>
      <c r="D1297" s="2" t="s">
        <v>1618</v>
      </c>
      <c r="E1297" s="2" t="s">
        <v>1052</v>
      </c>
      <c r="F1297" s="2" t="s">
        <v>1208</v>
      </c>
      <c r="G1297" s="4">
        <v>122808</v>
      </c>
      <c r="H1297" s="5" t="s">
        <v>30</v>
      </c>
      <c r="I1297" s="4">
        <v>0</v>
      </c>
      <c r="J1297" s="6">
        <v>44603</v>
      </c>
      <c r="K1297" t="str">
        <f t="shared" si="40"/>
        <v>Q1 2022</v>
      </c>
      <c r="L1297" t="str">
        <f t="shared" si="41"/>
        <v>Q1 2022</v>
      </c>
    </row>
    <row r="1298" spans="1:12" ht="15.75" customHeight="1" x14ac:dyDescent="0.3">
      <c r="A1298" s="2" t="s">
        <v>1975</v>
      </c>
      <c r="B1298" s="2" t="s">
        <v>11</v>
      </c>
      <c r="C1298" s="2" t="s">
        <v>12</v>
      </c>
      <c r="D1298" s="2" t="s">
        <v>1618</v>
      </c>
      <c r="E1298" s="2" t="s">
        <v>1052</v>
      </c>
      <c r="F1298" s="2" t="s">
        <v>1976</v>
      </c>
      <c r="G1298" s="4">
        <v>288804</v>
      </c>
      <c r="H1298" s="5" t="s">
        <v>42</v>
      </c>
      <c r="I1298" s="4">
        <v>0</v>
      </c>
      <c r="J1298" s="6">
        <v>44603</v>
      </c>
      <c r="K1298" t="str">
        <f t="shared" si="40"/>
        <v>Q1 2022</v>
      </c>
      <c r="L1298" t="str">
        <f t="shared" si="41"/>
        <v>Q1 2022</v>
      </c>
    </row>
    <row r="1299" spans="1:12" ht="15.75" customHeight="1" x14ac:dyDescent="0.3">
      <c r="A1299" s="2" t="s">
        <v>1977</v>
      </c>
      <c r="B1299" s="2" t="s">
        <v>11</v>
      </c>
      <c r="C1299" s="2" t="s">
        <v>12</v>
      </c>
      <c r="D1299" s="2" t="s">
        <v>1618</v>
      </c>
      <c r="E1299" s="2" t="s">
        <v>1075</v>
      </c>
      <c r="F1299" s="2" t="s">
        <v>46</v>
      </c>
      <c r="G1299" s="4">
        <v>120910</v>
      </c>
      <c r="H1299" s="6">
        <v>44629</v>
      </c>
      <c r="I1299" s="4">
        <v>0</v>
      </c>
      <c r="J1299" s="6">
        <v>44603</v>
      </c>
      <c r="K1299" t="str">
        <f t="shared" si="40"/>
        <v>Q1 2022</v>
      </c>
      <c r="L1299" t="str">
        <f t="shared" si="41"/>
        <v>Q1 2022</v>
      </c>
    </row>
    <row r="1300" spans="1:12" ht="15.75" customHeight="1" x14ac:dyDescent="0.3">
      <c r="A1300" s="2" t="s">
        <v>1978</v>
      </c>
      <c r="B1300" s="2" t="s">
        <v>11</v>
      </c>
      <c r="C1300" s="2" t="s">
        <v>12</v>
      </c>
      <c r="D1300" s="2" t="s">
        <v>1618</v>
      </c>
      <c r="E1300" s="2" t="s">
        <v>1075</v>
      </c>
      <c r="F1300" s="2" t="s">
        <v>1979</v>
      </c>
      <c r="G1300" s="4">
        <v>100342</v>
      </c>
      <c r="H1300" s="5" t="s">
        <v>1016</v>
      </c>
      <c r="I1300" s="4">
        <v>0</v>
      </c>
      <c r="J1300" s="6">
        <v>44595</v>
      </c>
      <c r="K1300" t="str">
        <f t="shared" si="40"/>
        <v>Q1 2022</v>
      </c>
      <c r="L1300" t="str">
        <f t="shared" si="41"/>
        <v>Q1 2022</v>
      </c>
    </row>
    <row r="1301" spans="1:12" ht="15.75" customHeight="1" x14ac:dyDescent="0.3">
      <c r="A1301" s="2" t="s">
        <v>1980</v>
      </c>
      <c r="B1301" s="2" t="s">
        <v>11</v>
      </c>
      <c r="C1301" s="2" t="s">
        <v>12</v>
      </c>
      <c r="D1301" s="2" t="s">
        <v>1618</v>
      </c>
      <c r="E1301" s="2" t="s">
        <v>1052</v>
      </c>
      <c r="F1301" s="2" t="s">
        <v>1981</v>
      </c>
      <c r="G1301" s="4">
        <v>103313</v>
      </c>
      <c r="H1301" s="5" t="s">
        <v>39</v>
      </c>
      <c r="I1301" s="4">
        <v>0</v>
      </c>
      <c r="J1301" s="6">
        <v>44603</v>
      </c>
      <c r="K1301" t="str">
        <f t="shared" si="40"/>
        <v>Q1 2022</v>
      </c>
      <c r="L1301" t="str">
        <f t="shared" si="41"/>
        <v>Q1 2022</v>
      </c>
    </row>
    <row r="1302" spans="1:12" ht="15.75" customHeight="1" x14ac:dyDescent="0.3">
      <c r="A1302" s="2" t="s">
        <v>1982</v>
      </c>
      <c r="B1302" s="2" t="s">
        <v>11</v>
      </c>
      <c r="C1302" s="2" t="s">
        <v>12</v>
      </c>
      <c r="D1302" s="2" t="s">
        <v>1618</v>
      </c>
      <c r="E1302" s="2" t="s">
        <v>1052</v>
      </c>
      <c r="F1302" s="2" t="s">
        <v>1983</v>
      </c>
      <c r="G1302" s="4">
        <v>38843</v>
      </c>
      <c r="H1302" s="6">
        <v>44630</v>
      </c>
      <c r="I1302" s="4">
        <v>0</v>
      </c>
      <c r="J1302" s="6">
        <v>44603</v>
      </c>
      <c r="K1302" t="str">
        <f t="shared" si="40"/>
        <v>Q1 2022</v>
      </c>
      <c r="L1302" t="str">
        <f t="shared" si="41"/>
        <v>Q1 2022</v>
      </c>
    </row>
    <row r="1303" spans="1:12" ht="15.75" customHeight="1" x14ac:dyDescent="0.3">
      <c r="A1303" s="2" t="s">
        <v>1984</v>
      </c>
      <c r="B1303" s="2" t="s">
        <v>11</v>
      </c>
      <c r="C1303" s="2" t="s">
        <v>12</v>
      </c>
      <c r="D1303" s="2" t="s">
        <v>1618</v>
      </c>
      <c r="E1303" s="2" t="s">
        <v>1072</v>
      </c>
      <c r="F1303" s="2" t="s">
        <v>1597</v>
      </c>
      <c r="G1303" s="4">
        <v>93843</v>
      </c>
      <c r="H1303" s="5" t="s">
        <v>195</v>
      </c>
      <c r="I1303" s="4">
        <v>0</v>
      </c>
      <c r="J1303" s="6">
        <v>44625</v>
      </c>
      <c r="K1303" t="str">
        <f t="shared" si="40"/>
        <v>Q1 2022</v>
      </c>
      <c r="L1303" t="str">
        <f t="shared" si="41"/>
        <v>Q1 2022</v>
      </c>
    </row>
    <row r="1304" spans="1:12" ht="15.75" customHeight="1" x14ac:dyDescent="0.3">
      <c r="A1304" s="2" t="s">
        <v>1985</v>
      </c>
      <c r="B1304" s="2" t="s">
        <v>11</v>
      </c>
      <c r="C1304" s="2" t="s">
        <v>12</v>
      </c>
      <c r="D1304" s="2" t="s">
        <v>1618</v>
      </c>
      <c r="E1304" s="2" t="s">
        <v>1052</v>
      </c>
      <c r="F1304" s="2" t="s">
        <v>1986</v>
      </c>
      <c r="G1304" s="4">
        <v>32208</v>
      </c>
      <c r="H1304" s="5" t="s">
        <v>30</v>
      </c>
      <c r="I1304" s="4">
        <v>0</v>
      </c>
      <c r="J1304" s="6">
        <v>44603</v>
      </c>
      <c r="K1304" t="str">
        <f t="shared" si="40"/>
        <v>Q1 2022</v>
      </c>
      <c r="L1304" t="str">
        <f t="shared" si="41"/>
        <v>Q1 2022</v>
      </c>
    </row>
    <row r="1305" spans="1:12" ht="15.75" customHeight="1" x14ac:dyDescent="0.3">
      <c r="A1305" s="2" t="s">
        <v>1987</v>
      </c>
      <c r="B1305" s="2" t="s">
        <v>11</v>
      </c>
      <c r="C1305" s="2" t="s">
        <v>12</v>
      </c>
      <c r="D1305" s="2" t="s">
        <v>1618</v>
      </c>
      <c r="E1305" s="2" t="s">
        <v>1052</v>
      </c>
      <c r="F1305" s="2" t="s">
        <v>1882</v>
      </c>
      <c r="G1305" s="4">
        <v>83498</v>
      </c>
      <c r="H1305" s="6">
        <v>44627</v>
      </c>
      <c r="I1305" s="4">
        <v>0</v>
      </c>
      <c r="J1305" s="6">
        <v>44600</v>
      </c>
      <c r="K1305" t="str">
        <f t="shared" si="40"/>
        <v>Q1 2022</v>
      </c>
      <c r="L1305" t="str">
        <f t="shared" si="41"/>
        <v>Q1 2022</v>
      </c>
    </row>
    <row r="1306" spans="1:12" ht="15.75" customHeight="1" x14ac:dyDescent="0.3">
      <c r="A1306" s="2" t="s">
        <v>1988</v>
      </c>
      <c r="B1306" s="2" t="s">
        <v>11</v>
      </c>
      <c r="C1306" s="2" t="s">
        <v>12</v>
      </c>
      <c r="D1306" s="2" t="s">
        <v>1618</v>
      </c>
      <c r="E1306" s="2" t="s">
        <v>1052</v>
      </c>
      <c r="F1306" s="2" t="s">
        <v>1989</v>
      </c>
      <c r="G1306" s="4">
        <v>152451</v>
      </c>
      <c r="H1306" s="6">
        <v>44625</v>
      </c>
      <c r="I1306" s="4">
        <v>0</v>
      </c>
      <c r="J1306" s="6">
        <v>44599</v>
      </c>
      <c r="K1306" t="str">
        <f t="shared" si="40"/>
        <v>Q1 2022</v>
      </c>
      <c r="L1306" t="str">
        <f t="shared" si="41"/>
        <v>Q1 2022</v>
      </c>
    </row>
    <row r="1307" spans="1:12" ht="15.75" customHeight="1" x14ac:dyDescent="0.3">
      <c r="A1307" s="2" t="s">
        <v>1990</v>
      </c>
      <c r="B1307" s="2" t="s">
        <v>11</v>
      </c>
      <c r="C1307" s="2" t="s">
        <v>12</v>
      </c>
      <c r="D1307" s="2" t="s">
        <v>1618</v>
      </c>
      <c r="E1307" s="2" t="s">
        <v>1052</v>
      </c>
      <c r="F1307" s="2" t="s">
        <v>1093</v>
      </c>
      <c r="G1307" s="4">
        <v>54000</v>
      </c>
      <c r="H1307" s="5" t="s">
        <v>30</v>
      </c>
      <c r="I1307" s="4">
        <v>0</v>
      </c>
      <c r="J1307" s="6">
        <v>44603</v>
      </c>
      <c r="K1307" t="str">
        <f t="shared" si="40"/>
        <v>Q1 2022</v>
      </c>
      <c r="L1307" t="str">
        <f t="shared" si="41"/>
        <v>Q1 2022</v>
      </c>
    </row>
    <row r="1308" spans="1:12" ht="15.75" customHeight="1" x14ac:dyDescent="0.3">
      <c r="A1308" s="2" t="s">
        <v>1991</v>
      </c>
      <c r="B1308" s="2" t="s">
        <v>11</v>
      </c>
      <c r="C1308" s="2" t="s">
        <v>12</v>
      </c>
      <c r="D1308" s="2" t="s">
        <v>1618</v>
      </c>
      <c r="E1308" s="2" t="s">
        <v>1075</v>
      </c>
      <c r="F1308" s="2" t="s">
        <v>1992</v>
      </c>
      <c r="G1308" s="4">
        <v>204793</v>
      </c>
      <c r="H1308" s="6">
        <v>44632</v>
      </c>
      <c r="I1308" s="4">
        <v>0</v>
      </c>
      <c r="J1308" s="6">
        <v>44958</v>
      </c>
      <c r="K1308" t="str">
        <f t="shared" si="40"/>
        <v>Q1 2023</v>
      </c>
      <c r="L1308" t="str">
        <f t="shared" si="41"/>
        <v>Q1 2023</v>
      </c>
    </row>
    <row r="1309" spans="1:12" ht="15.75" customHeight="1" x14ac:dyDescent="0.3">
      <c r="A1309" s="2" t="s">
        <v>1993</v>
      </c>
      <c r="B1309" s="2" t="s">
        <v>11</v>
      </c>
      <c r="C1309" s="2" t="s">
        <v>12</v>
      </c>
      <c r="D1309" s="2" t="s">
        <v>1618</v>
      </c>
      <c r="E1309" s="2" t="s">
        <v>1075</v>
      </c>
      <c r="F1309" s="2" t="s">
        <v>46</v>
      </c>
      <c r="G1309" s="4">
        <v>154445</v>
      </c>
      <c r="H1309" s="5" t="s">
        <v>192</v>
      </c>
      <c r="I1309" s="4">
        <v>0</v>
      </c>
      <c r="J1309" s="6">
        <v>44595</v>
      </c>
      <c r="K1309" t="str">
        <f t="shared" si="40"/>
        <v>Q1 2022</v>
      </c>
      <c r="L1309" t="str">
        <f t="shared" si="41"/>
        <v>Q1 2022</v>
      </c>
    </row>
    <row r="1310" spans="1:12" ht="15.75" customHeight="1" x14ac:dyDescent="0.3">
      <c r="A1310" s="2" t="s">
        <v>1994</v>
      </c>
      <c r="B1310" s="2" t="s">
        <v>11</v>
      </c>
      <c r="C1310" s="2" t="s">
        <v>12</v>
      </c>
      <c r="D1310" s="2" t="s">
        <v>1618</v>
      </c>
      <c r="E1310" s="2" t="s">
        <v>1075</v>
      </c>
      <c r="F1310" s="2" t="s">
        <v>46</v>
      </c>
      <c r="G1310" s="4">
        <v>90023</v>
      </c>
      <c r="H1310" s="5" t="s">
        <v>71</v>
      </c>
      <c r="I1310" s="4">
        <v>0</v>
      </c>
      <c r="J1310" s="6">
        <v>44603</v>
      </c>
      <c r="K1310" t="str">
        <f t="shared" si="40"/>
        <v>Q1 2022</v>
      </c>
      <c r="L1310" t="str">
        <f t="shared" si="41"/>
        <v>Q1 2022</v>
      </c>
    </row>
    <row r="1311" spans="1:12" ht="15.75" customHeight="1" x14ac:dyDescent="0.3">
      <c r="A1311" s="2" t="s">
        <v>1995</v>
      </c>
      <c r="B1311" s="2" t="s">
        <v>11</v>
      </c>
      <c r="C1311" s="2" t="s">
        <v>12</v>
      </c>
      <c r="D1311" s="2" t="s">
        <v>1618</v>
      </c>
      <c r="E1311" s="2" t="s">
        <v>1052</v>
      </c>
      <c r="F1311" s="2" t="s">
        <v>1780</v>
      </c>
      <c r="G1311" s="4">
        <v>296726</v>
      </c>
      <c r="H1311" s="5" t="s">
        <v>232</v>
      </c>
      <c r="I1311" s="4">
        <v>0</v>
      </c>
      <c r="J1311" s="6">
        <v>44594</v>
      </c>
      <c r="K1311" t="str">
        <f t="shared" si="40"/>
        <v>Q1 2022</v>
      </c>
      <c r="L1311" t="str">
        <f t="shared" si="41"/>
        <v>Q1 2022</v>
      </c>
    </row>
    <row r="1312" spans="1:12" ht="15.75" customHeight="1" x14ac:dyDescent="0.3">
      <c r="A1312" s="2" t="s">
        <v>1996</v>
      </c>
      <c r="B1312" s="2" t="s">
        <v>11</v>
      </c>
      <c r="C1312" s="2" t="s">
        <v>12</v>
      </c>
      <c r="D1312" s="2" t="s">
        <v>1618</v>
      </c>
      <c r="E1312" s="2" t="s">
        <v>1052</v>
      </c>
      <c r="F1312" s="2" t="s">
        <v>1148</v>
      </c>
      <c r="G1312" s="4">
        <v>362848</v>
      </c>
      <c r="H1312" s="6">
        <v>44630</v>
      </c>
      <c r="I1312" s="4">
        <v>0</v>
      </c>
      <c r="J1312" s="6">
        <v>44603</v>
      </c>
      <c r="K1312" t="str">
        <f t="shared" si="40"/>
        <v>Q1 2022</v>
      </c>
      <c r="L1312" t="str">
        <f t="shared" si="41"/>
        <v>Q1 2022</v>
      </c>
    </row>
    <row r="1313" spans="1:12" ht="15.75" customHeight="1" x14ac:dyDescent="0.3">
      <c r="A1313" s="2" t="s">
        <v>1997</v>
      </c>
      <c r="B1313" s="2" t="s">
        <v>11</v>
      </c>
      <c r="C1313" s="2" t="s">
        <v>12</v>
      </c>
      <c r="D1313" s="2" t="s">
        <v>1618</v>
      </c>
      <c r="E1313" s="2" t="s">
        <v>1052</v>
      </c>
      <c r="F1313" s="2" t="s">
        <v>1998</v>
      </c>
      <c r="G1313" s="4">
        <v>52325</v>
      </c>
      <c r="H1313" s="6">
        <v>44623</v>
      </c>
      <c r="I1313" s="4">
        <v>0</v>
      </c>
      <c r="J1313" s="6">
        <v>44597</v>
      </c>
      <c r="K1313" t="str">
        <f t="shared" si="40"/>
        <v>Q1 2022</v>
      </c>
      <c r="L1313" t="str">
        <f t="shared" si="41"/>
        <v>Q1 2022</v>
      </c>
    </row>
    <row r="1314" spans="1:12" ht="15.75" customHeight="1" x14ac:dyDescent="0.3">
      <c r="A1314" s="2" t="s">
        <v>1999</v>
      </c>
      <c r="B1314" s="2" t="s">
        <v>11</v>
      </c>
      <c r="C1314" s="2" t="s">
        <v>12</v>
      </c>
      <c r="D1314" s="2" t="s">
        <v>1618</v>
      </c>
      <c r="E1314" s="2" t="s">
        <v>1072</v>
      </c>
      <c r="F1314" s="2" t="s">
        <v>2000</v>
      </c>
      <c r="G1314" s="4">
        <v>101567</v>
      </c>
      <c r="H1314" s="5" t="s">
        <v>25</v>
      </c>
      <c r="I1314" s="4">
        <v>0</v>
      </c>
      <c r="J1314" s="6">
        <v>44603</v>
      </c>
      <c r="K1314" t="str">
        <f t="shared" si="40"/>
        <v>Q1 2022</v>
      </c>
      <c r="L1314" t="str">
        <f t="shared" si="41"/>
        <v>Q1 2022</v>
      </c>
    </row>
    <row r="1315" spans="1:12" ht="15.75" customHeight="1" x14ac:dyDescent="0.3">
      <c r="A1315" s="2" t="s">
        <v>2001</v>
      </c>
      <c r="B1315" s="2" t="s">
        <v>11</v>
      </c>
      <c r="C1315" s="2" t="s">
        <v>12</v>
      </c>
      <c r="D1315" s="2" t="s">
        <v>1618</v>
      </c>
      <c r="E1315" s="2" t="s">
        <v>1052</v>
      </c>
      <c r="F1315" s="2" t="s">
        <v>2002</v>
      </c>
      <c r="G1315" s="4">
        <v>42000</v>
      </c>
      <c r="H1315" s="6">
        <v>44629</v>
      </c>
      <c r="I1315" s="4">
        <v>0</v>
      </c>
      <c r="J1315" s="6">
        <v>44603</v>
      </c>
      <c r="K1315" t="str">
        <f t="shared" si="40"/>
        <v>Q1 2022</v>
      </c>
      <c r="L1315" t="str">
        <f t="shared" si="41"/>
        <v>Q1 2022</v>
      </c>
    </row>
    <row r="1316" spans="1:12" ht="15.75" customHeight="1" x14ac:dyDescent="0.3">
      <c r="A1316" s="2" t="s">
        <v>2003</v>
      </c>
      <c r="B1316" s="2" t="s">
        <v>11</v>
      </c>
      <c r="C1316" s="2" t="s">
        <v>12</v>
      </c>
      <c r="D1316" s="2" t="s">
        <v>1618</v>
      </c>
      <c r="E1316" s="2" t="s">
        <v>1075</v>
      </c>
      <c r="F1316" s="2" t="s">
        <v>2004</v>
      </c>
      <c r="G1316" s="4">
        <v>336223</v>
      </c>
      <c r="H1316" s="5" t="s">
        <v>30</v>
      </c>
      <c r="I1316" s="4">
        <v>0</v>
      </c>
      <c r="J1316" s="6">
        <v>44603</v>
      </c>
      <c r="K1316" t="str">
        <f t="shared" si="40"/>
        <v>Q1 2022</v>
      </c>
      <c r="L1316" t="str">
        <f t="shared" si="41"/>
        <v>Q1 2022</v>
      </c>
    </row>
    <row r="1317" spans="1:12" ht="15.75" customHeight="1" x14ac:dyDescent="0.3">
      <c r="A1317" s="2" t="s">
        <v>2005</v>
      </c>
      <c r="B1317" s="2" t="s">
        <v>11</v>
      </c>
      <c r="C1317" s="2" t="s">
        <v>12</v>
      </c>
      <c r="D1317" s="2" t="s">
        <v>1618</v>
      </c>
      <c r="E1317" s="2" t="s">
        <v>1052</v>
      </c>
      <c r="F1317" s="2" t="s">
        <v>2006</v>
      </c>
      <c r="G1317" s="4">
        <v>123208</v>
      </c>
      <c r="H1317" s="6">
        <v>44630</v>
      </c>
      <c r="I1317" s="4">
        <v>0</v>
      </c>
      <c r="J1317" s="6">
        <v>44603</v>
      </c>
      <c r="K1317" t="str">
        <f t="shared" si="40"/>
        <v>Q1 2022</v>
      </c>
      <c r="L1317" t="str">
        <f t="shared" si="41"/>
        <v>Q1 2022</v>
      </c>
    </row>
    <row r="1318" spans="1:12" ht="15.75" customHeight="1" x14ac:dyDescent="0.3">
      <c r="A1318" s="2" t="s">
        <v>2007</v>
      </c>
      <c r="B1318" s="2" t="s">
        <v>11</v>
      </c>
      <c r="C1318" s="2" t="s">
        <v>12</v>
      </c>
      <c r="D1318" s="2" t="s">
        <v>1618</v>
      </c>
      <c r="E1318" s="2" t="s">
        <v>1052</v>
      </c>
      <c r="F1318" s="2" t="s">
        <v>46</v>
      </c>
      <c r="G1318" s="4">
        <v>55088</v>
      </c>
      <c r="H1318" s="6">
        <v>44298</v>
      </c>
      <c r="I1318" s="4">
        <v>0</v>
      </c>
      <c r="J1318" s="6">
        <v>44594</v>
      </c>
      <c r="K1318" t="str">
        <f t="shared" si="40"/>
        <v>Q1 2022</v>
      </c>
      <c r="L1318" t="str">
        <f t="shared" si="41"/>
        <v>Q1 2022</v>
      </c>
    </row>
    <row r="1319" spans="1:12" ht="15.75" customHeight="1" x14ac:dyDescent="0.3">
      <c r="A1319" s="2" t="s">
        <v>2008</v>
      </c>
      <c r="B1319" s="2" t="s">
        <v>11</v>
      </c>
      <c r="C1319" s="2" t="s">
        <v>12</v>
      </c>
      <c r="D1319" s="2" t="s">
        <v>1618</v>
      </c>
      <c r="E1319" s="2" t="s">
        <v>1052</v>
      </c>
      <c r="F1319" s="2" t="s">
        <v>2009</v>
      </c>
      <c r="G1319" s="4">
        <v>203774</v>
      </c>
      <c r="H1319" s="5" t="s">
        <v>123</v>
      </c>
      <c r="I1319" s="4">
        <v>0</v>
      </c>
      <c r="J1319" s="6">
        <v>44594</v>
      </c>
      <c r="K1319" t="str">
        <f t="shared" si="40"/>
        <v>Q1 2022</v>
      </c>
      <c r="L1319" t="str">
        <f t="shared" si="41"/>
        <v>Q1 2022</v>
      </c>
    </row>
    <row r="1320" spans="1:12" ht="15.75" customHeight="1" x14ac:dyDescent="0.3">
      <c r="A1320" s="2" t="s">
        <v>2010</v>
      </c>
      <c r="B1320" s="2" t="s">
        <v>11</v>
      </c>
      <c r="C1320" s="2" t="s">
        <v>12</v>
      </c>
      <c r="D1320" s="2" t="s">
        <v>1618</v>
      </c>
      <c r="E1320" s="2" t="s">
        <v>1052</v>
      </c>
      <c r="F1320" s="2" t="s">
        <v>2011</v>
      </c>
      <c r="G1320" s="4">
        <v>101473</v>
      </c>
      <c r="H1320" s="5" t="s">
        <v>42</v>
      </c>
      <c r="I1320" s="4">
        <v>0</v>
      </c>
      <c r="J1320" s="6">
        <v>44603</v>
      </c>
      <c r="K1320" t="str">
        <f t="shared" si="40"/>
        <v>Q1 2022</v>
      </c>
      <c r="L1320" t="str">
        <f t="shared" si="41"/>
        <v>Q1 2022</v>
      </c>
    </row>
    <row r="1321" spans="1:12" ht="15.75" customHeight="1" x14ac:dyDescent="0.3">
      <c r="A1321" s="2" t="s">
        <v>2012</v>
      </c>
      <c r="B1321" s="2" t="s">
        <v>11</v>
      </c>
      <c r="C1321" s="2" t="s">
        <v>12</v>
      </c>
      <c r="D1321" s="2" t="s">
        <v>1618</v>
      </c>
      <c r="E1321" s="2" t="s">
        <v>1052</v>
      </c>
      <c r="F1321" s="2" t="s">
        <v>1208</v>
      </c>
      <c r="G1321" s="4">
        <v>178416</v>
      </c>
      <c r="H1321" s="5" t="s">
        <v>30</v>
      </c>
      <c r="I1321" s="4">
        <v>0</v>
      </c>
      <c r="J1321" s="6">
        <v>44603</v>
      </c>
      <c r="K1321" t="str">
        <f t="shared" si="40"/>
        <v>Q1 2022</v>
      </c>
      <c r="L1321" t="str">
        <f t="shared" si="41"/>
        <v>Q1 2022</v>
      </c>
    </row>
    <row r="1322" spans="1:12" ht="15.75" customHeight="1" x14ac:dyDescent="0.3">
      <c r="A1322" s="2" t="s">
        <v>2013</v>
      </c>
      <c r="B1322" s="2" t="s">
        <v>11</v>
      </c>
      <c r="C1322" s="2" t="s">
        <v>12</v>
      </c>
      <c r="D1322" s="2" t="s">
        <v>1618</v>
      </c>
      <c r="E1322" s="2" t="s">
        <v>1052</v>
      </c>
      <c r="F1322" s="2" t="s">
        <v>1689</v>
      </c>
      <c r="G1322" s="4">
        <v>99512</v>
      </c>
      <c r="H1322" s="5" t="s">
        <v>179</v>
      </c>
      <c r="I1322" s="4">
        <v>0</v>
      </c>
      <c r="J1322" s="6">
        <v>44594</v>
      </c>
      <c r="K1322" t="str">
        <f t="shared" si="40"/>
        <v>Q1 2022</v>
      </c>
      <c r="L1322" t="str">
        <f t="shared" si="41"/>
        <v>Q1 2022</v>
      </c>
    </row>
    <row r="1323" spans="1:12" ht="15.75" customHeight="1" x14ac:dyDescent="0.3">
      <c r="A1323" s="2" t="s">
        <v>2014</v>
      </c>
      <c r="B1323" s="2" t="s">
        <v>11</v>
      </c>
      <c r="C1323" s="2" t="s">
        <v>12</v>
      </c>
      <c r="D1323" s="2" t="s">
        <v>1618</v>
      </c>
      <c r="E1323" s="2" t="s">
        <v>1075</v>
      </c>
      <c r="F1323" s="2" t="s">
        <v>2015</v>
      </c>
      <c r="G1323" s="4">
        <v>232779</v>
      </c>
      <c r="H1323" s="5" t="s">
        <v>30</v>
      </c>
      <c r="I1323" s="4">
        <v>0</v>
      </c>
      <c r="J1323" s="6">
        <v>44603</v>
      </c>
      <c r="K1323" t="str">
        <f t="shared" si="40"/>
        <v>Q1 2022</v>
      </c>
      <c r="L1323" t="str">
        <f t="shared" si="41"/>
        <v>Q1 2022</v>
      </c>
    </row>
    <row r="1324" spans="1:12" ht="15.75" customHeight="1" x14ac:dyDescent="0.3">
      <c r="A1324" s="2" t="s">
        <v>2016</v>
      </c>
      <c r="B1324" s="2" t="s">
        <v>11</v>
      </c>
      <c r="C1324" s="2" t="s">
        <v>12</v>
      </c>
      <c r="D1324" s="2" t="s">
        <v>1618</v>
      </c>
      <c r="E1324" s="2" t="s">
        <v>1075</v>
      </c>
      <c r="F1324" s="2" t="s">
        <v>1811</v>
      </c>
      <c r="G1324" s="4">
        <v>226308</v>
      </c>
      <c r="H1324" s="6">
        <v>44630</v>
      </c>
      <c r="I1324" s="4">
        <v>0</v>
      </c>
      <c r="J1324" s="6">
        <v>44603</v>
      </c>
      <c r="K1324" t="str">
        <f t="shared" si="40"/>
        <v>Q1 2022</v>
      </c>
      <c r="L1324" t="str">
        <f t="shared" si="41"/>
        <v>Q1 2022</v>
      </c>
    </row>
    <row r="1325" spans="1:12" ht="15.75" customHeight="1" x14ac:dyDescent="0.3">
      <c r="A1325" s="2" t="s">
        <v>2017</v>
      </c>
      <c r="B1325" s="2" t="s">
        <v>11</v>
      </c>
      <c r="C1325" s="2" t="s">
        <v>12</v>
      </c>
      <c r="D1325" s="2" t="s">
        <v>1618</v>
      </c>
      <c r="E1325" s="2" t="s">
        <v>1075</v>
      </c>
      <c r="F1325" s="2" t="s">
        <v>46</v>
      </c>
      <c r="G1325" s="4">
        <v>228010</v>
      </c>
      <c r="H1325" s="5" t="s">
        <v>463</v>
      </c>
      <c r="I1325" s="4">
        <v>0</v>
      </c>
      <c r="J1325" s="6">
        <v>44599</v>
      </c>
      <c r="K1325" t="str">
        <f t="shared" si="40"/>
        <v>Q1 2022</v>
      </c>
      <c r="L1325" t="str">
        <f t="shared" si="41"/>
        <v>Q1 2022</v>
      </c>
    </row>
    <row r="1326" spans="1:12" ht="15.75" customHeight="1" x14ac:dyDescent="0.3">
      <c r="A1326" s="2" t="s">
        <v>2018</v>
      </c>
      <c r="B1326" s="2" t="s">
        <v>11</v>
      </c>
      <c r="C1326" s="2" t="s">
        <v>12</v>
      </c>
      <c r="D1326" s="2" t="s">
        <v>1618</v>
      </c>
      <c r="E1326" s="2" t="s">
        <v>1052</v>
      </c>
      <c r="F1326" s="2" t="s">
        <v>2019</v>
      </c>
      <c r="G1326" s="4">
        <v>81128</v>
      </c>
      <c r="H1326" s="5" t="s">
        <v>82</v>
      </c>
      <c r="I1326" s="4">
        <v>0</v>
      </c>
      <c r="J1326" s="6">
        <v>44596</v>
      </c>
      <c r="K1326" t="str">
        <f t="shared" si="40"/>
        <v>Q1 2022</v>
      </c>
      <c r="L1326" t="str">
        <f t="shared" si="41"/>
        <v>Q1 2022</v>
      </c>
    </row>
    <row r="1327" spans="1:12" ht="15.75" customHeight="1" x14ac:dyDescent="0.3">
      <c r="A1327" s="2" t="s">
        <v>2020</v>
      </c>
      <c r="B1327" s="2" t="s">
        <v>11</v>
      </c>
      <c r="C1327" s="2" t="s">
        <v>12</v>
      </c>
      <c r="D1327" s="2" t="s">
        <v>1618</v>
      </c>
      <c r="E1327" s="2" t="s">
        <v>1052</v>
      </c>
      <c r="F1327" s="2" t="s">
        <v>1926</v>
      </c>
      <c r="G1327" s="4">
        <v>182444</v>
      </c>
      <c r="H1327" s="5" t="s">
        <v>97</v>
      </c>
      <c r="I1327" s="4">
        <v>0</v>
      </c>
      <c r="J1327" s="6">
        <v>44958</v>
      </c>
      <c r="K1327" t="str">
        <f t="shared" si="40"/>
        <v>Q1 2023</v>
      </c>
      <c r="L1327" t="str">
        <f t="shared" si="41"/>
        <v>Q1 2023</v>
      </c>
    </row>
    <row r="1328" spans="1:12" ht="15.75" customHeight="1" x14ac:dyDescent="0.3">
      <c r="A1328" s="2" t="s">
        <v>2021</v>
      </c>
      <c r="B1328" s="2" t="s">
        <v>11</v>
      </c>
      <c r="C1328" s="2" t="s">
        <v>12</v>
      </c>
      <c r="D1328" s="2" t="s">
        <v>1618</v>
      </c>
      <c r="E1328" s="2" t="s">
        <v>1072</v>
      </c>
      <c r="F1328" s="2" t="s">
        <v>2022</v>
      </c>
      <c r="G1328" s="4">
        <v>80117</v>
      </c>
      <c r="H1328" s="5" t="s">
        <v>1862</v>
      </c>
      <c r="I1328" s="4">
        <v>0</v>
      </c>
      <c r="J1328" s="6">
        <v>44593</v>
      </c>
      <c r="K1328" t="str">
        <f t="shared" si="40"/>
        <v>Q1 2022</v>
      </c>
      <c r="L1328" t="str">
        <f t="shared" si="41"/>
        <v>Q1 2022</v>
      </c>
    </row>
    <row r="1329" spans="1:12" ht="15.75" customHeight="1" x14ac:dyDescent="0.3">
      <c r="A1329" s="2" t="s">
        <v>2023</v>
      </c>
      <c r="B1329" s="2" t="s">
        <v>11</v>
      </c>
      <c r="C1329" s="2" t="s">
        <v>12</v>
      </c>
      <c r="D1329" s="2" t="s">
        <v>1618</v>
      </c>
      <c r="E1329" s="2" t="s">
        <v>1052</v>
      </c>
      <c r="F1329" s="2" t="s">
        <v>1161</v>
      </c>
      <c r="G1329" s="2"/>
      <c r="H1329" s="5" t="s">
        <v>130</v>
      </c>
      <c r="I1329" s="4">
        <v>0</v>
      </c>
      <c r="J1329" s="6">
        <v>44601</v>
      </c>
      <c r="K1329" t="str">
        <f t="shared" si="40"/>
        <v>Q1 2022</v>
      </c>
      <c r="L1329" t="str">
        <f t="shared" si="41"/>
        <v>Q1 2022</v>
      </c>
    </row>
    <row r="1330" spans="1:12" ht="15.75" customHeight="1" x14ac:dyDescent="0.3">
      <c r="A1330" s="2" t="s">
        <v>2024</v>
      </c>
      <c r="B1330" s="2" t="s">
        <v>11</v>
      </c>
      <c r="C1330" s="2" t="s">
        <v>12</v>
      </c>
      <c r="D1330" s="2" t="s">
        <v>1618</v>
      </c>
      <c r="E1330" s="2" t="s">
        <v>1072</v>
      </c>
      <c r="F1330" s="2" t="s">
        <v>2025</v>
      </c>
      <c r="G1330" s="4">
        <v>115130</v>
      </c>
      <c r="H1330" s="5" t="s">
        <v>42</v>
      </c>
      <c r="I1330" s="4">
        <v>0</v>
      </c>
      <c r="J1330" s="6">
        <v>44603</v>
      </c>
      <c r="K1330" t="str">
        <f t="shared" si="40"/>
        <v>Q1 2022</v>
      </c>
      <c r="L1330" t="str">
        <f t="shared" si="41"/>
        <v>Q1 2022</v>
      </c>
    </row>
    <row r="1331" spans="1:12" ht="15.75" customHeight="1" x14ac:dyDescent="0.3">
      <c r="A1331" s="2" t="s">
        <v>2026</v>
      </c>
      <c r="B1331" s="2" t="s">
        <v>11</v>
      </c>
      <c r="C1331" s="2" t="s">
        <v>12</v>
      </c>
      <c r="D1331" s="2" t="s">
        <v>1618</v>
      </c>
      <c r="E1331" s="2" t="s">
        <v>1072</v>
      </c>
      <c r="F1331" s="2" t="s">
        <v>2027</v>
      </c>
      <c r="G1331" s="4">
        <v>499883</v>
      </c>
      <c r="H1331" s="5" t="s">
        <v>50</v>
      </c>
      <c r="I1331" s="4">
        <v>0</v>
      </c>
      <c r="J1331" s="6">
        <v>44960</v>
      </c>
      <c r="K1331" t="str">
        <f t="shared" si="40"/>
        <v>Q1 2023</v>
      </c>
      <c r="L1331" t="str">
        <f t="shared" si="41"/>
        <v>Q1 2023</v>
      </c>
    </row>
    <row r="1332" spans="1:12" ht="15.75" customHeight="1" x14ac:dyDescent="0.3">
      <c r="A1332" s="2" t="s">
        <v>2028</v>
      </c>
      <c r="B1332" s="2" t="s">
        <v>11</v>
      </c>
      <c r="C1332" s="2" t="s">
        <v>12</v>
      </c>
      <c r="D1332" s="2" t="s">
        <v>1618</v>
      </c>
      <c r="E1332" s="2" t="s">
        <v>1052</v>
      </c>
      <c r="F1332" s="2" t="s">
        <v>1800</v>
      </c>
      <c r="G1332" s="4">
        <v>181194</v>
      </c>
      <c r="H1332" s="5" t="s">
        <v>75</v>
      </c>
      <c r="I1332" s="4">
        <v>0</v>
      </c>
      <c r="J1332" s="6">
        <v>44595</v>
      </c>
      <c r="K1332" t="str">
        <f t="shared" si="40"/>
        <v>Q1 2022</v>
      </c>
      <c r="L1332" t="str">
        <f t="shared" si="41"/>
        <v>Q1 2022</v>
      </c>
    </row>
    <row r="1333" spans="1:12" ht="15.75" customHeight="1" x14ac:dyDescent="0.3">
      <c r="A1333" s="2" t="s">
        <v>2029</v>
      </c>
      <c r="B1333" s="2" t="s">
        <v>11</v>
      </c>
      <c r="C1333" s="2" t="s">
        <v>12</v>
      </c>
      <c r="D1333" s="2" t="s">
        <v>1618</v>
      </c>
      <c r="E1333" s="2" t="s">
        <v>1052</v>
      </c>
      <c r="F1333" s="2" t="s">
        <v>2030</v>
      </c>
      <c r="G1333" s="4">
        <v>144507</v>
      </c>
      <c r="H1333" s="5" t="s">
        <v>463</v>
      </c>
      <c r="I1333" s="4">
        <v>0</v>
      </c>
      <c r="J1333" s="6">
        <v>44598</v>
      </c>
      <c r="K1333" t="str">
        <f t="shared" si="40"/>
        <v>Q1 2022</v>
      </c>
      <c r="L1333" t="str">
        <f t="shared" si="41"/>
        <v>Q1 2022</v>
      </c>
    </row>
    <row r="1334" spans="1:12" ht="15.75" customHeight="1" x14ac:dyDescent="0.3">
      <c r="A1334" s="2" t="s">
        <v>2031</v>
      </c>
      <c r="B1334" s="2" t="s">
        <v>11</v>
      </c>
      <c r="C1334" s="2" t="s">
        <v>12</v>
      </c>
      <c r="D1334" s="2" t="s">
        <v>1618</v>
      </c>
      <c r="E1334" s="2" t="s">
        <v>1075</v>
      </c>
      <c r="F1334" s="2" t="s">
        <v>46</v>
      </c>
      <c r="G1334" s="4">
        <v>80575</v>
      </c>
      <c r="H1334" s="5" t="s">
        <v>39</v>
      </c>
      <c r="I1334" s="4">
        <v>0</v>
      </c>
      <c r="J1334" s="6">
        <v>44603</v>
      </c>
      <c r="K1334" t="str">
        <f t="shared" si="40"/>
        <v>Q1 2022</v>
      </c>
      <c r="L1334" t="str">
        <f t="shared" si="41"/>
        <v>Q1 2022</v>
      </c>
    </row>
    <row r="1335" spans="1:12" ht="15.75" customHeight="1" x14ac:dyDescent="0.3">
      <c r="A1335" s="2" t="s">
        <v>2032</v>
      </c>
      <c r="B1335" s="2" t="s">
        <v>11</v>
      </c>
      <c r="C1335" s="2" t="s">
        <v>12</v>
      </c>
      <c r="D1335" s="2" t="s">
        <v>1618</v>
      </c>
      <c r="E1335" s="2" t="s">
        <v>1075</v>
      </c>
      <c r="F1335" s="2" t="s">
        <v>46</v>
      </c>
      <c r="G1335" s="4">
        <v>42403</v>
      </c>
      <c r="H1335" s="5" t="s">
        <v>378</v>
      </c>
      <c r="I1335" s="4">
        <v>0</v>
      </c>
      <c r="J1335" s="6">
        <v>44958</v>
      </c>
      <c r="K1335" t="str">
        <f t="shared" si="40"/>
        <v>Q1 2023</v>
      </c>
      <c r="L1335" t="str">
        <f t="shared" si="41"/>
        <v>Q1 2023</v>
      </c>
    </row>
    <row r="1336" spans="1:12" ht="15.75" customHeight="1" x14ac:dyDescent="0.3">
      <c r="A1336" s="2" t="s">
        <v>2033</v>
      </c>
      <c r="B1336" s="2" t="s">
        <v>11</v>
      </c>
      <c r="C1336" s="2" t="s">
        <v>12</v>
      </c>
      <c r="D1336" s="2" t="s">
        <v>1618</v>
      </c>
      <c r="E1336" s="2" t="s">
        <v>1052</v>
      </c>
      <c r="F1336" s="2" t="s">
        <v>1161</v>
      </c>
      <c r="G1336" s="4">
        <v>107201</v>
      </c>
      <c r="H1336" s="6">
        <v>44298</v>
      </c>
      <c r="I1336" s="4">
        <v>0</v>
      </c>
      <c r="J1336" s="6">
        <v>44594</v>
      </c>
      <c r="K1336" t="str">
        <f t="shared" si="40"/>
        <v>Q1 2022</v>
      </c>
      <c r="L1336" t="str">
        <f t="shared" si="41"/>
        <v>Q1 2022</v>
      </c>
    </row>
    <row r="1337" spans="1:12" ht="15.75" customHeight="1" x14ac:dyDescent="0.3">
      <c r="A1337" s="2" t="s">
        <v>2034</v>
      </c>
      <c r="B1337" s="2" t="s">
        <v>11</v>
      </c>
      <c r="C1337" s="2" t="s">
        <v>12</v>
      </c>
      <c r="D1337" s="2" t="s">
        <v>1618</v>
      </c>
      <c r="E1337" s="2" t="s">
        <v>1052</v>
      </c>
      <c r="F1337" s="2" t="s">
        <v>2035</v>
      </c>
      <c r="G1337" s="4">
        <v>115531</v>
      </c>
      <c r="H1337" s="5" t="s">
        <v>212</v>
      </c>
      <c r="I1337" s="4">
        <v>0</v>
      </c>
      <c r="J1337" s="6">
        <v>44597</v>
      </c>
      <c r="K1337" t="str">
        <f t="shared" si="40"/>
        <v>Q1 2022</v>
      </c>
      <c r="L1337" t="str">
        <f t="shared" si="41"/>
        <v>Q1 2022</v>
      </c>
    </row>
    <row r="1338" spans="1:12" ht="15.75" customHeight="1" x14ac:dyDescent="0.3">
      <c r="A1338" s="2" t="s">
        <v>2036</v>
      </c>
      <c r="B1338" s="2" t="s">
        <v>11</v>
      </c>
      <c r="C1338" s="2" t="s">
        <v>12</v>
      </c>
      <c r="D1338" s="2" t="s">
        <v>1618</v>
      </c>
      <c r="E1338" s="2" t="s">
        <v>1052</v>
      </c>
      <c r="F1338" s="2" t="s">
        <v>1093</v>
      </c>
      <c r="G1338" s="4">
        <v>51557</v>
      </c>
      <c r="H1338" s="5" t="s">
        <v>82</v>
      </c>
      <c r="I1338" s="4">
        <v>0</v>
      </c>
      <c r="J1338" s="6">
        <v>44596</v>
      </c>
      <c r="K1338" t="str">
        <f t="shared" si="40"/>
        <v>Q1 2022</v>
      </c>
      <c r="L1338" t="str">
        <f t="shared" si="41"/>
        <v>Q1 2022</v>
      </c>
    </row>
    <row r="1339" spans="1:12" ht="15.75" customHeight="1" x14ac:dyDescent="0.3">
      <c r="A1339" s="2" t="s">
        <v>2037</v>
      </c>
      <c r="B1339" s="2" t="s">
        <v>11</v>
      </c>
      <c r="C1339" s="2" t="s">
        <v>12</v>
      </c>
      <c r="D1339" s="2" t="s">
        <v>1618</v>
      </c>
      <c r="E1339" s="2" t="s">
        <v>1052</v>
      </c>
      <c r="F1339" s="2" t="s">
        <v>2038</v>
      </c>
      <c r="G1339" s="4">
        <v>434322</v>
      </c>
      <c r="H1339" s="5" t="s">
        <v>463</v>
      </c>
      <c r="I1339" s="4">
        <v>0</v>
      </c>
      <c r="J1339" s="6">
        <v>44598</v>
      </c>
      <c r="K1339" t="str">
        <f t="shared" si="40"/>
        <v>Q1 2022</v>
      </c>
      <c r="L1339" t="str">
        <f t="shared" si="41"/>
        <v>Q1 2022</v>
      </c>
    </row>
    <row r="1340" spans="1:12" ht="15.75" customHeight="1" x14ac:dyDescent="0.3">
      <c r="A1340" s="2" t="s">
        <v>2039</v>
      </c>
      <c r="B1340" s="2" t="s">
        <v>11</v>
      </c>
      <c r="C1340" s="2" t="s">
        <v>12</v>
      </c>
      <c r="D1340" s="2" t="s">
        <v>1618</v>
      </c>
      <c r="E1340" s="2" t="s">
        <v>1052</v>
      </c>
      <c r="F1340" s="2" t="s">
        <v>2040</v>
      </c>
      <c r="G1340" s="4">
        <v>88374</v>
      </c>
      <c r="H1340" s="6">
        <v>44629</v>
      </c>
      <c r="I1340" s="4">
        <v>0</v>
      </c>
      <c r="J1340" s="6">
        <v>44603</v>
      </c>
      <c r="K1340" t="str">
        <f t="shared" si="40"/>
        <v>Q1 2022</v>
      </c>
      <c r="L1340" t="str">
        <f t="shared" si="41"/>
        <v>Q1 2022</v>
      </c>
    </row>
    <row r="1341" spans="1:12" ht="15.75" customHeight="1" x14ac:dyDescent="0.3">
      <c r="A1341" s="2" t="s">
        <v>2041</v>
      </c>
      <c r="B1341" s="2" t="s">
        <v>11</v>
      </c>
      <c r="C1341" s="2" t="s">
        <v>12</v>
      </c>
      <c r="D1341" s="2" t="s">
        <v>1618</v>
      </c>
      <c r="E1341" s="2" t="s">
        <v>1052</v>
      </c>
      <c r="F1341" s="2" t="s">
        <v>2042</v>
      </c>
      <c r="G1341" s="4">
        <v>118485</v>
      </c>
      <c r="H1341" s="5" t="s">
        <v>123</v>
      </c>
      <c r="I1341" s="4">
        <v>0</v>
      </c>
      <c r="J1341" s="6">
        <v>44594</v>
      </c>
      <c r="K1341" t="str">
        <f t="shared" si="40"/>
        <v>Q1 2022</v>
      </c>
      <c r="L1341" t="str">
        <f t="shared" si="41"/>
        <v>Q1 2022</v>
      </c>
    </row>
    <row r="1342" spans="1:12" ht="15.75" customHeight="1" x14ac:dyDescent="0.3">
      <c r="A1342" s="2" t="s">
        <v>2043</v>
      </c>
      <c r="B1342" s="2" t="s">
        <v>11</v>
      </c>
      <c r="C1342" s="2" t="s">
        <v>12</v>
      </c>
      <c r="D1342" s="2" t="s">
        <v>1618</v>
      </c>
      <c r="E1342" s="2" t="s">
        <v>1052</v>
      </c>
      <c r="F1342" s="2" t="s">
        <v>2044</v>
      </c>
      <c r="G1342" s="4">
        <v>94837</v>
      </c>
      <c r="H1342" s="5" t="s">
        <v>322</v>
      </c>
      <c r="I1342" s="4">
        <v>0</v>
      </c>
      <c r="J1342" s="6">
        <v>44594</v>
      </c>
      <c r="K1342" t="str">
        <f t="shared" si="40"/>
        <v>Q1 2022</v>
      </c>
      <c r="L1342" t="str">
        <f t="shared" si="41"/>
        <v>Q1 2022</v>
      </c>
    </row>
    <row r="1343" spans="1:12" ht="15.75" customHeight="1" x14ac:dyDescent="0.3">
      <c r="A1343" s="2" t="s">
        <v>2045</v>
      </c>
      <c r="B1343" s="2" t="s">
        <v>11</v>
      </c>
      <c r="C1343" s="2" t="s">
        <v>12</v>
      </c>
      <c r="D1343" s="2" t="s">
        <v>1618</v>
      </c>
      <c r="E1343" s="2" t="s">
        <v>1075</v>
      </c>
      <c r="F1343" s="2" t="s">
        <v>46</v>
      </c>
      <c r="G1343" s="4">
        <v>77575</v>
      </c>
      <c r="H1343" s="6">
        <v>44986</v>
      </c>
      <c r="I1343" s="4">
        <v>0</v>
      </c>
      <c r="J1343" s="6">
        <v>44959</v>
      </c>
      <c r="K1343" t="str">
        <f t="shared" si="40"/>
        <v>Q1 2023</v>
      </c>
      <c r="L1343" t="str">
        <f t="shared" si="41"/>
        <v>Q1 2023</v>
      </c>
    </row>
    <row r="1344" spans="1:12" ht="15.75" customHeight="1" x14ac:dyDescent="0.3">
      <c r="A1344" s="2" t="s">
        <v>2046</v>
      </c>
      <c r="B1344" s="2" t="s">
        <v>11</v>
      </c>
      <c r="C1344" s="2" t="s">
        <v>12</v>
      </c>
      <c r="D1344" s="2" t="s">
        <v>1618</v>
      </c>
      <c r="E1344" s="2" t="s">
        <v>1052</v>
      </c>
      <c r="F1344" s="2" t="s">
        <v>1882</v>
      </c>
      <c r="G1344" s="4">
        <v>39050</v>
      </c>
      <c r="H1344" s="6">
        <v>44593</v>
      </c>
      <c r="I1344" s="4">
        <v>0</v>
      </c>
      <c r="J1344" s="6">
        <v>44563</v>
      </c>
      <c r="K1344" t="str">
        <f t="shared" si="40"/>
        <v>Q1 2022</v>
      </c>
      <c r="L1344" t="str">
        <f t="shared" si="41"/>
        <v>Q1 2022</v>
      </c>
    </row>
    <row r="1345" spans="1:12" ht="15.75" customHeight="1" x14ac:dyDescent="0.3">
      <c r="A1345" s="2" t="s">
        <v>2047</v>
      </c>
      <c r="B1345" s="2" t="s">
        <v>11</v>
      </c>
      <c r="C1345" s="2" t="s">
        <v>12</v>
      </c>
      <c r="D1345" s="2" t="s">
        <v>1618</v>
      </c>
      <c r="E1345" s="2" t="s">
        <v>1052</v>
      </c>
      <c r="F1345" s="2" t="s">
        <v>2048</v>
      </c>
      <c r="G1345" s="4">
        <v>114024</v>
      </c>
      <c r="H1345" s="5" t="s">
        <v>30</v>
      </c>
      <c r="I1345" s="4">
        <v>0</v>
      </c>
      <c r="J1345" s="6">
        <v>44603</v>
      </c>
      <c r="K1345" t="str">
        <f t="shared" si="40"/>
        <v>Q1 2022</v>
      </c>
      <c r="L1345" t="str">
        <f t="shared" si="41"/>
        <v>Q1 2022</v>
      </c>
    </row>
    <row r="1346" spans="1:12" ht="15.75" customHeight="1" x14ac:dyDescent="0.3">
      <c r="A1346" s="2" t="s">
        <v>2049</v>
      </c>
      <c r="B1346" s="2" t="s">
        <v>11</v>
      </c>
      <c r="C1346" s="2" t="s">
        <v>12</v>
      </c>
      <c r="D1346" s="2" t="s">
        <v>1618</v>
      </c>
      <c r="E1346" s="2" t="s">
        <v>1052</v>
      </c>
      <c r="F1346" s="2" t="s">
        <v>2050</v>
      </c>
      <c r="G1346" s="4">
        <v>57390</v>
      </c>
      <c r="H1346" s="6">
        <v>44630</v>
      </c>
      <c r="I1346" s="4">
        <v>0</v>
      </c>
      <c r="J1346" s="6">
        <v>44603</v>
      </c>
      <c r="K1346" t="str">
        <f t="shared" ref="K1346:K1409" si="42">"Q" &amp; ROUNDUP(MONTH(J:J)/3,0) &amp; " " &amp; YEAR(J:J)</f>
        <v>Q1 2022</v>
      </c>
      <c r="L1346" t="str">
        <f t="shared" ref="L1346:L1409" si="43">"Q" &amp; ROUNDUP(MONTH(J:J)/3,0) &amp; " " &amp; YEAR(J:J)</f>
        <v>Q1 2022</v>
      </c>
    </row>
    <row r="1347" spans="1:12" ht="15.75" customHeight="1" x14ac:dyDescent="0.3">
      <c r="A1347" s="2" t="s">
        <v>2051</v>
      </c>
      <c r="B1347" s="2" t="s">
        <v>11</v>
      </c>
      <c r="C1347" s="2" t="s">
        <v>12</v>
      </c>
      <c r="D1347" s="2" t="s">
        <v>1618</v>
      </c>
      <c r="E1347" s="2" t="s">
        <v>1052</v>
      </c>
      <c r="F1347" s="2" t="s">
        <v>1867</v>
      </c>
      <c r="G1347" s="4">
        <v>144896</v>
      </c>
      <c r="H1347" s="5" t="s">
        <v>16</v>
      </c>
      <c r="I1347" s="4">
        <v>0</v>
      </c>
      <c r="J1347" s="6">
        <v>44596</v>
      </c>
      <c r="K1347" t="str">
        <f t="shared" si="42"/>
        <v>Q1 2022</v>
      </c>
      <c r="L1347" t="str">
        <f t="shared" si="43"/>
        <v>Q1 2022</v>
      </c>
    </row>
    <row r="1348" spans="1:12" ht="15.75" customHeight="1" x14ac:dyDescent="0.3">
      <c r="A1348" s="2" t="s">
        <v>2052</v>
      </c>
      <c r="B1348" s="2" t="s">
        <v>11</v>
      </c>
      <c r="C1348" s="2" t="s">
        <v>12</v>
      </c>
      <c r="D1348" s="2" t="s">
        <v>1618</v>
      </c>
      <c r="E1348" s="2" t="s">
        <v>1075</v>
      </c>
      <c r="F1348" s="2" t="s">
        <v>46</v>
      </c>
      <c r="G1348" s="4">
        <v>220731</v>
      </c>
      <c r="H1348" s="5" t="s">
        <v>42</v>
      </c>
      <c r="I1348" s="4">
        <v>0</v>
      </c>
      <c r="J1348" s="6">
        <v>44603</v>
      </c>
      <c r="K1348" t="str">
        <f t="shared" si="42"/>
        <v>Q1 2022</v>
      </c>
      <c r="L1348" t="str">
        <f t="shared" si="43"/>
        <v>Q1 2022</v>
      </c>
    </row>
    <row r="1349" spans="1:12" ht="15.75" customHeight="1" x14ac:dyDescent="0.3">
      <c r="A1349" s="2" t="s">
        <v>2053</v>
      </c>
      <c r="B1349" s="2" t="s">
        <v>11</v>
      </c>
      <c r="C1349" s="2" t="s">
        <v>12</v>
      </c>
      <c r="D1349" s="2" t="s">
        <v>1618</v>
      </c>
      <c r="E1349" s="2" t="s">
        <v>1052</v>
      </c>
      <c r="F1349" s="2" t="s">
        <v>46</v>
      </c>
      <c r="G1349" s="4">
        <v>48311</v>
      </c>
      <c r="H1349" s="5" t="s">
        <v>16</v>
      </c>
      <c r="I1349" s="4">
        <v>0</v>
      </c>
      <c r="J1349" s="6">
        <v>44596</v>
      </c>
      <c r="K1349" t="str">
        <f t="shared" si="42"/>
        <v>Q1 2022</v>
      </c>
      <c r="L1349" t="str">
        <f t="shared" si="43"/>
        <v>Q1 2022</v>
      </c>
    </row>
    <row r="1350" spans="1:12" ht="15.75" customHeight="1" x14ac:dyDescent="0.3">
      <c r="A1350" s="2" t="s">
        <v>2054</v>
      </c>
      <c r="B1350" s="2" t="s">
        <v>11</v>
      </c>
      <c r="C1350" s="2" t="s">
        <v>12</v>
      </c>
      <c r="D1350" s="2" t="s">
        <v>1618</v>
      </c>
      <c r="E1350" s="2" t="s">
        <v>1052</v>
      </c>
      <c r="F1350" s="2" t="s">
        <v>2055</v>
      </c>
      <c r="G1350" s="4">
        <v>143728</v>
      </c>
      <c r="H1350" s="5" t="s">
        <v>30</v>
      </c>
      <c r="I1350" s="4">
        <v>0</v>
      </c>
      <c r="J1350" s="6">
        <v>44603</v>
      </c>
      <c r="K1350" t="str">
        <f t="shared" si="42"/>
        <v>Q1 2022</v>
      </c>
      <c r="L1350" t="str">
        <f t="shared" si="43"/>
        <v>Q1 2022</v>
      </c>
    </row>
    <row r="1351" spans="1:12" ht="15.75" customHeight="1" x14ac:dyDescent="0.3">
      <c r="A1351" s="2" t="s">
        <v>2056</v>
      </c>
      <c r="B1351" s="2" t="s">
        <v>11</v>
      </c>
      <c r="C1351" s="2" t="s">
        <v>12</v>
      </c>
      <c r="D1351" s="2" t="s">
        <v>1618</v>
      </c>
      <c r="E1351" s="2" t="s">
        <v>1052</v>
      </c>
      <c r="F1351" s="2" t="s">
        <v>2057</v>
      </c>
      <c r="G1351" s="2"/>
      <c r="H1351" s="5" t="s">
        <v>322</v>
      </c>
      <c r="I1351" s="4">
        <v>0</v>
      </c>
      <c r="J1351" s="6">
        <v>44594</v>
      </c>
      <c r="K1351" t="str">
        <f t="shared" si="42"/>
        <v>Q1 2022</v>
      </c>
      <c r="L1351" t="str">
        <f t="shared" si="43"/>
        <v>Q1 2022</v>
      </c>
    </row>
    <row r="1352" spans="1:12" ht="15.75" customHeight="1" x14ac:dyDescent="0.3">
      <c r="A1352" s="2" t="s">
        <v>2058</v>
      </c>
      <c r="B1352" s="2" t="s">
        <v>11</v>
      </c>
      <c r="C1352" s="2" t="s">
        <v>12</v>
      </c>
      <c r="D1352" s="2" t="s">
        <v>1618</v>
      </c>
      <c r="E1352" s="2" t="s">
        <v>1052</v>
      </c>
      <c r="F1352" s="2" t="s">
        <v>1148</v>
      </c>
      <c r="G1352" s="4">
        <v>80553</v>
      </c>
      <c r="H1352" s="5" t="s">
        <v>25</v>
      </c>
      <c r="I1352" s="4">
        <v>0</v>
      </c>
      <c r="J1352" s="6">
        <v>44603</v>
      </c>
      <c r="K1352" t="str">
        <f t="shared" si="42"/>
        <v>Q1 2022</v>
      </c>
      <c r="L1352" t="str">
        <f t="shared" si="43"/>
        <v>Q1 2022</v>
      </c>
    </row>
    <row r="1353" spans="1:12" ht="15.75" customHeight="1" x14ac:dyDescent="0.3">
      <c r="A1353" s="2" t="s">
        <v>2059</v>
      </c>
      <c r="B1353" s="2" t="s">
        <v>11</v>
      </c>
      <c r="C1353" s="2" t="s">
        <v>12</v>
      </c>
      <c r="D1353" s="2" t="s">
        <v>1618</v>
      </c>
      <c r="E1353" s="2" t="s">
        <v>1052</v>
      </c>
      <c r="F1353" s="2" t="s">
        <v>1656</v>
      </c>
      <c r="G1353" s="4">
        <v>59996</v>
      </c>
      <c r="H1353" s="6">
        <v>44630</v>
      </c>
      <c r="I1353" s="4">
        <v>0</v>
      </c>
      <c r="J1353" s="6">
        <v>44603</v>
      </c>
      <c r="K1353" t="str">
        <f t="shared" si="42"/>
        <v>Q1 2022</v>
      </c>
      <c r="L1353" t="str">
        <f t="shared" si="43"/>
        <v>Q1 2022</v>
      </c>
    </row>
    <row r="1354" spans="1:12" ht="15.75" customHeight="1" x14ac:dyDescent="0.3">
      <c r="A1354" s="2" t="s">
        <v>2060</v>
      </c>
      <c r="B1354" s="2" t="s">
        <v>11</v>
      </c>
      <c r="C1354" s="2" t="s">
        <v>12</v>
      </c>
      <c r="D1354" s="2" t="s">
        <v>1618</v>
      </c>
      <c r="E1354" s="2" t="s">
        <v>1052</v>
      </c>
      <c r="F1354" s="2" t="s">
        <v>1882</v>
      </c>
      <c r="G1354" s="4">
        <v>121681</v>
      </c>
      <c r="H1354" s="5" t="s">
        <v>2061</v>
      </c>
      <c r="I1354" s="4">
        <v>0</v>
      </c>
      <c r="J1354" s="6">
        <v>44205</v>
      </c>
      <c r="K1354" t="str">
        <f t="shared" si="42"/>
        <v>Q1 2021</v>
      </c>
      <c r="L1354" t="str">
        <f t="shared" si="43"/>
        <v>Q1 2021</v>
      </c>
    </row>
    <row r="1355" spans="1:12" ht="15.75" customHeight="1" x14ac:dyDescent="0.3">
      <c r="A1355" s="2" t="s">
        <v>2062</v>
      </c>
      <c r="B1355" s="2" t="s">
        <v>11</v>
      </c>
      <c r="C1355" s="2" t="s">
        <v>12</v>
      </c>
      <c r="D1355" s="2" t="s">
        <v>1618</v>
      </c>
      <c r="E1355" s="2" t="s">
        <v>1052</v>
      </c>
      <c r="F1355" s="2" t="s">
        <v>2063</v>
      </c>
      <c r="G1355" s="4">
        <v>113613</v>
      </c>
      <c r="H1355" s="5" t="s">
        <v>42</v>
      </c>
      <c r="I1355" s="4">
        <v>0</v>
      </c>
      <c r="J1355" s="6">
        <v>44603</v>
      </c>
      <c r="K1355" t="str">
        <f t="shared" si="42"/>
        <v>Q1 2022</v>
      </c>
      <c r="L1355" t="str">
        <f t="shared" si="43"/>
        <v>Q1 2022</v>
      </c>
    </row>
    <row r="1356" spans="1:12" ht="15.75" customHeight="1" x14ac:dyDescent="0.3">
      <c r="A1356" s="2" t="s">
        <v>2064</v>
      </c>
      <c r="B1356" s="2" t="s">
        <v>11</v>
      </c>
      <c r="C1356" s="2" t="s">
        <v>12</v>
      </c>
      <c r="D1356" s="2" t="s">
        <v>1618</v>
      </c>
      <c r="E1356" s="2" t="s">
        <v>1052</v>
      </c>
      <c r="F1356" s="2" t="s">
        <v>1148</v>
      </c>
      <c r="G1356" s="4">
        <v>100385</v>
      </c>
      <c r="H1356" s="5" t="s">
        <v>71</v>
      </c>
      <c r="I1356" s="4">
        <v>0</v>
      </c>
      <c r="J1356" s="6">
        <v>44603</v>
      </c>
      <c r="K1356" t="str">
        <f t="shared" si="42"/>
        <v>Q1 2022</v>
      </c>
      <c r="L1356" t="str">
        <f t="shared" si="43"/>
        <v>Q1 2022</v>
      </c>
    </row>
    <row r="1357" spans="1:12" ht="15.75" customHeight="1" x14ac:dyDescent="0.3">
      <c r="A1357" s="2" t="s">
        <v>2065</v>
      </c>
      <c r="B1357" s="2" t="s">
        <v>11</v>
      </c>
      <c r="C1357" s="2" t="s">
        <v>12</v>
      </c>
      <c r="D1357" s="2" t="s">
        <v>1618</v>
      </c>
      <c r="E1357" s="2" t="s">
        <v>1052</v>
      </c>
      <c r="F1357" s="2" t="s">
        <v>1148</v>
      </c>
      <c r="G1357" s="4">
        <v>120907</v>
      </c>
      <c r="H1357" s="5" t="s">
        <v>419</v>
      </c>
      <c r="I1357" s="4">
        <v>0</v>
      </c>
      <c r="J1357" s="6">
        <v>44961</v>
      </c>
      <c r="K1357" t="str">
        <f t="shared" si="42"/>
        <v>Q1 2023</v>
      </c>
      <c r="L1357" t="str">
        <f t="shared" si="43"/>
        <v>Q1 2023</v>
      </c>
    </row>
    <row r="1358" spans="1:12" ht="15.75" customHeight="1" x14ac:dyDescent="0.3">
      <c r="A1358" s="2" t="s">
        <v>2066</v>
      </c>
      <c r="B1358" s="2" t="s">
        <v>11</v>
      </c>
      <c r="C1358" s="2" t="s">
        <v>12</v>
      </c>
      <c r="D1358" s="2" t="s">
        <v>1618</v>
      </c>
      <c r="E1358" s="2" t="s">
        <v>1075</v>
      </c>
      <c r="F1358" s="2" t="s">
        <v>1225</v>
      </c>
      <c r="G1358" s="4">
        <v>38854</v>
      </c>
      <c r="H1358" s="6">
        <v>44986</v>
      </c>
      <c r="I1358" s="4">
        <v>0</v>
      </c>
      <c r="J1358" s="6">
        <v>44959</v>
      </c>
      <c r="K1358" t="str">
        <f t="shared" si="42"/>
        <v>Q1 2023</v>
      </c>
      <c r="L1358" t="str">
        <f t="shared" si="43"/>
        <v>Q1 2023</v>
      </c>
    </row>
    <row r="1359" spans="1:12" ht="15.75" customHeight="1" x14ac:dyDescent="0.3">
      <c r="A1359" s="2" t="s">
        <v>2067</v>
      </c>
      <c r="B1359" s="2" t="s">
        <v>11</v>
      </c>
      <c r="C1359" s="2" t="s">
        <v>12</v>
      </c>
      <c r="D1359" s="2" t="s">
        <v>1618</v>
      </c>
      <c r="E1359" s="2" t="s">
        <v>1075</v>
      </c>
      <c r="F1359" s="2" t="s">
        <v>46</v>
      </c>
      <c r="G1359" s="4">
        <v>88044</v>
      </c>
      <c r="H1359" s="5" t="s">
        <v>16</v>
      </c>
      <c r="I1359" s="4">
        <v>0</v>
      </c>
      <c r="J1359" s="6">
        <v>44597</v>
      </c>
      <c r="K1359" t="str">
        <f t="shared" si="42"/>
        <v>Q1 2022</v>
      </c>
      <c r="L1359" t="str">
        <f t="shared" si="43"/>
        <v>Q1 2022</v>
      </c>
    </row>
    <row r="1360" spans="1:12" ht="15.75" customHeight="1" x14ac:dyDescent="0.3">
      <c r="A1360" s="2" t="s">
        <v>2068</v>
      </c>
      <c r="B1360" s="2" t="s">
        <v>11</v>
      </c>
      <c r="C1360" s="2" t="s">
        <v>12</v>
      </c>
      <c r="D1360" s="2" t="s">
        <v>1618</v>
      </c>
      <c r="E1360" s="2" t="s">
        <v>1052</v>
      </c>
      <c r="F1360" s="2" t="s">
        <v>2069</v>
      </c>
      <c r="G1360" s="4">
        <v>118810</v>
      </c>
      <c r="H1360" s="5" t="s">
        <v>71</v>
      </c>
      <c r="I1360" s="4">
        <v>0</v>
      </c>
      <c r="J1360" s="6">
        <v>44604</v>
      </c>
      <c r="K1360" t="str">
        <f t="shared" si="42"/>
        <v>Q1 2022</v>
      </c>
      <c r="L1360" t="str">
        <f t="shared" si="43"/>
        <v>Q1 2022</v>
      </c>
    </row>
    <row r="1361" spans="1:12" ht="15.75" customHeight="1" x14ac:dyDescent="0.3">
      <c r="A1361" s="2" t="s">
        <v>2070</v>
      </c>
      <c r="B1361" s="2" t="s">
        <v>11</v>
      </c>
      <c r="C1361" s="2" t="s">
        <v>12</v>
      </c>
      <c r="D1361" s="2" t="s">
        <v>1618</v>
      </c>
      <c r="E1361" s="2" t="s">
        <v>1075</v>
      </c>
      <c r="F1361" s="2" t="s">
        <v>1184</v>
      </c>
      <c r="G1361" s="4">
        <v>85086</v>
      </c>
      <c r="H1361" s="5" t="s">
        <v>513</v>
      </c>
      <c r="I1361" s="4">
        <v>0</v>
      </c>
      <c r="J1361" s="6">
        <v>44600</v>
      </c>
      <c r="K1361" t="str">
        <f t="shared" si="42"/>
        <v>Q1 2022</v>
      </c>
      <c r="L1361" t="str">
        <f t="shared" si="43"/>
        <v>Q1 2022</v>
      </c>
    </row>
    <row r="1362" spans="1:12" ht="15.75" customHeight="1" x14ac:dyDescent="0.3">
      <c r="A1362" s="2" t="s">
        <v>2071</v>
      </c>
      <c r="B1362" s="2" t="s">
        <v>11</v>
      </c>
      <c r="C1362" s="2" t="s">
        <v>12</v>
      </c>
      <c r="D1362" s="2" t="s">
        <v>1618</v>
      </c>
      <c r="E1362" s="2" t="s">
        <v>1052</v>
      </c>
      <c r="F1362" s="2" t="s">
        <v>1148</v>
      </c>
      <c r="G1362" s="4">
        <v>118955</v>
      </c>
      <c r="H1362" s="6">
        <v>44629</v>
      </c>
      <c r="I1362" s="4">
        <v>0</v>
      </c>
      <c r="J1362" s="6">
        <v>44603</v>
      </c>
      <c r="K1362" t="str">
        <f t="shared" si="42"/>
        <v>Q1 2022</v>
      </c>
      <c r="L1362" t="str">
        <f t="shared" si="43"/>
        <v>Q1 2022</v>
      </c>
    </row>
    <row r="1363" spans="1:12" ht="15.75" customHeight="1" x14ac:dyDescent="0.3">
      <c r="A1363" s="2" t="s">
        <v>2072</v>
      </c>
      <c r="B1363" s="2" t="s">
        <v>11</v>
      </c>
      <c r="C1363" s="2" t="s">
        <v>12</v>
      </c>
      <c r="D1363" s="2" t="s">
        <v>1618</v>
      </c>
      <c r="E1363" s="2" t="s">
        <v>1052</v>
      </c>
      <c r="F1363" s="2" t="s">
        <v>1777</v>
      </c>
      <c r="G1363" s="4">
        <v>40909</v>
      </c>
      <c r="H1363" s="5" t="s">
        <v>463</v>
      </c>
      <c r="I1363" s="4">
        <v>0</v>
      </c>
      <c r="J1363" s="6">
        <v>44599</v>
      </c>
      <c r="K1363" t="str">
        <f t="shared" si="42"/>
        <v>Q1 2022</v>
      </c>
      <c r="L1363" t="str">
        <f t="shared" si="43"/>
        <v>Q1 2022</v>
      </c>
    </row>
    <row r="1364" spans="1:12" ht="15.75" customHeight="1" x14ac:dyDescent="0.3">
      <c r="A1364" s="2" t="s">
        <v>2073</v>
      </c>
      <c r="B1364" s="2" t="s">
        <v>11</v>
      </c>
      <c r="C1364" s="2" t="s">
        <v>12</v>
      </c>
      <c r="D1364" s="2" t="s">
        <v>1618</v>
      </c>
      <c r="E1364" s="2" t="s">
        <v>1052</v>
      </c>
      <c r="F1364" s="2" t="s">
        <v>1208</v>
      </c>
      <c r="G1364" s="4">
        <v>92898</v>
      </c>
      <c r="H1364" s="5" t="s">
        <v>116</v>
      </c>
      <c r="I1364" s="4">
        <v>0</v>
      </c>
      <c r="J1364" s="6">
        <v>44959</v>
      </c>
      <c r="K1364" t="str">
        <f t="shared" si="42"/>
        <v>Q1 2023</v>
      </c>
      <c r="L1364" t="str">
        <f t="shared" si="43"/>
        <v>Q1 2023</v>
      </c>
    </row>
    <row r="1365" spans="1:12" ht="15.75" customHeight="1" x14ac:dyDescent="0.3">
      <c r="A1365" s="2" t="s">
        <v>2074</v>
      </c>
      <c r="B1365" s="2" t="s">
        <v>11</v>
      </c>
      <c r="C1365" s="2" t="s">
        <v>12</v>
      </c>
      <c r="D1365" s="2" t="s">
        <v>1618</v>
      </c>
      <c r="E1365" s="2" t="s">
        <v>1052</v>
      </c>
      <c r="F1365" s="2" t="s">
        <v>46</v>
      </c>
      <c r="G1365" s="4">
        <v>44975</v>
      </c>
      <c r="H1365" s="5" t="s">
        <v>192</v>
      </c>
      <c r="I1365" s="4">
        <v>0</v>
      </c>
      <c r="J1365" s="6">
        <v>44595</v>
      </c>
      <c r="K1365" t="str">
        <f t="shared" si="42"/>
        <v>Q1 2022</v>
      </c>
      <c r="L1365" t="str">
        <f t="shared" si="43"/>
        <v>Q1 2022</v>
      </c>
    </row>
    <row r="1366" spans="1:12" ht="15.75" customHeight="1" x14ac:dyDescent="0.3">
      <c r="A1366" s="2" t="s">
        <v>2075</v>
      </c>
      <c r="B1366" s="2" t="s">
        <v>11</v>
      </c>
      <c r="C1366" s="2" t="s">
        <v>12</v>
      </c>
      <c r="D1366" s="2" t="s">
        <v>1618</v>
      </c>
      <c r="E1366" s="2" t="s">
        <v>1072</v>
      </c>
      <c r="F1366" s="2" t="s">
        <v>2076</v>
      </c>
      <c r="G1366" s="4">
        <v>143641</v>
      </c>
      <c r="H1366" s="6">
        <v>44562</v>
      </c>
      <c r="I1366" s="4">
        <v>0</v>
      </c>
      <c r="J1366" s="6">
        <v>44595</v>
      </c>
      <c r="K1366" t="str">
        <f t="shared" si="42"/>
        <v>Q1 2022</v>
      </c>
      <c r="L1366" t="str">
        <f t="shared" si="43"/>
        <v>Q1 2022</v>
      </c>
    </row>
    <row r="1367" spans="1:12" ht="15.75" customHeight="1" x14ac:dyDescent="0.3">
      <c r="A1367" s="2" t="s">
        <v>2077</v>
      </c>
      <c r="B1367" s="2" t="s">
        <v>11</v>
      </c>
      <c r="C1367" s="2" t="s">
        <v>12</v>
      </c>
      <c r="D1367" s="2" t="s">
        <v>1618</v>
      </c>
      <c r="E1367" s="2" t="s">
        <v>1052</v>
      </c>
      <c r="F1367" s="2" t="s">
        <v>1078</v>
      </c>
      <c r="G1367" s="4">
        <v>199851</v>
      </c>
      <c r="H1367" s="6">
        <v>44629</v>
      </c>
      <c r="I1367" s="4">
        <v>0</v>
      </c>
      <c r="J1367" s="6">
        <v>44603</v>
      </c>
      <c r="K1367" t="str">
        <f t="shared" si="42"/>
        <v>Q1 2022</v>
      </c>
      <c r="L1367" t="str">
        <f t="shared" si="43"/>
        <v>Q1 2022</v>
      </c>
    </row>
    <row r="1368" spans="1:12" ht="15.75" customHeight="1" x14ac:dyDescent="0.3">
      <c r="A1368" s="2" t="s">
        <v>2078</v>
      </c>
      <c r="B1368" s="2" t="s">
        <v>11</v>
      </c>
      <c r="C1368" s="2" t="s">
        <v>12</v>
      </c>
      <c r="D1368" s="2" t="s">
        <v>1618</v>
      </c>
      <c r="E1368" s="2" t="s">
        <v>1052</v>
      </c>
      <c r="F1368" s="2" t="s">
        <v>1738</v>
      </c>
      <c r="G1368" s="4">
        <v>42413</v>
      </c>
      <c r="H1368" s="5" t="s">
        <v>309</v>
      </c>
      <c r="I1368" s="4">
        <v>0</v>
      </c>
      <c r="J1368" s="6">
        <v>44594</v>
      </c>
      <c r="K1368" t="str">
        <f t="shared" si="42"/>
        <v>Q1 2022</v>
      </c>
      <c r="L1368" t="str">
        <f t="shared" si="43"/>
        <v>Q1 2022</v>
      </c>
    </row>
    <row r="1369" spans="1:12" ht="15.75" customHeight="1" x14ac:dyDescent="0.3">
      <c r="A1369" s="2" t="s">
        <v>2079</v>
      </c>
      <c r="B1369" s="2" t="s">
        <v>11</v>
      </c>
      <c r="C1369" s="2" t="s">
        <v>12</v>
      </c>
      <c r="D1369" s="2" t="s">
        <v>1618</v>
      </c>
      <c r="E1369" s="2" t="s">
        <v>1052</v>
      </c>
      <c r="F1369" s="2" t="s">
        <v>1161</v>
      </c>
      <c r="G1369" s="4">
        <v>57603</v>
      </c>
      <c r="H1369" s="5" t="s">
        <v>71</v>
      </c>
      <c r="I1369" s="4">
        <v>0</v>
      </c>
      <c r="J1369" s="6">
        <v>44603</v>
      </c>
      <c r="K1369" t="str">
        <f t="shared" si="42"/>
        <v>Q1 2022</v>
      </c>
      <c r="L1369" t="str">
        <f t="shared" si="43"/>
        <v>Q1 2022</v>
      </c>
    </row>
    <row r="1370" spans="1:12" ht="15.75" customHeight="1" x14ac:dyDescent="0.3">
      <c r="A1370" s="2" t="s">
        <v>2080</v>
      </c>
      <c r="B1370" s="2" t="s">
        <v>11</v>
      </c>
      <c r="C1370" s="2" t="s">
        <v>12</v>
      </c>
      <c r="D1370" s="2" t="s">
        <v>1618</v>
      </c>
      <c r="E1370" s="2" t="s">
        <v>1052</v>
      </c>
      <c r="F1370" s="2" t="s">
        <v>46</v>
      </c>
      <c r="G1370" s="4">
        <v>162488</v>
      </c>
      <c r="H1370" s="5" t="s">
        <v>189</v>
      </c>
      <c r="I1370" s="4">
        <v>0</v>
      </c>
      <c r="J1370" s="6">
        <v>44602</v>
      </c>
      <c r="K1370" t="str">
        <f t="shared" si="42"/>
        <v>Q1 2022</v>
      </c>
      <c r="L1370" t="str">
        <f t="shared" si="43"/>
        <v>Q1 2022</v>
      </c>
    </row>
    <row r="1371" spans="1:12" ht="15.75" customHeight="1" x14ac:dyDescent="0.3">
      <c r="A1371" s="2" t="s">
        <v>2081</v>
      </c>
      <c r="B1371" s="2" t="s">
        <v>11</v>
      </c>
      <c r="C1371" s="2" t="s">
        <v>12</v>
      </c>
      <c r="D1371" s="2" t="s">
        <v>1618</v>
      </c>
      <c r="E1371" s="2" t="s">
        <v>1075</v>
      </c>
      <c r="F1371" s="2" t="s">
        <v>2082</v>
      </c>
      <c r="G1371" s="4">
        <v>79855</v>
      </c>
      <c r="H1371" s="5" t="s">
        <v>71</v>
      </c>
      <c r="I1371" s="4">
        <v>0</v>
      </c>
      <c r="J1371" s="6">
        <v>44603</v>
      </c>
      <c r="K1371" t="str">
        <f t="shared" si="42"/>
        <v>Q1 2022</v>
      </c>
      <c r="L1371" t="str">
        <f t="shared" si="43"/>
        <v>Q1 2022</v>
      </c>
    </row>
    <row r="1372" spans="1:12" ht="15.75" customHeight="1" x14ac:dyDescent="0.3">
      <c r="A1372" s="2" t="s">
        <v>2083</v>
      </c>
      <c r="B1372" s="2" t="s">
        <v>11</v>
      </c>
      <c r="C1372" s="2" t="s">
        <v>12</v>
      </c>
      <c r="D1372" s="2" t="s">
        <v>1618</v>
      </c>
      <c r="E1372" s="2" t="s">
        <v>1075</v>
      </c>
      <c r="F1372" s="2" t="s">
        <v>1811</v>
      </c>
      <c r="G1372" s="4">
        <v>100788</v>
      </c>
      <c r="H1372" s="5" t="s">
        <v>71</v>
      </c>
      <c r="I1372" s="4">
        <v>0</v>
      </c>
      <c r="J1372" s="6">
        <v>44603</v>
      </c>
      <c r="K1372" t="str">
        <f t="shared" si="42"/>
        <v>Q1 2022</v>
      </c>
      <c r="L1372" t="str">
        <f t="shared" si="43"/>
        <v>Q1 2022</v>
      </c>
    </row>
    <row r="1373" spans="1:12" ht="15.75" customHeight="1" x14ac:dyDescent="0.3">
      <c r="A1373" s="2" t="s">
        <v>2084</v>
      </c>
      <c r="B1373" s="2" t="s">
        <v>11</v>
      </c>
      <c r="C1373" s="2" t="s">
        <v>12</v>
      </c>
      <c r="D1373" s="2" t="s">
        <v>1618</v>
      </c>
      <c r="E1373" s="2" t="s">
        <v>1052</v>
      </c>
      <c r="F1373" s="2" t="s">
        <v>1053</v>
      </c>
      <c r="G1373" s="4">
        <v>178327</v>
      </c>
      <c r="H1373" s="5" t="s">
        <v>42</v>
      </c>
      <c r="I1373" s="4">
        <v>0</v>
      </c>
      <c r="J1373" s="6">
        <v>44603</v>
      </c>
      <c r="K1373" t="str">
        <f t="shared" si="42"/>
        <v>Q1 2022</v>
      </c>
      <c r="L1373" t="str">
        <f t="shared" si="43"/>
        <v>Q1 2022</v>
      </c>
    </row>
    <row r="1374" spans="1:12" ht="15.75" customHeight="1" x14ac:dyDescent="0.3">
      <c r="A1374" s="2" t="s">
        <v>2085</v>
      </c>
      <c r="B1374" s="2" t="s">
        <v>11</v>
      </c>
      <c r="C1374" s="2" t="s">
        <v>12</v>
      </c>
      <c r="D1374" s="2" t="s">
        <v>1618</v>
      </c>
      <c r="E1374" s="2" t="s">
        <v>1052</v>
      </c>
      <c r="F1374" s="2" t="s">
        <v>1882</v>
      </c>
      <c r="G1374" s="4">
        <v>103310</v>
      </c>
      <c r="H1374" s="5" t="s">
        <v>232</v>
      </c>
      <c r="I1374" s="4">
        <v>0</v>
      </c>
      <c r="J1374" s="6">
        <v>44594</v>
      </c>
      <c r="K1374" t="str">
        <f t="shared" si="42"/>
        <v>Q1 2022</v>
      </c>
      <c r="L1374" t="str">
        <f t="shared" si="43"/>
        <v>Q1 2022</v>
      </c>
    </row>
    <row r="1375" spans="1:12" ht="15.75" customHeight="1" x14ac:dyDescent="0.3">
      <c r="A1375" s="2" t="s">
        <v>2086</v>
      </c>
      <c r="B1375" s="2" t="s">
        <v>20</v>
      </c>
      <c r="C1375" s="2" t="s">
        <v>57</v>
      </c>
      <c r="D1375" s="2" t="s">
        <v>1618</v>
      </c>
      <c r="E1375" s="2" t="s">
        <v>1052</v>
      </c>
      <c r="F1375" s="2" t="s">
        <v>2087</v>
      </c>
      <c r="G1375" s="4">
        <v>170814</v>
      </c>
      <c r="H1375" s="6">
        <v>44990</v>
      </c>
      <c r="I1375" s="4">
        <v>24402</v>
      </c>
      <c r="J1375" s="5" t="s">
        <v>144</v>
      </c>
      <c r="K1375" t="str">
        <f t="shared" si="42"/>
        <v>Q2 2023</v>
      </c>
      <c r="L1375" t="str">
        <f t="shared" si="43"/>
        <v>Q2 2023</v>
      </c>
    </row>
    <row r="1376" spans="1:12" ht="15.75" customHeight="1" x14ac:dyDescent="0.3">
      <c r="A1376" s="2" t="s">
        <v>2088</v>
      </c>
      <c r="B1376" s="2" t="s">
        <v>11</v>
      </c>
      <c r="C1376" s="2" t="s">
        <v>12</v>
      </c>
      <c r="D1376" s="2" t="s">
        <v>1618</v>
      </c>
      <c r="E1376" s="2" t="s">
        <v>1052</v>
      </c>
      <c r="F1376" s="2" t="s">
        <v>1557</v>
      </c>
      <c r="G1376" s="4">
        <v>80118</v>
      </c>
      <c r="H1376" s="5" t="s">
        <v>2089</v>
      </c>
      <c r="I1376" s="4">
        <v>0</v>
      </c>
      <c r="J1376" s="6">
        <v>44204</v>
      </c>
      <c r="K1376" t="str">
        <f t="shared" si="42"/>
        <v>Q1 2021</v>
      </c>
      <c r="L1376" t="str">
        <f t="shared" si="43"/>
        <v>Q1 2021</v>
      </c>
    </row>
    <row r="1377" spans="1:12" ht="15.75" customHeight="1" x14ac:dyDescent="0.3">
      <c r="A1377" s="2" t="s">
        <v>2090</v>
      </c>
      <c r="B1377" s="2" t="s">
        <v>11</v>
      </c>
      <c r="C1377" s="2" t="s">
        <v>12</v>
      </c>
      <c r="D1377" s="2" t="s">
        <v>1618</v>
      </c>
      <c r="E1377" s="2" t="s">
        <v>1052</v>
      </c>
      <c r="F1377" s="2" t="s">
        <v>2091</v>
      </c>
      <c r="G1377" s="4">
        <v>124559</v>
      </c>
      <c r="H1377" s="5" t="s">
        <v>130</v>
      </c>
      <c r="I1377" s="4">
        <v>0</v>
      </c>
      <c r="J1377" s="6">
        <v>44602</v>
      </c>
      <c r="K1377" t="str">
        <f t="shared" si="42"/>
        <v>Q1 2022</v>
      </c>
      <c r="L1377" t="str">
        <f t="shared" si="43"/>
        <v>Q1 2022</v>
      </c>
    </row>
    <row r="1378" spans="1:12" ht="15.75" customHeight="1" x14ac:dyDescent="0.3">
      <c r="A1378" s="2" t="s">
        <v>2092</v>
      </c>
      <c r="B1378" s="2" t="s">
        <v>11</v>
      </c>
      <c r="C1378" s="2" t="s">
        <v>12</v>
      </c>
      <c r="D1378" s="2" t="s">
        <v>1618</v>
      </c>
      <c r="E1378" s="2" t="s">
        <v>1052</v>
      </c>
      <c r="F1378" s="2" t="s">
        <v>1161</v>
      </c>
      <c r="G1378" s="4">
        <v>122620</v>
      </c>
      <c r="H1378" s="5" t="s">
        <v>30</v>
      </c>
      <c r="I1378" s="4">
        <v>0</v>
      </c>
      <c r="J1378" s="6">
        <v>44603</v>
      </c>
      <c r="K1378" t="str">
        <f t="shared" si="42"/>
        <v>Q1 2022</v>
      </c>
      <c r="L1378" t="str">
        <f t="shared" si="43"/>
        <v>Q1 2022</v>
      </c>
    </row>
    <row r="1379" spans="1:12" ht="15.75" customHeight="1" x14ac:dyDescent="0.3">
      <c r="A1379" s="2" t="s">
        <v>2093</v>
      </c>
      <c r="B1379" s="2" t="s">
        <v>11</v>
      </c>
      <c r="C1379" s="2" t="s">
        <v>12</v>
      </c>
      <c r="D1379" s="2" t="s">
        <v>1618</v>
      </c>
      <c r="E1379" s="2" t="s">
        <v>1052</v>
      </c>
      <c r="F1379" s="2" t="s">
        <v>1664</v>
      </c>
      <c r="G1379" s="4">
        <v>47890</v>
      </c>
      <c r="H1379" s="5" t="s">
        <v>355</v>
      </c>
      <c r="I1379" s="4">
        <v>0</v>
      </c>
      <c r="J1379" s="6">
        <v>44205</v>
      </c>
      <c r="K1379" t="str">
        <f t="shared" si="42"/>
        <v>Q1 2021</v>
      </c>
      <c r="L1379" t="str">
        <f t="shared" si="43"/>
        <v>Q1 2021</v>
      </c>
    </row>
    <row r="1380" spans="1:12" ht="15.75" customHeight="1" x14ac:dyDescent="0.3">
      <c r="A1380" s="2" t="s">
        <v>2094</v>
      </c>
      <c r="B1380" s="2" t="s">
        <v>11</v>
      </c>
      <c r="C1380" s="2" t="s">
        <v>12</v>
      </c>
      <c r="D1380" s="2" t="s">
        <v>1618</v>
      </c>
      <c r="E1380" s="2" t="s">
        <v>1052</v>
      </c>
      <c r="F1380" s="2" t="s">
        <v>1121</v>
      </c>
      <c r="G1380" s="4">
        <v>113694</v>
      </c>
      <c r="H1380" s="5" t="s">
        <v>30</v>
      </c>
      <c r="I1380" s="4">
        <v>0</v>
      </c>
      <c r="J1380" s="6">
        <v>44603</v>
      </c>
      <c r="K1380" t="str">
        <f t="shared" si="42"/>
        <v>Q1 2022</v>
      </c>
      <c r="L1380" t="str">
        <f t="shared" si="43"/>
        <v>Q1 2022</v>
      </c>
    </row>
    <row r="1381" spans="1:12" ht="15.75" customHeight="1" x14ac:dyDescent="0.3">
      <c r="A1381" s="2" t="s">
        <v>2095</v>
      </c>
      <c r="B1381" s="2" t="s">
        <v>11</v>
      </c>
      <c r="C1381" s="2" t="s">
        <v>12</v>
      </c>
      <c r="D1381" s="2" t="s">
        <v>1618</v>
      </c>
      <c r="E1381" s="2" t="s">
        <v>1052</v>
      </c>
      <c r="F1381" s="2" t="s">
        <v>2096</v>
      </c>
      <c r="G1381" s="4">
        <v>131573</v>
      </c>
      <c r="H1381" s="5" t="s">
        <v>123</v>
      </c>
      <c r="I1381" s="4">
        <v>0</v>
      </c>
      <c r="J1381" s="6">
        <v>44594</v>
      </c>
      <c r="K1381" t="str">
        <f t="shared" si="42"/>
        <v>Q1 2022</v>
      </c>
      <c r="L1381" t="str">
        <f t="shared" si="43"/>
        <v>Q1 2022</v>
      </c>
    </row>
    <row r="1382" spans="1:12" ht="15.75" customHeight="1" x14ac:dyDescent="0.3">
      <c r="A1382" s="2" t="s">
        <v>2097</v>
      </c>
      <c r="B1382" s="2" t="s">
        <v>11</v>
      </c>
      <c r="C1382" s="2" t="s">
        <v>12</v>
      </c>
      <c r="D1382" s="2" t="s">
        <v>1618</v>
      </c>
      <c r="E1382" s="2" t="s">
        <v>1072</v>
      </c>
      <c r="F1382" s="2" t="s">
        <v>46</v>
      </c>
      <c r="G1382" s="4">
        <v>92127</v>
      </c>
      <c r="H1382" s="5" t="s">
        <v>25</v>
      </c>
      <c r="I1382" s="4">
        <v>0</v>
      </c>
      <c r="J1382" s="6">
        <v>44603</v>
      </c>
      <c r="K1382" t="str">
        <f t="shared" si="42"/>
        <v>Q1 2022</v>
      </c>
      <c r="L1382" t="str">
        <f t="shared" si="43"/>
        <v>Q1 2022</v>
      </c>
    </row>
    <row r="1383" spans="1:12" ht="15.75" customHeight="1" x14ac:dyDescent="0.3">
      <c r="A1383" s="2" t="s">
        <v>2098</v>
      </c>
      <c r="B1383" s="2" t="s">
        <v>11</v>
      </c>
      <c r="C1383" s="2" t="s">
        <v>12</v>
      </c>
      <c r="D1383" s="2" t="s">
        <v>1618</v>
      </c>
      <c r="E1383" s="2" t="s">
        <v>1052</v>
      </c>
      <c r="F1383" s="2" t="s">
        <v>2099</v>
      </c>
      <c r="G1383" s="4">
        <v>122628</v>
      </c>
      <c r="H1383" s="5" t="s">
        <v>71</v>
      </c>
      <c r="I1383" s="4">
        <v>0</v>
      </c>
      <c r="J1383" s="6">
        <v>44603</v>
      </c>
      <c r="K1383" t="str">
        <f t="shared" si="42"/>
        <v>Q1 2022</v>
      </c>
      <c r="L1383" t="str">
        <f t="shared" si="43"/>
        <v>Q1 2022</v>
      </c>
    </row>
    <row r="1384" spans="1:12" ht="15.75" customHeight="1" x14ac:dyDescent="0.3">
      <c r="A1384" s="2" t="s">
        <v>2100</v>
      </c>
      <c r="B1384" s="2" t="s">
        <v>11</v>
      </c>
      <c r="C1384" s="2" t="s">
        <v>12</v>
      </c>
      <c r="D1384" s="2" t="s">
        <v>1618</v>
      </c>
      <c r="E1384" s="2" t="s">
        <v>1052</v>
      </c>
      <c r="F1384" s="2" t="s">
        <v>1691</v>
      </c>
      <c r="G1384" s="4">
        <v>74399</v>
      </c>
      <c r="H1384" s="5" t="s">
        <v>42</v>
      </c>
      <c r="I1384" s="4">
        <v>0</v>
      </c>
      <c r="J1384" s="6">
        <v>44603</v>
      </c>
      <c r="K1384" t="str">
        <f t="shared" si="42"/>
        <v>Q1 2022</v>
      </c>
      <c r="L1384" t="str">
        <f t="shared" si="43"/>
        <v>Q1 2022</v>
      </c>
    </row>
    <row r="1385" spans="1:12" ht="15.75" customHeight="1" x14ac:dyDescent="0.3">
      <c r="A1385" s="2" t="s">
        <v>2101</v>
      </c>
      <c r="B1385" s="2" t="s">
        <v>11</v>
      </c>
      <c r="C1385" s="2" t="s">
        <v>12</v>
      </c>
      <c r="D1385" s="2" t="s">
        <v>1618</v>
      </c>
      <c r="E1385" s="2" t="s">
        <v>1052</v>
      </c>
      <c r="F1385" s="2" t="s">
        <v>2102</v>
      </c>
      <c r="G1385" s="4">
        <v>58295</v>
      </c>
      <c r="H1385" s="5" t="s">
        <v>42</v>
      </c>
      <c r="I1385" s="4">
        <v>0</v>
      </c>
      <c r="J1385" s="6">
        <v>44603</v>
      </c>
      <c r="K1385" t="str">
        <f t="shared" si="42"/>
        <v>Q1 2022</v>
      </c>
      <c r="L1385" t="str">
        <f t="shared" si="43"/>
        <v>Q1 2022</v>
      </c>
    </row>
    <row r="1386" spans="1:12" ht="15.75" customHeight="1" x14ac:dyDescent="0.3">
      <c r="A1386" s="2" t="s">
        <v>2103</v>
      </c>
      <c r="B1386" s="2" t="s">
        <v>11</v>
      </c>
      <c r="C1386" s="2" t="s">
        <v>12</v>
      </c>
      <c r="D1386" s="2" t="s">
        <v>1618</v>
      </c>
      <c r="E1386" s="2" t="s">
        <v>1052</v>
      </c>
      <c r="F1386" s="2" t="s">
        <v>2104</v>
      </c>
      <c r="G1386" s="4">
        <v>118703</v>
      </c>
      <c r="H1386" s="5" t="s">
        <v>728</v>
      </c>
      <c r="I1386" s="4">
        <v>0</v>
      </c>
      <c r="J1386" s="6">
        <v>44600</v>
      </c>
      <c r="K1386" t="str">
        <f t="shared" si="42"/>
        <v>Q1 2022</v>
      </c>
      <c r="L1386" t="str">
        <f t="shared" si="43"/>
        <v>Q1 2022</v>
      </c>
    </row>
    <row r="1387" spans="1:12" ht="15.75" customHeight="1" x14ac:dyDescent="0.3">
      <c r="A1387" s="2" t="s">
        <v>2105</v>
      </c>
      <c r="B1387" s="2" t="s">
        <v>11</v>
      </c>
      <c r="C1387" s="2" t="s">
        <v>12</v>
      </c>
      <c r="D1387" s="2" t="s">
        <v>1618</v>
      </c>
      <c r="E1387" s="2" t="s">
        <v>1075</v>
      </c>
      <c r="F1387" s="2" t="s">
        <v>46</v>
      </c>
      <c r="G1387" s="4">
        <v>140673</v>
      </c>
      <c r="H1387" s="5" t="s">
        <v>463</v>
      </c>
      <c r="I1387" s="4">
        <v>0</v>
      </c>
      <c r="J1387" s="6">
        <v>44599</v>
      </c>
      <c r="K1387" t="str">
        <f t="shared" si="42"/>
        <v>Q1 2022</v>
      </c>
      <c r="L1387" t="str">
        <f t="shared" si="43"/>
        <v>Q1 2022</v>
      </c>
    </row>
    <row r="1388" spans="1:12" ht="15.75" customHeight="1" x14ac:dyDescent="0.3">
      <c r="A1388" s="2" t="s">
        <v>2106</v>
      </c>
      <c r="B1388" s="2" t="s">
        <v>11</v>
      </c>
      <c r="C1388" s="2" t="s">
        <v>12</v>
      </c>
      <c r="D1388" s="2" t="s">
        <v>1618</v>
      </c>
      <c r="E1388" s="2" t="s">
        <v>1052</v>
      </c>
      <c r="F1388" s="2" t="s">
        <v>1091</v>
      </c>
      <c r="G1388" s="4">
        <v>136262</v>
      </c>
      <c r="H1388" s="5" t="s">
        <v>236</v>
      </c>
      <c r="I1388" s="4">
        <v>0</v>
      </c>
      <c r="J1388" s="6">
        <v>44596</v>
      </c>
      <c r="K1388" t="str">
        <f t="shared" si="42"/>
        <v>Q1 2022</v>
      </c>
      <c r="L1388" t="str">
        <f t="shared" si="43"/>
        <v>Q1 2022</v>
      </c>
    </row>
    <row r="1389" spans="1:12" ht="15.75" customHeight="1" x14ac:dyDescent="0.3">
      <c r="A1389" s="2" t="s">
        <v>2107</v>
      </c>
      <c r="B1389" s="2" t="s">
        <v>11</v>
      </c>
      <c r="C1389" s="2" t="s">
        <v>12</v>
      </c>
      <c r="D1389" s="2" t="s">
        <v>1618</v>
      </c>
      <c r="E1389" s="2" t="s">
        <v>1052</v>
      </c>
      <c r="F1389" s="2" t="s">
        <v>2108</v>
      </c>
      <c r="G1389" s="4">
        <v>55063</v>
      </c>
      <c r="H1389" s="6">
        <v>44901</v>
      </c>
      <c r="I1389" s="4">
        <v>0</v>
      </c>
      <c r="J1389" s="6">
        <v>44599</v>
      </c>
      <c r="K1389" t="str">
        <f t="shared" si="42"/>
        <v>Q1 2022</v>
      </c>
      <c r="L1389" t="str">
        <f t="shared" si="43"/>
        <v>Q1 2022</v>
      </c>
    </row>
    <row r="1390" spans="1:12" ht="15.75" customHeight="1" x14ac:dyDescent="0.3">
      <c r="A1390" s="2" t="s">
        <v>2109</v>
      </c>
      <c r="B1390" s="2" t="s">
        <v>11</v>
      </c>
      <c r="C1390" s="2" t="s">
        <v>12</v>
      </c>
      <c r="D1390" s="2" t="s">
        <v>1618</v>
      </c>
      <c r="E1390" s="2" t="s">
        <v>1052</v>
      </c>
      <c r="F1390" s="2" t="s">
        <v>1200</v>
      </c>
      <c r="G1390" s="4">
        <v>113586</v>
      </c>
      <c r="H1390" s="6">
        <v>44631</v>
      </c>
      <c r="I1390" s="4">
        <v>0</v>
      </c>
      <c r="J1390" s="6">
        <v>44958</v>
      </c>
      <c r="K1390" t="str">
        <f t="shared" si="42"/>
        <v>Q1 2023</v>
      </c>
      <c r="L1390" t="str">
        <f t="shared" si="43"/>
        <v>Q1 2023</v>
      </c>
    </row>
    <row r="1391" spans="1:12" ht="15.75" customHeight="1" x14ac:dyDescent="0.3">
      <c r="A1391" s="2" t="s">
        <v>2110</v>
      </c>
      <c r="B1391" s="2" t="s">
        <v>11</v>
      </c>
      <c r="C1391" s="2" t="s">
        <v>12</v>
      </c>
      <c r="D1391" s="2" t="s">
        <v>1618</v>
      </c>
      <c r="E1391" s="2" t="s">
        <v>1052</v>
      </c>
      <c r="F1391" s="2" t="s">
        <v>1745</v>
      </c>
      <c r="G1391" s="4">
        <v>105276</v>
      </c>
      <c r="H1391" s="5" t="s">
        <v>1058</v>
      </c>
      <c r="I1391" s="4">
        <v>0</v>
      </c>
      <c r="J1391" s="6">
        <v>44654</v>
      </c>
      <c r="K1391" t="str">
        <f t="shared" si="42"/>
        <v>Q2 2022</v>
      </c>
      <c r="L1391" t="str">
        <f t="shared" si="43"/>
        <v>Q2 2022</v>
      </c>
    </row>
    <row r="1392" spans="1:12" ht="15.75" customHeight="1" x14ac:dyDescent="0.3">
      <c r="A1392" s="2" t="s">
        <v>2111</v>
      </c>
      <c r="B1392" s="2" t="s">
        <v>11</v>
      </c>
      <c r="C1392" s="2" t="s">
        <v>12</v>
      </c>
      <c r="D1392" s="2" t="s">
        <v>1618</v>
      </c>
      <c r="E1392" s="2" t="s">
        <v>1052</v>
      </c>
      <c r="F1392" s="2" t="s">
        <v>1060</v>
      </c>
      <c r="G1392" s="4">
        <v>101400</v>
      </c>
      <c r="H1392" s="5" t="s">
        <v>25</v>
      </c>
      <c r="I1392" s="4">
        <v>0</v>
      </c>
      <c r="J1392" s="6">
        <v>44603</v>
      </c>
      <c r="K1392" t="str">
        <f t="shared" si="42"/>
        <v>Q1 2022</v>
      </c>
      <c r="L1392" t="str">
        <f t="shared" si="43"/>
        <v>Q1 2022</v>
      </c>
    </row>
    <row r="1393" spans="1:12" ht="15.75" customHeight="1" x14ac:dyDescent="0.3">
      <c r="A1393" s="2" t="s">
        <v>2112</v>
      </c>
      <c r="B1393" s="2" t="s">
        <v>11</v>
      </c>
      <c r="C1393" s="2" t="s">
        <v>12</v>
      </c>
      <c r="D1393" s="2" t="s">
        <v>1618</v>
      </c>
      <c r="E1393" s="2" t="s">
        <v>1052</v>
      </c>
      <c r="F1393" s="2" t="s">
        <v>1148</v>
      </c>
      <c r="G1393" s="4">
        <v>93074</v>
      </c>
      <c r="H1393" s="6">
        <v>44630</v>
      </c>
      <c r="I1393" s="4">
        <v>0</v>
      </c>
      <c r="J1393" s="6">
        <v>44604</v>
      </c>
      <c r="K1393" t="str">
        <f t="shared" si="42"/>
        <v>Q1 2022</v>
      </c>
      <c r="L1393" t="str">
        <f t="shared" si="43"/>
        <v>Q1 2022</v>
      </c>
    </row>
    <row r="1394" spans="1:12" ht="15.75" customHeight="1" x14ac:dyDescent="0.3">
      <c r="A1394" s="2" t="s">
        <v>2113</v>
      </c>
      <c r="B1394" s="2" t="s">
        <v>11</v>
      </c>
      <c r="C1394" s="2" t="s">
        <v>12</v>
      </c>
      <c r="D1394" s="2" t="s">
        <v>1618</v>
      </c>
      <c r="E1394" s="2" t="s">
        <v>1072</v>
      </c>
      <c r="F1394" s="2" t="s">
        <v>2114</v>
      </c>
      <c r="G1394" s="4">
        <v>103312</v>
      </c>
      <c r="H1394" s="6">
        <v>44658</v>
      </c>
      <c r="I1394" s="4">
        <v>0</v>
      </c>
      <c r="J1394" s="6">
        <v>44601</v>
      </c>
      <c r="K1394" t="str">
        <f t="shared" si="42"/>
        <v>Q1 2022</v>
      </c>
      <c r="L1394" t="str">
        <f t="shared" si="43"/>
        <v>Q1 2022</v>
      </c>
    </row>
    <row r="1395" spans="1:12" ht="15.75" customHeight="1" x14ac:dyDescent="0.3">
      <c r="A1395" s="2" t="s">
        <v>2115</v>
      </c>
      <c r="B1395" s="2" t="s">
        <v>11</v>
      </c>
      <c r="C1395" s="2" t="s">
        <v>12</v>
      </c>
      <c r="D1395" s="2" t="s">
        <v>1618</v>
      </c>
      <c r="E1395" s="2" t="s">
        <v>1052</v>
      </c>
      <c r="F1395" s="2" t="s">
        <v>2116</v>
      </c>
      <c r="G1395" s="4">
        <v>164828</v>
      </c>
      <c r="H1395" s="6">
        <v>44630</v>
      </c>
      <c r="I1395" s="4">
        <v>0</v>
      </c>
      <c r="J1395" s="6">
        <v>44603</v>
      </c>
      <c r="K1395" t="str">
        <f t="shared" si="42"/>
        <v>Q1 2022</v>
      </c>
      <c r="L1395" t="str">
        <f t="shared" si="43"/>
        <v>Q1 2022</v>
      </c>
    </row>
    <row r="1396" spans="1:12" ht="15.75" customHeight="1" x14ac:dyDescent="0.3">
      <c r="A1396" s="2" t="s">
        <v>2117</v>
      </c>
      <c r="B1396" s="2" t="s">
        <v>11</v>
      </c>
      <c r="C1396" s="2" t="s">
        <v>12</v>
      </c>
      <c r="D1396" s="2" t="s">
        <v>1618</v>
      </c>
      <c r="E1396" s="2" t="s">
        <v>1052</v>
      </c>
      <c r="F1396" s="2" t="s">
        <v>1691</v>
      </c>
      <c r="G1396" s="4">
        <v>403644</v>
      </c>
      <c r="H1396" s="6">
        <v>44267</v>
      </c>
      <c r="I1396" s="4">
        <v>0</v>
      </c>
      <c r="J1396" s="6">
        <v>44563</v>
      </c>
      <c r="K1396" t="str">
        <f t="shared" si="42"/>
        <v>Q1 2022</v>
      </c>
      <c r="L1396" t="str">
        <f t="shared" si="43"/>
        <v>Q1 2022</v>
      </c>
    </row>
    <row r="1397" spans="1:12" ht="15.75" customHeight="1" x14ac:dyDescent="0.3">
      <c r="A1397" s="2" t="s">
        <v>2118</v>
      </c>
      <c r="B1397" s="2" t="s">
        <v>11</v>
      </c>
      <c r="C1397" s="2" t="s">
        <v>12</v>
      </c>
      <c r="D1397" s="2" t="s">
        <v>1618</v>
      </c>
      <c r="E1397" s="2" t="s">
        <v>1052</v>
      </c>
      <c r="F1397" s="2" t="s">
        <v>46</v>
      </c>
      <c r="G1397" s="4">
        <v>403777</v>
      </c>
      <c r="H1397" s="5" t="s">
        <v>137</v>
      </c>
      <c r="I1397" s="4">
        <v>0</v>
      </c>
      <c r="J1397" s="6">
        <v>44598</v>
      </c>
      <c r="K1397" t="str">
        <f t="shared" si="42"/>
        <v>Q1 2022</v>
      </c>
      <c r="L1397" t="str">
        <f t="shared" si="43"/>
        <v>Q1 2022</v>
      </c>
    </row>
    <row r="1398" spans="1:12" ht="15.75" customHeight="1" x14ac:dyDescent="0.3">
      <c r="A1398" s="2" t="s">
        <v>2119</v>
      </c>
      <c r="B1398" s="2" t="s">
        <v>11</v>
      </c>
      <c r="C1398" s="2" t="s">
        <v>12</v>
      </c>
      <c r="D1398" s="2" t="s">
        <v>1618</v>
      </c>
      <c r="E1398" s="2" t="s">
        <v>1052</v>
      </c>
      <c r="F1398" s="2" t="s">
        <v>1138</v>
      </c>
      <c r="G1398" s="4">
        <v>350877</v>
      </c>
      <c r="H1398" s="5" t="s">
        <v>333</v>
      </c>
      <c r="I1398" s="4">
        <v>0</v>
      </c>
      <c r="J1398" s="6">
        <v>44599</v>
      </c>
      <c r="K1398" t="str">
        <f t="shared" si="42"/>
        <v>Q1 2022</v>
      </c>
      <c r="L1398" t="str">
        <f t="shared" si="43"/>
        <v>Q1 2022</v>
      </c>
    </row>
    <row r="1399" spans="1:12" ht="15.75" customHeight="1" x14ac:dyDescent="0.3">
      <c r="A1399" s="2" t="s">
        <v>2120</v>
      </c>
      <c r="B1399" s="2" t="s">
        <v>11</v>
      </c>
      <c r="C1399" s="2" t="s">
        <v>12</v>
      </c>
      <c r="D1399" s="2" t="s">
        <v>1618</v>
      </c>
      <c r="E1399" s="2" t="s">
        <v>1052</v>
      </c>
      <c r="F1399" s="2" t="s">
        <v>2121</v>
      </c>
      <c r="G1399" s="4">
        <v>218991</v>
      </c>
      <c r="H1399" s="5" t="s">
        <v>232</v>
      </c>
      <c r="I1399" s="4">
        <v>0</v>
      </c>
      <c r="J1399" s="6">
        <v>44594</v>
      </c>
      <c r="K1399" t="str">
        <f t="shared" si="42"/>
        <v>Q1 2022</v>
      </c>
      <c r="L1399" t="str">
        <f t="shared" si="43"/>
        <v>Q1 2022</v>
      </c>
    </row>
    <row r="1400" spans="1:12" ht="15.75" customHeight="1" x14ac:dyDescent="0.3">
      <c r="A1400" s="2" t="s">
        <v>2122</v>
      </c>
      <c r="B1400" s="2" t="s">
        <v>11</v>
      </c>
      <c r="C1400" s="2" t="s">
        <v>12</v>
      </c>
      <c r="D1400" s="2" t="s">
        <v>1618</v>
      </c>
      <c r="E1400" s="2" t="s">
        <v>1052</v>
      </c>
      <c r="F1400" s="2" t="s">
        <v>46</v>
      </c>
      <c r="G1400" s="4">
        <v>121680</v>
      </c>
      <c r="H1400" s="6">
        <v>44899</v>
      </c>
      <c r="I1400" s="4">
        <v>0</v>
      </c>
      <c r="J1400" s="6">
        <v>44597</v>
      </c>
      <c r="K1400" t="str">
        <f t="shared" si="42"/>
        <v>Q1 2022</v>
      </c>
      <c r="L1400" t="str">
        <f t="shared" si="43"/>
        <v>Q1 2022</v>
      </c>
    </row>
    <row r="1401" spans="1:12" ht="15.75" customHeight="1" x14ac:dyDescent="0.3">
      <c r="A1401" s="2" t="s">
        <v>2123</v>
      </c>
      <c r="B1401" s="2" t="s">
        <v>11</v>
      </c>
      <c r="C1401" s="2" t="s">
        <v>12</v>
      </c>
      <c r="D1401" s="2" t="s">
        <v>1618</v>
      </c>
      <c r="E1401" s="2" t="s">
        <v>1052</v>
      </c>
      <c r="F1401" s="2" t="s">
        <v>2124</v>
      </c>
      <c r="G1401" s="2"/>
      <c r="H1401" s="5" t="s">
        <v>16</v>
      </c>
      <c r="I1401" s="4">
        <v>0</v>
      </c>
      <c r="J1401" s="6">
        <v>44596</v>
      </c>
      <c r="K1401" t="str">
        <f t="shared" si="42"/>
        <v>Q1 2022</v>
      </c>
      <c r="L1401" t="str">
        <f t="shared" si="43"/>
        <v>Q1 2022</v>
      </c>
    </row>
    <row r="1402" spans="1:12" ht="15.75" customHeight="1" x14ac:dyDescent="0.3">
      <c r="A1402" s="2" t="s">
        <v>2125</v>
      </c>
      <c r="B1402" s="2" t="s">
        <v>11</v>
      </c>
      <c r="C1402" s="2" t="s">
        <v>12</v>
      </c>
      <c r="D1402" s="2" t="s">
        <v>1618</v>
      </c>
      <c r="E1402" s="2" t="s">
        <v>1052</v>
      </c>
      <c r="F1402" s="2" t="s">
        <v>2126</v>
      </c>
      <c r="G1402" s="4">
        <v>209133</v>
      </c>
      <c r="H1402" s="5" t="s">
        <v>130</v>
      </c>
      <c r="I1402" s="4">
        <v>0</v>
      </c>
      <c r="J1402" s="6">
        <v>44601</v>
      </c>
      <c r="K1402" t="str">
        <f t="shared" si="42"/>
        <v>Q1 2022</v>
      </c>
      <c r="L1402" t="str">
        <f t="shared" si="43"/>
        <v>Q1 2022</v>
      </c>
    </row>
    <row r="1403" spans="1:12" ht="15.75" customHeight="1" x14ac:dyDescent="0.3">
      <c r="A1403" s="2" t="s">
        <v>2127</v>
      </c>
      <c r="B1403" s="2" t="s">
        <v>11</v>
      </c>
      <c r="C1403" s="2" t="s">
        <v>12</v>
      </c>
      <c r="D1403" s="2" t="s">
        <v>1618</v>
      </c>
      <c r="E1403" s="2" t="s">
        <v>1052</v>
      </c>
      <c r="F1403" s="2" t="s">
        <v>1161</v>
      </c>
      <c r="G1403" s="4">
        <v>184665</v>
      </c>
      <c r="H1403" s="5" t="s">
        <v>42</v>
      </c>
      <c r="I1403" s="4">
        <v>0</v>
      </c>
      <c r="J1403" s="6">
        <v>44603</v>
      </c>
      <c r="K1403" t="str">
        <f t="shared" si="42"/>
        <v>Q1 2022</v>
      </c>
      <c r="L1403" t="str">
        <f t="shared" si="43"/>
        <v>Q1 2022</v>
      </c>
    </row>
    <row r="1404" spans="1:12" ht="15.75" customHeight="1" x14ac:dyDescent="0.3">
      <c r="A1404" s="2" t="s">
        <v>2128</v>
      </c>
      <c r="B1404" s="2" t="s">
        <v>11</v>
      </c>
      <c r="C1404" s="2" t="s">
        <v>12</v>
      </c>
      <c r="D1404" s="2" t="s">
        <v>1618</v>
      </c>
      <c r="E1404" s="2" t="s">
        <v>1052</v>
      </c>
      <c r="F1404" s="2" t="s">
        <v>2129</v>
      </c>
      <c r="G1404" s="4">
        <v>42980</v>
      </c>
      <c r="H1404" s="5" t="s">
        <v>42</v>
      </c>
      <c r="I1404" s="4">
        <v>0</v>
      </c>
      <c r="J1404" s="6">
        <v>44603</v>
      </c>
      <c r="K1404" t="str">
        <f t="shared" si="42"/>
        <v>Q1 2022</v>
      </c>
      <c r="L1404" t="str">
        <f t="shared" si="43"/>
        <v>Q1 2022</v>
      </c>
    </row>
    <row r="1405" spans="1:12" ht="15.75" customHeight="1" x14ac:dyDescent="0.3">
      <c r="A1405" s="2" t="s">
        <v>2130</v>
      </c>
      <c r="B1405" s="2" t="s">
        <v>11</v>
      </c>
      <c r="C1405" s="2" t="s">
        <v>12</v>
      </c>
      <c r="D1405" s="2" t="s">
        <v>1618</v>
      </c>
      <c r="E1405" s="2" t="s">
        <v>1052</v>
      </c>
      <c r="F1405" s="2" t="s">
        <v>2131</v>
      </c>
      <c r="G1405" s="4">
        <v>149219</v>
      </c>
      <c r="H1405" s="5" t="s">
        <v>39</v>
      </c>
      <c r="I1405" s="4">
        <v>0</v>
      </c>
      <c r="J1405" s="6">
        <v>44603</v>
      </c>
      <c r="K1405" t="str">
        <f t="shared" si="42"/>
        <v>Q1 2022</v>
      </c>
      <c r="L1405" t="str">
        <f t="shared" si="43"/>
        <v>Q1 2022</v>
      </c>
    </row>
    <row r="1406" spans="1:12" ht="15.75" customHeight="1" x14ac:dyDescent="0.3">
      <c r="A1406" s="2" t="s">
        <v>2132</v>
      </c>
      <c r="B1406" s="2" t="s">
        <v>11</v>
      </c>
      <c r="C1406" s="2" t="s">
        <v>12</v>
      </c>
      <c r="D1406" s="2" t="s">
        <v>1618</v>
      </c>
      <c r="E1406" s="2" t="s">
        <v>1052</v>
      </c>
      <c r="F1406" s="2" t="s">
        <v>1738</v>
      </c>
      <c r="G1406" s="4">
        <v>132275</v>
      </c>
      <c r="H1406" s="5" t="s">
        <v>1320</v>
      </c>
      <c r="I1406" s="4">
        <v>0</v>
      </c>
      <c r="J1406" s="6">
        <v>44963</v>
      </c>
      <c r="K1406" t="str">
        <f t="shared" si="42"/>
        <v>Q1 2023</v>
      </c>
      <c r="L1406" t="str">
        <f t="shared" si="43"/>
        <v>Q1 2023</v>
      </c>
    </row>
    <row r="1407" spans="1:12" ht="15.75" customHeight="1" x14ac:dyDescent="0.3">
      <c r="A1407" s="2" t="s">
        <v>2133</v>
      </c>
      <c r="B1407" s="2" t="s">
        <v>11</v>
      </c>
      <c r="C1407" s="2" t="s">
        <v>12</v>
      </c>
      <c r="D1407" s="2" t="s">
        <v>1618</v>
      </c>
      <c r="E1407" s="2" t="s">
        <v>1052</v>
      </c>
      <c r="F1407" s="2" t="s">
        <v>1882</v>
      </c>
      <c r="G1407" s="4">
        <v>146500</v>
      </c>
      <c r="H1407" s="5" t="s">
        <v>728</v>
      </c>
      <c r="I1407" s="4">
        <v>0</v>
      </c>
      <c r="J1407" s="6">
        <v>44600</v>
      </c>
      <c r="K1407" t="str">
        <f t="shared" si="42"/>
        <v>Q1 2022</v>
      </c>
      <c r="L1407" t="str">
        <f t="shared" si="43"/>
        <v>Q1 2022</v>
      </c>
    </row>
    <row r="1408" spans="1:12" ht="15.75" customHeight="1" x14ac:dyDescent="0.3">
      <c r="A1408" s="2" t="s">
        <v>2134</v>
      </c>
      <c r="B1408" s="2" t="s">
        <v>11</v>
      </c>
      <c r="C1408" s="2" t="s">
        <v>12</v>
      </c>
      <c r="D1408" s="2" t="s">
        <v>1618</v>
      </c>
      <c r="E1408" s="2" t="s">
        <v>1052</v>
      </c>
      <c r="F1408" s="2" t="s">
        <v>2135</v>
      </c>
      <c r="G1408" s="4">
        <v>126360</v>
      </c>
      <c r="H1408" s="6">
        <v>44630</v>
      </c>
      <c r="I1408" s="4">
        <v>0</v>
      </c>
      <c r="J1408" s="6">
        <v>44603</v>
      </c>
      <c r="K1408" t="str">
        <f t="shared" si="42"/>
        <v>Q1 2022</v>
      </c>
      <c r="L1408" t="str">
        <f t="shared" si="43"/>
        <v>Q1 2022</v>
      </c>
    </row>
    <row r="1409" spans="1:12" ht="15.75" customHeight="1" x14ac:dyDescent="0.3">
      <c r="A1409" s="2" t="s">
        <v>2136</v>
      </c>
      <c r="B1409" s="2" t="s">
        <v>11</v>
      </c>
      <c r="C1409" s="2" t="s">
        <v>12</v>
      </c>
      <c r="D1409" s="2" t="s">
        <v>1618</v>
      </c>
      <c r="E1409" s="2" t="s">
        <v>1052</v>
      </c>
      <c r="F1409" s="2" t="s">
        <v>2137</v>
      </c>
      <c r="G1409" s="4">
        <v>109475</v>
      </c>
      <c r="H1409" s="5" t="s">
        <v>39</v>
      </c>
      <c r="I1409" s="4">
        <v>0</v>
      </c>
      <c r="J1409" s="6">
        <v>44603</v>
      </c>
      <c r="K1409" t="str">
        <f t="shared" si="42"/>
        <v>Q1 2022</v>
      </c>
      <c r="L1409" t="str">
        <f t="shared" si="43"/>
        <v>Q1 2022</v>
      </c>
    </row>
    <row r="1410" spans="1:12" ht="15.75" customHeight="1" x14ac:dyDescent="0.3">
      <c r="A1410" s="2" t="s">
        <v>2138</v>
      </c>
      <c r="B1410" s="2" t="s">
        <v>11</v>
      </c>
      <c r="C1410" s="2" t="s">
        <v>12</v>
      </c>
      <c r="D1410" s="2" t="s">
        <v>1618</v>
      </c>
      <c r="E1410" s="2" t="s">
        <v>1052</v>
      </c>
      <c r="F1410" s="2" t="s">
        <v>1738</v>
      </c>
      <c r="G1410" s="4">
        <v>130170</v>
      </c>
      <c r="H1410" s="5" t="s">
        <v>192</v>
      </c>
      <c r="I1410" s="4">
        <v>0</v>
      </c>
      <c r="J1410" s="6">
        <v>44595</v>
      </c>
      <c r="K1410" t="str">
        <f t="shared" ref="K1410:K1473" si="44">"Q" &amp; ROUNDUP(MONTH(J:J)/3,0) &amp; " " &amp; YEAR(J:J)</f>
        <v>Q1 2022</v>
      </c>
      <c r="L1410" t="str">
        <f t="shared" ref="L1410:L1473" si="45">"Q" &amp; ROUNDUP(MONTH(J:J)/3,0) &amp; " " &amp; YEAR(J:J)</f>
        <v>Q1 2022</v>
      </c>
    </row>
    <row r="1411" spans="1:12" ht="15.75" customHeight="1" x14ac:dyDescent="0.3">
      <c r="A1411" s="2" t="s">
        <v>2139</v>
      </c>
      <c r="B1411" s="2" t="s">
        <v>11</v>
      </c>
      <c r="C1411" s="2" t="s">
        <v>12</v>
      </c>
      <c r="D1411" s="2" t="s">
        <v>1618</v>
      </c>
      <c r="E1411" s="2" t="s">
        <v>1052</v>
      </c>
      <c r="F1411" s="2" t="s">
        <v>2140</v>
      </c>
      <c r="G1411" s="4">
        <v>139354</v>
      </c>
      <c r="H1411" s="5" t="s">
        <v>232</v>
      </c>
      <c r="I1411" s="4">
        <v>0</v>
      </c>
      <c r="J1411" s="6">
        <v>44594</v>
      </c>
      <c r="K1411" t="str">
        <f t="shared" si="44"/>
        <v>Q1 2022</v>
      </c>
      <c r="L1411" t="str">
        <f t="shared" si="45"/>
        <v>Q1 2022</v>
      </c>
    </row>
    <row r="1412" spans="1:12" ht="15.75" customHeight="1" x14ac:dyDescent="0.3">
      <c r="A1412" s="2" t="s">
        <v>2141</v>
      </c>
      <c r="B1412" s="2" t="s">
        <v>20</v>
      </c>
      <c r="C1412" s="2" t="s">
        <v>21</v>
      </c>
      <c r="D1412" s="2" t="s">
        <v>1618</v>
      </c>
      <c r="E1412" s="2" t="s">
        <v>1052</v>
      </c>
      <c r="F1412" s="2" t="s">
        <v>1093</v>
      </c>
      <c r="G1412" s="4">
        <v>143630</v>
      </c>
      <c r="H1412" s="5" t="s">
        <v>2142</v>
      </c>
      <c r="I1412" s="4">
        <v>71815</v>
      </c>
      <c r="J1412" s="5" t="s">
        <v>397</v>
      </c>
      <c r="K1412" t="str">
        <f t="shared" si="44"/>
        <v>Q1 2022</v>
      </c>
      <c r="L1412" t="str">
        <f t="shared" si="45"/>
        <v>Q1 2022</v>
      </c>
    </row>
    <row r="1413" spans="1:12" ht="15.75" customHeight="1" x14ac:dyDescent="0.3">
      <c r="A1413" s="2" t="s">
        <v>2143</v>
      </c>
      <c r="B1413" s="2" t="s">
        <v>11</v>
      </c>
      <c r="C1413" s="2" t="s">
        <v>12</v>
      </c>
      <c r="D1413" s="2" t="s">
        <v>1618</v>
      </c>
      <c r="E1413" s="2" t="s">
        <v>1052</v>
      </c>
      <c r="F1413" s="2" t="s">
        <v>1725</v>
      </c>
      <c r="G1413" s="4">
        <v>383121</v>
      </c>
      <c r="H1413" s="5" t="s">
        <v>30</v>
      </c>
      <c r="I1413" s="4">
        <v>0</v>
      </c>
      <c r="J1413" s="6">
        <v>44603</v>
      </c>
      <c r="K1413" t="str">
        <f t="shared" si="44"/>
        <v>Q1 2022</v>
      </c>
      <c r="L1413" t="str">
        <f t="shared" si="45"/>
        <v>Q1 2022</v>
      </c>
    </row>
    <row r="1414" spans="1:12" ht="15.75" customHeight="1" x14ac:dyDescent="0.3">
      <c r="A1414" s="2" t="s">
        <v>2144</v>
      </c>
      <c r="B1414" s="2" t="s">
        <v>11</v>
      </c>
      <c r="C1414" s="2" t="s">
        <v>12</v>
      </c>
      <c r="D1414" s="2" t="s">
        <v>1618</v>
      </c>
      <c r="E1414" s="2" t="s">
        <v>1052</v>
      </c>
      <c r="F1414" s="2" t="s">
        <v>1208</v>
      </c>
      <c r="G1414" s="4">
        <v>78686</v>
      </c>
      <c r="H1414" s="6">
        <v>44629</v>
      </c>
      <c r="I1414" s="4">
        <v>0</v>
      </c>
      <c r="J1414" s="6">
        <v>44603</v>
      </c>
      <c r="K1414" t="str">
        <f t="shared" si="44"/>
        <v>Q1 2022</v>
      </c>
      <c r="L1414" t="str">
        <f t="shared" si="45"/>
        <v>Q1 2022</v>
      </c>
    </row>
    <row r="1415" spans="1:12" ht="15.75" customHeight="1" x14ac:dyDescent="0.3">
      <c r="A1415" s="2" t="s">
        <v>2145</v>
      </c>
      <c r="B1415" s="2" t="s">
        <v>20</v>
      </c>
      <c r="C1415" s="2" t="s">
        <v>57</v>
      </c>
      <c r="D1415" s="2" t="s">
        <v>1618</v>
      </c>
      <c r="E1415" s="2" t="s">
        <v>1052</v>
      </c>
      <c r="F1415" s="2" t="s">
        <v>1161</v>
      </c>
      <c r="G1415" s="4">
        <v>85668</v>
      </c>
      <c r="H1415" s="5" t="s">
        <v>2146</v>
      </c>
      <c r="I1415" s="4">
        <v>42834</v>
      </c>
      <c r="J1415" s="6">
        <v>44687</v>
      </c>
      <c r="K1415" t="str">
        <f t="shared" si="44"/>
        <v>Q2 2022</v>
      </c>
      <c r="L1415" t="str">
        <f t="shared" si="45"/>
        <v>Q2 2022</v>
      </c>
    </row>
    <row r="1416" spans="1:12" ht="15.75" customHeight="1" x14ac:dyDescent="0.3">
      <c r="A1416" s="2" t="s">
        <v>2147</v>
      </c>
      <c r="B1416" s="2" t="s">
        <v>11</v>
      </c>
      <c r="C1416" s="2" t="s">
        <v>12</v>
      </c>
      <c r="D1416" s="2" t="s">
        <v>1618</v>
      </c>
      <c r="E1416" s="2" t="s">
        <v>1052</v>
      </c>
      <c r="F1416" s="2" t="s">
        <v>1924</v>
      </c>
      <c r="G1416" s="4">
        <v>114524</v>
      </c>
      <c r="H1416" s="6">
        <v>44629</v>
      </c>
      <c r="I1416" s="4">
        <v>0</v>
      </c>
      <c r="J1416" s="6">
        <v>44603</v>
      </c>
      <c r="K1416" t="str">
        <f t="shared" si="44"/>
        <v>Q1 2022</v>
      </c>
      <c r="L1416" t="str">
        <f t="shared" si="45"/>
        <v>Q1 2022</v>
      </c>
    </row>
    <row r="1417" spans="1:12" ht="15.75" customHeight="1" x14ac:dyDescent="0.3">
      <c r="A1417" s="2" t="s">
        <v>2148</v>
      </c>
      <c r="B1417" s="2" t="s">
        <v>11</v>
      </c>
      <c r="C1417" s="2" t="s">
        <v>12</v>
      </c>
      <c r="D1417" s="2" t="s">
        <v>1618</v>
      </c>
      <c r="E1417" s="2" t="s">
        <v>1052</v>
      </c>
      <c r="F1417" s="2" t="s">
        <v>1093</v>
      </c>
      <c r="G1417" s="4">
        <v>126095</v>
      </c>
      <c r="H1417" s="6">
        <v>44621</v>
      </c>
      <c r="I1417" s="4">
        <v>0</v>
      </c>
      <c r="J1417" s="6">
        <v>44594</v>
      </c>
      <c r="K1417" t="str">
        <f t="shared" si="44"/>
        <v>Q1 2022</v>
      </c>
      <c r="L1417" t="str">
        <f t="shared" si="45"/>
        <v>Q1 2022</v>
      </c>
    </row>
    <row r="1418" spans="1:12" ht="15.75" customHeight="1" x14ac:dyDescent="0.3">
      <c r="A1418" s="2" t="s">
        <v>2149</v>
      </c>
      <c r="B1418" s="2" t="s">
        <v>11</v>
      </c>
      <c r="C1418" s="2" t="s">
        <v>12</v>
      </c>
      <c r="D1418" s="2" t="s">
        <v>1618</v>
      </c>
      <c r="E1418" s="2" t="s">
        <v>1052</v>
      </c>
      <c r="F1418" s="2" t="s">
        <v>1200</v>
      </c>
      <c r="G1418" s="4">
        <v>28516</v>
      </c>
      <c r="H1418" s="5" t="s">
        <v>314</v>
      </c>
      <c r="I1418" s="4">
        <v>0</v>
      </c>
      <c r="J1418" s="6">
        <v>44961</v>
      </c>
      <c r="K1418" t="str">
        <f t="shared" si="44"/>
        <v>Q1 2023</v>
      </c>
      <c r="L1418" t="str">
        <f t="shared" si="45"/>
        <v>Q1 2023</v>
      </c>
    </row>
    <row r="1419" spans="1:12" ht="15.75" customHeight="1" x14ac:dyDescent="0.3">
      <c r="A1419" s="2" t="s">
        <v>2150</v>
      </c>
      <c r="B1419" s="2" t="s">
        <v>11</v>
      </c>
      <c r="C1419" s="2" t="s">
        <v>12</v>
      </c>
      <c r="D1419" s="2" t="s">
        <v>1618</v>
      </c>
      <c r="E1419" s="2" t="s">
        <v>1052</v>
      </c>
      <c r="F1419" s="2" t="s">
        <v>1753</v>
      </c>
      <c r="G1419" s="4">
        <v>218565</v>
      </c>
      <c r="H1419" s="6">
        <v>44630</v>
      </c>
      <c r="I1419" s="4">
        <v>0</v>
      </c>
      <c r="J1419" s="6">
        <v>44603</v>
      </c>
      <c r="K1419" t="str">
        <f t="shared" si="44"/>
        <v>Q1 2022</v>
      </c>
      <c r="L1419" t="str">
        <f t="shared" si="45"/>
        <v>Q1 2022</v>
      </c>
    </row>
    <row r="1420" spans="1:12" ht="15.75" customHeight="1" x14ac:dyDescent="0.3">
      <c r="A1420" s="2" t="s">
        <v>2151</v>
      </c>
      <c r="B1420" s="2" t="s">
        <v>11</v>
      </c>
      <c r="C1420" s="2" t="s">
        <v>12</v>
      </c>
      <c r="D1420" s="2" t="s">
        <v>1618</v>
      </c>
      <c r="E1420" s="2" t="s">
        <v>1052</v>
      </c>
      <c r="F1420" s="2" t="s">
        <v>2152</v>
      </c>
      <c r="G1420" s="4">
        <v>118900</v>
      </c>
      <c r="H1420" s="5" t="s">
        <v>25</v>
      </c>
      <c r="I1420" s="4">
        <v>0</v>
      </c>
      <c r="J1420" s="6">
        <v>44603</v>
      </c>
      <c r="K1420" t="str">
        <f t="shared" si="44"/>
        <v>Q1 2022</v>
      </c>
      <c r="L1420" t="str">
        <f t="shared" si="45"/>
        <v>Q1 2022</v>
      </c>
    </row>
    <row r="1421" spans="1:12" ht="15.75" customHeight="1" x14ac:dyDescent="0.3">
      <c r="A1421" s="2" t="s">
        <v>2153</v>
      </c>
      <c r="B1421" s="2" t="s">
        <v>11</v>
      </c>
      <c r="C1421" s="2" t="s">
        <v>12</v>
      </c>
      <c r="D1421" s="2" t="s">
        <v>1618</v>
      </c>
      <c r="E1421" s="2" t="s">
        <v>1075</v>
      </c>
      <c r="F1421" s="2" t="s">
        <v>46</v>
      </c>
      <c r="G1421" s="4">
        <v>172647</v>
      </c>
      <c r="H1421" s="6">
        <v>44598</v>
      </c>
      <c r="I1421" s="4">
        <v>0</v>
      </c>
      <c r="J1421" s="6">
        <v>44599</v>
      </c>
      <c r="K1421" t="str">
        <f t="shared" si="44"/>
        <v>Q1 2022</v>
      </c>
      <c r="L1421" t="str">
        <f t="shared" si="45"/>
        <v>Q1 2022</v>
      </c>
    </row>
    <row r="1422" spans="1:12" ht="15.75" customHeight="1" x14ac:dyDescent="0.3">
      <c r="A1422" s="2" t="s">
        <v>2154</v>
      </c>
      <c r="B1422" s="2" t="s">
        <v>11</v>
      </c>
      <c r="C1422" s="2" t="s">
        <v>12</v>
      </c>
      <c r="D1422" s="2" t="s">
        <v>1618</v>
      </c>
      <c r="E1422" s="2" t="s">
        <v>1052</v>
      </c>
      <c r="F1422" s="2" t="s">
        <v>2155</v>
      </c>
      <c r="G1422" s="4">
        <v>103753</v>
      </c>
      <c r="H1422" s="6">
        <v>44630</v>
      </c>
      <c r="I1422" s="4">
        <v>0</v>
      </c>
      <c r="J1422" s="6">
        <v>44603</v>
      </c>
      <c r="K1422" t="str">
        <f t="shared" si="44"/>
        <v>Q1 2022</v>
      </c>
      <c r="L1422" t="str">
        <f t="shared" si="45"/>
        <v>Q1 2022</v>
      </c>
    </row>
    <row r="1423" spans="1:12" ht="15.75" customHeight="1" x14ac:dyDescent="0.3">
      <c r="A1423" s="2" t="s">
        <v>2156</v>
      </c>
      <c r="B1423" s="2" t="s">
        <v>11</v>
      </c>
      <c r="C1423" s="2" t="s">
        <v>12</v>
      </c>
      <c r="D1423" s="2" t="s">
        <v>1618</v>
      </c>
      <c r="E1423" s="2" t="s">
        <v>1052</v>
      </c>
      <c r="F1423" s="2" t="s">
        <v>2157</v>
      </c>
      <c r="G1423" s="4">
        <v>122275</v>
      </c>
      <c r="H1423" s="5" t="s">
        <v>355</v>
      </c>
      <c r="I1423" s="4">
        <v>0</v>
      </c>
      <c r="J1423" s="6">
        <v>44205</v>
      </c>
      <c r="K1423" t="str">
        <f t="shared" si="44"/>
        <v>Q1 2021</v>
      </c>
      <c r="L1423" t="str">
        <f t="shared" si="45"/>
        <v>Q1 2021</v>
      </c>
    </row>
    <row r="1424" spans="1:12" ht="15.75" customHeight="1" x14ac:dyDescent="0.3">
      <c r="A1424" s="2" t="s">
        <v>2158</v>
      </c>
      <c r="B1424" s="2" t="s">
        <v>11</v>
      </c>
      <c r="C1424" s="2" t="s">
        <v>12</v>
      </c>
      <c r="D1424" s="2" t="s">
        <v>1618</v>
      </c>
      <c r="E1424" s="2" t="s">
        <v>1075</v>
      </c>
      <c r="F1424" s="2" t="s">
        <v>1811</v>
      </c>
      <c r="G1424" s="4">
        <v>144595</v>
      </c>
      <c r="H1424" s="5" t="s">
        <v>42</v>
      </c>
      <c r="I1424" s="4">
        <v>0</v>
      </c>
      <c r="J1424" s="6">
        <v>44603</v>
      </c>
      <c r="K1424" t="str">
        <f t="shared" si="44"/>
        <v>Q1 2022</v>
      </c>
      <c r="L1424" t="str">
        <f t="shared" si="45"/>
        <v>Q1 2022</v>
      </c>
    </row>
    <row r="1425" spans="1:12" ht="15.75" customHeight="1" x14ac:dyDescent="0.3">
      <c r="A1425" s="2" t="s">
        <v>2159</v>
      </c>
      <c r="B1425" s="2" t="s">
        <v>11</v>
      </c>
      <c r="C1425" s="2" t="s">
        <v>12</v>
      </c>
      <c r="D1425" s="2" t="s">
        <v>1618</v>
      </c>
      <c r="E1425" s="2" t="s">
        <v>1052</v>
      </c>
      <c r="F1425" s="2" t="s">
        <v>2160</v>
      </c>
      <c r="G1425" s="4">
        <v>143620</v>
      </c>
      <c r="H1425" s="5" t="s">
        <v>42</v>
      </c>
      <c r="I1425" s="4">
        <v>0</v>
      </c>
      <c r="J1425" s="6">
        <v>44603</v>
      </c>
      <c r="K1425" t="str">
        <f t="shared" si="44"/>
        <v>Q1 2022</v>
      </c>
      <c r="L1425" t="str">
        <f t="shared" si="45"/>
        <v>Q1 2022</v>
      </c>
    </row>
    <row r="1426" spans="1:12" ht="15.75" customHeight="1" x14ac:dyDescent="0.3">
      <c r="A1426" s="2" t="s">
        <v>2161</v>
      </c>
      <c r="B1426" s="2" t="s">
        <v>11</v>
      </c>
      <c r="C1426" s="2" t="s">
        <v>12</v>
      </c>
      <c r="D1426" s="2" t="s">
        <v>1618</v>
      </c>
      <c r="E1426" s="2" t="s">
        <v>1052</v>
      </c>
      <c r="F1426" s="2" t="s">
        <v>46</v>
      </c>
      <c r="G1426" s="2"/>
      <c r="H1426" s="5" t="s">
        <v>123</v>
      </c>
      <c r="I1426" s="4">
        <v>0</v>
      </c>
      <c r="J1426" s="6">
        <v>44594</v>
      </c>
      <c r="K1426" t="str">
        <f t="shared" si="44"/>
        <v>Q1 2022</v>
      </c>
      <c r="L1426" t="str">
        <f t="shared" si="45"/>
        <v>Q1 2022</v>
      </c>
    </row>
    <row r="1427" spans="1:12" ht="15.75" customHeight="1" x14ac:dyDescent="0.3">
      <c r="A1427" s="2" t="s">
        <v>2162</v>
      </c>
      <c r="B1427" s="2" t="s">
        <v>11</v>
      </c>
      <c r="C1427" s="2" t="s">
        <v>12</v>
      </c>
      <c r="D1427" s="2" t="s">
        <v>1618</v>
      </c>
      <c r="E1427" s="2" t="s">
        <v>1052</v>
      </c>
      <c r="F1427" s="2" t="s">
        <v>2163</v>
      </c>
      <c r="G1427" s="4">
        <v>86471</v>
      </c>
      <c r="H1427" s="5" t="s">
        <v>39</v>
      </c>
      <c r="I1427" s="4">
        <v>0</v>
      </c>
      <c r="J1427" s="6">
        <v>44603</v>
      </c>
      <c r="K1427" t="str">
        <f t="shared" si="44"/>
        <v>Q1 2022</v>
      </c>
      <c r="L1427" t="str">
        <f t="shared" si="45"/>
        <v>Q1 2022</v>
      </c>
    </row>
    <row r="1428" spans="1:12" ht="15.75" customHeight="1" x14ac:dyDescent="0.3">
      <c r="A1428" s="2" t="s">
        <v>2164</v>
      </c>
      <c r="B1428" s="2" t="s">
        <v>11</v>
      </c>
      <c r="C1428" s="2" t="s">
        <v>12</v>
      </c>
      <c r="D1428" s="2" t="s">
        <v>1618</v>
      </c>
      <c r="E1428" s="2" t="s">
        <v>1052</v>
      </c>
      <c r="F1428" s="2" t="s">
        <v>2165</v>
      </c>
      <c r="G1428" s="4">
        <v>189466</v>
      </c>
      <c r="H1428" s="5" t="s">
        <v>71</v>
      </c>
      <c r="I1428" s="4">
        <v>0</v>
      </c>
      <c r="J1428" s="6">
        <v>44603</v>
      </c>
      <c r="K1428" t="str">
        <f t="shared" si="44"/>
        <v>Q1 2022</v>
      </c>
      <c r="L1428" t="str">
        <f t="shared" si="45"/>
        <v>Q1 2022</v>
      </c>
    </row>
    <row r="1429" spans="1:12" ht="15.75" customHeight="1" x14ac:dyDescent="0.3">
      <c r="A1429" s="2" t="s">
        <v>2166</v>
      </c>
      <c r="B1429" s="2" t="s">
        <v>11</v>
      </c>
      <c r="C1429" s="2" t="s">
        <v>12</v>
      </c>
      <c r="D1429" s="2" t="s">
        <v>1618</v>
      </c>
      <c r="E1429" s="2" t="s">
        <v>1052</v>
      </c>
      <c r="F1429" s="2" t="s">
        <v>2167</v>
      </c>
      <c r="G1429" s="4">
        <v>311127</v>
      </c>
      <c r="H1429" s="6">
        <v>44836</v>
      </c>
      <c r="I1429" s="4">
        <v>0</v>
      </c>
      <c r="J1429" s="6">
        <v>44595</v>
      </c>
      <c r="K1429" t="str">
        <f t="shared" si="44"/>
        <v>Q1 2022</v>
      </c>
      <c r="L1429" t="str">
        <f t="shared" si="45"/>
        <v>Q1 2022</v>
      </c>
    </row>
    <row r="1430" spans="1:12" ht="15.75" customHeight="1" x14ac:dyDescent="0.3">
      <c r="A1430" s="2" t="s">
        <v>2168</v>
      </c>
      <c r="B1430" s="2" t="s">
        <v>11</v>
      </c>
      <c r="C1430" s="2" t="s">
        <v>12</v>
      </c>
      <c r="D1430" s="2" t="s">
        <v>1618</v>
      </c>
      <c r="E1430" s="2" t="s">
        <v>1052</v>
      </c>
      <c r="F1430" s="2" t="s">
        <v>1208</v>
      </c>
      <c r="G1430" s="4">
        <v>72195</v>
      </c>
      <c r="H1430" s="5" t="s">
        <v>30</v>
      </c>
      <c r="I1430" s="4">
        <v>0</v>
      </c>
      <c r="J1430" s="6">
        <v>44603</v>
      </c>
      <c r="K1430" t="str">
        <f t="shared" si="44"/>
        <v>Q1 2022</v>
      </c>
      <c r="L1430" t="str">
        <f t="shared" si="45"/>
        <v>Q1 2022</v>
      </c>
    </row>
    <row r="1431" spans="1:12" ht="15.75" customHeight="1" x14ac:dyDescent="0.3">
      <c r="A1431" s="2" t="s">
        <v>2169</v>
      </c>
      <c r="B1431" s="2" t="s">
        <v>11</v>
      </c>
      <c r="C1431" s="2" t="s">
        <v>12</v>
      </c>
      <c r="D1431" s="2" t="s">
        <v>1618</v>
      </c>
      <c r="E1431" s="2" t="s">
        <v>1052</v>
      </c>
      <c r="F1431" s="2" t="s">
        <v>1972</v>
      </c>
      <c r="G1431" s="4">
        <v>87983</v>
      </c>
      <c r="H1431" s="5" t="s">
        <v>463</v>
      </c>
      <c r="I1431" s="4">
        <v>0</v>
      </c>
      <c r="J1431" s="6">
        <v>44598</v>
      </c>
      <c r="K1431" t="str">
        <f t="shared" si="44"/>
        <v>Q1 2022</v>
      </c>
      <c r="L1431" t="str">
        <f t="shared" si="45"/>
        <v>Q1 2022</v>
      </c>
    </row>
    <row r="1432" spans="1:12" ht="15.75" customHeight="1" x14ac:dyDescent="0.3">
      <c r="A1432" s="2" t="s">
        <v>2170</v>
      </c>
      <c r="B1432" s="2" t="s">
        <v>11</v>
      </c>
      <c r="C1432" s="2" t="s">
        <v>12</v>
      </c>
      <c r="D1432" s="2" t="s">
        <v>1618</v>
      </c>
      <c r="E1432" s="2" t="s">
        <v>1052</v>
      </c>
      <c r="F1432" s="2" t="s">
        <v>2171</v>
      </c>
      <c r="G1432" s="4">
        <v>153536</v>
      </c>
      <c r="H1432" s="5" t="s">
        <v>314</v>
      </c>
      <c r="I1432" s="4">
        <v>0</v>
      </c>
      <c r="J1432" s="6">
        <v>44962</v>
      </c>
      <c r="K1432" t="str">
        <f t="shared" si="44"/>
        <v>Q1 2023</v>
      </c>
      <c r="L1432" t="str">
        <f t="shared" si="45"/>
        <v>Q1 2023</v>
      </c>
    </row>
    <row r="1433" spans="1:12" ht="15.75" customHeight="1" x14ac:dyDescent="0.3">
      <c r="A1433" s="2" t="s">
        <v>2172</v>
      </c>
      <c r="B1433" s="2" t="s">
        <v>11</v>
      </c>
      <c r="C1433" s="2" t="s">
        <v>12</v>
      </c>
      <c r="D1433" s="2" t="s">
        <v>1618</v>
      </c>
      <c r="E1433" s="2" t="s">
        <v>1075</v>
      </c>
      <c r="F1433" s="2" t="s">
        <v>1678</v>
      </c>
      <c r="G1433" s="4">
        <v>100504</v>
      </c>
      <c r="H1433" s="5" t="s">
        <v>333</v>
      </c>
      <c r="I1433" s="4">
        <v>0</v>
      </c>
      <c r="J1433" s="6">
        <v>44599</v>
      </c>
      <c r="K1433" t="str">
        <f t="shared" si="44"/>
        <v>Q1 2022</v>
      </c>
      <c r="L1433" t="str">
        <f t="shared" si="45"/>
        <v>Q1 2022</v>
      </c>
    </row>
    <row r="1434" spans="1:12" ht="15.75" customHeight="1" x14ac:dyDescent="0.3">
      <c r="A1434" s="2" t="s">
        <v>2173</v>
      </c>
      <c r="B1434" s="2" t="s">
        <v>20</v>
      </c>
      <c r="C1434" s="2" t="s">
        <v>12</v>
      </c>
      <c r="D1434" s="2" t="s">
        <v>1618</v>
      </c>
      <c r="E1434" s="2" t="s">
        <v>1052</v>
      </c>
      <c r="F1434" s="2" t="s">
        <v>2174</v>
      </c>
      <c r="G1434" s="4">
        <v>143789</v>
      </c>
      <c r="H1434" s="5" t="s">
        <v>1555</v>
      </c>
      <c r="I1434" s="8">
        <v>71894</v>
      </c>
      <c r="J1434" s="5" t="s">
        <v>210</v>
      </c>
      <c r="K1434" t="str">
        <f t="shared" si="44"/>
        <v>Q4 2022</v>
      </c>
      <c r="L1434" t="str">
        <f t="shared" si="45"/>
        <v>Q4 2022</v>
      </c>
    </row>
    <row r="1435" spans="1:12" ht="15.75" customHeight="1" x14ac:dyDescent="0.3">
      <c r="A1435" s="2" t="s">
        <v>2175</v>
      </c>
      <c r="B1435" s="2" t="s">
        <v>11</v>
      </c>
      <c r="C1435" s="2" t="s">
        <v>12</v>
      </c>
      <c r="D1435" s="2" t="s">
        <v>1618</v>
      </c>
      <c r="E1435" s="2" t="s">
        <v>1052</v>
      </c>
      <c r="F1435" s="2" t="s">
        <v>2176</v>
      </c>
      <c r="G1435" s="4">
        <v>101425</v>
      </c>
      <c r="H1435" s="5" t="s">
        <v>314</v>
      </c>
      <c r="I1435" s="4">
        <v>0</v>
      </c>
      <c r="J1435" s="6">
        <v>44962</v>
      </c>
      <c r="K1435" t="str">
        <f t="shared" si="44"/>
        <v>Q1 2023</v>
      </c>
      <c r="L1435" t="str">
        <f t="shared" si="45"/>
        <v>Q1 2023</v>
      </c>
    </row>
    <row r="1436" spans="1:12" ht="15.75" customHeight="1" x14ac:dyDescent="0.3">
      <c r="A1436" s="2" t="s">
        <v>2177</v>
      </c>
      <c r="B1436" s="2" t="s">
        <v>11</v>
      </c>
      <c r="C1436" s="2" t="s">
        <v>12</v>
      </c>
      <c r="D1436" s="2" t="s">
        <v>1618</v>
      </c>
      <c r="E1436" s="2" t="s">
        <v>1052</v>
      </c>
      <c r="F1436" s="2" t="s">
        <v>2178</v>
      </c>
      <c r="G1436" s="4">
        <v>288868</v>
      </c>
      <c r="H1436" s="5" t="s">
        <v>42</v>
      </c>
      <c r="I1436" s="4">
        <v>0</v>
      </c>
      <c r="J1436" s="6">
        <v>44603</v>
      </c>
      <c r="K1436" t="str">
        <f t="shared" si="44"/>
        <v>Q1 2022</v>
      </c>
      <c r="L1436" t="str">
        <f t="shared" si="45"/>
        <v>Q1 2022</v>
      </c>
    </row>
    <row r="1437" spans="1:12" ht="15.75" customHeight="1" x14ac:dyDescent="0.3">
      <c r="A1437" s="2" t="s">
        <v>2179</v>
      </c>
      <c r="B1437" s="2" t="s">
        <v>11</v>
      </c>
      <c r="C1437" s="2" t="s">
        <v>12</v>
      </c>
      <c r="D1437" s="2" t="s">
        <v>1618</v>
      </c>
      <c r="E1437" s="2" t="s">
        <v>1052</v>
      </c>
      <c r="F1437" s="2" t="s">
        <v>2180</v>
      </c>
      <c r="G1437" s="4">
        <v>74394</v>
      </c>
      <c r="H1437" s="5" t="s">
        <v>82</v>
      </c>
      <c r="I1437" s="4">
        <v>0</v>
      </c>
      <c r="J1437" s="6">
        <v>44596</v>
      </c>
      <c r="K1437" t="str">
        <f t="shared" si="44"/>
        <v>Q1 2022</v>
      </c>
      <c r="L1437" t="str">
        <f t="shared" si="45"/>
        <v>Q1 2022</v>
      </c>
    </row>
    <row r="1438" spans="1:12" ht="15.75" customHeight="1" x14ac:dyDescent="0.3">
      <c r="A1438" s="2" t="s">
        <v>2181</v>
      </c>
      <c r="B1438" s="2" t="s">
        <v>11</v>
      </c>
      <c r="C1438" s="2" t="s">
        <v>12</v>
      </c>
      <c r="D1438" s="2" t="s">
        <v>1618</v>
      </c>
      <c r="E1438" s="2" t="s">
        <v>1052</v>
      </c>
      <c r="F1438" s="2" t="s">
        <v>1093</v>
      </c>
      <c r="G1438" s="4">
        <v>105714</v>
      </c>
      <c r="H1438" s="5" t="s">
        <v>42</v>
      </c>
      <c r="I1438" s="4">
        <v>0</v>
      </c>
      <c r="J1438" s="6">
        <v>44603</v>
      </c>
      <c r="K1438" t="str">
        <f t="shared" si="44"/>
        <v>Q1 2022</v>
      </c>
      <c r="L1438" t="str">
        <f t="shared" si="45"/>
        <v>Q1 2022</v>
      </c>
    </row>
    <row r="1439" spans="1:12" ht="15.75" customHeight="1" x14ac:dyDescent="0.3">
      <c r="A1439" s="2" t="s">
        <v>2182</v>
      </c>
      <c r="B1439" s="2" t="s">
        <v>11</v>
      </c>
      <c r="C1439" s="2" t="s">
        <v>12</v>
      </c>
      <c r="D1439" s="2" t="s">
        <v>1618</v>
      </c>
      <c r="E1439" s="2" t="s">
        <v>1075</v>
      </c>
      <c r="F1439" s="2" t="s">
        <v>46</v>
      </c>
      <c r="G1439" s="4">
        <v>209804</v>
      </c>
      <c r="H1439" s="6">
        <v>44904</v>
      </c>
      <c r="I1439" s="4">
        <v>0</v>
      </c>
      <c r="J1439" s="6">
        <v>44602</v>
      </c>
      <c r="K1439" t="str">
        <f t="shared" si="44"/>
        <v>Q1 2022</v>
      </c>
      <c r="L1439" t="str">
        <f t="shared" si="45"/>
        <v>Q1 2022</v>
      </c>
    </row>
    <row r="1440" spans="1:12" ht="15.75" customHeight="1" x14ac:dyDescent="0.3">
      <c r="A1440" s="2" t="s">
        <v>2183</v>
      </c>
      <c r="B1440" s="2" t="s">
        <v>11</v>
      </c>
      <c r="C1440" s="2" t="s">
        <v>12</v>
      </c>
      <c r="D1440" s="2" t="s">
        <v>1618</v>
      </c>
      <c r="E1440" s="2" t="s">
        <v>1052</v>
      </c>
      <c r="F1440" s="2" t="s">
        <v>1738</v>
      </c>
      <c r="G1440" s="4">
        <v>104785</v>
      </c>
      <c r="H1440" s="5" t="s">
        <v>39</v>
      </c>
      <c r="I1440" s="4">
        <v>0</v>
      </c>
      <c r="J1440" s="6">
        <v>44603</v>
      </c>
      <c r="K1440" t="str">
        <f t="shared" si="44"/>
        <v>Q1 2022</v>
      </c>
      <c r="L1440" t="str">
        <f t="shared" si="45"/>
        <v>Q1 2022</v>
      </c>
    </row>
    <row r="1441" spans="1:12" ht="15.75" customHeight="1" x14ac:dyDescent="0.3">
      <c r="A1441" s="2" t="s">
        <v>2184</v>
      </c>
      <c r="B1441" s="2" t="s">
        <v>11</v>
      </c>
      <c r="C1441" s="2" t="s">
        <v>12</v>
      </c>
      <c r="D1441" s="2" t="s">
        <v>1618</v>
      </c>
      <c r="E1441" s="2" t="s">
        <v>1052</v>
      </c>
      <c r="F1441" s="2" t="s">
        <v>1924</v>
      </c>
      <c r="G1441" s="4">
        <v>353362</v>
      </c>
      <c r="H1441" s="6">
        <v>44629</v>
      </c>
      <c r="I1441" s="4">
        <v>0</v>
      </c>
      <c r="J1441" s="6">
        <v>44603</v>
      </c>
      <c r="K1441" t="str">
        <f t="shared" si="44"/>
        <v>Q1 2022</v>
      </c>
      <c r="L1441" t="str">
        <f t="shared" si="45"/>
        <v>Q1 2022</v>
      </c>
    </row>
    <row r="1442" spans="1:12" ht="15.75" customHeight="1" x14ac:dyDescent="0.3">
      <c r="A1442" s="2" t="s">
        <v>2185</v>
      </c>
      <c r="B1442" s="2" t="s">
        <v>11</v>
      </c>
      <c r="C1442" s="2" t="s">
        <v>12</v>
      </c>
      <c r="D1442" s="2" t="s">
        <v>1618</v>
      </c>
      <c r="E1442" s="2" t="s">
        <v>1052</v>
      </c>
      <c r="F1442" s="2" t="s">
        <v>2186</v>
      </c>
      <c r="G1442" s="4">
        <v>182024</v>
      </c>
      <c r="H1442" s="6">
        <v>44630</v>
      </c>
      <c r="I1442" s="4">
        <v>0</v>
      </c>
      <c r="J1442" s="6">
        <v>44603</v>
      </c>
      <c r="K1442" t="str">
        <f t="shared" si="44"/>
        <v>Q1 2022</v>
      </c>
      <c r="L1442" t="str">
        <f t="shared" si="45"/>
        <v>Q1 2022</v>
      </c>
    </row>
    <row r="1443" spans="1:12" ht="15.75" customHeight="1" x14ac:dyDescent="0.3">
      <c r="A1443" s="2" t="s">
        <v>2187</v>
      </c>
      <c r="B1443" s="2" t="s">
        <v>11</v>
      </c>
      <c r="C1443" s="2" t="s">
        <v>12</v>
      </c>
      <c r="D1443" s="2" t="s">
        <v>1618</v>
      </c>
      <c r="E1443" s="2" t="s">
        <v>1052</v>
      </c>
      <c r="F1443" s="2" t="s">
        <v>2188</v>
      </c>
      <c r="G1443" s="4">
        <v>246074</v>
      </c>
      <c r="H1443" s="5" t="s">
        <v>2189</v>
      </c>
      <c r="I1443" s="4">
        <v>0</v>
      </c>
      <c r="J1443" s="6">
        <v>44958</v>
      </c>
      <c r="K1443" t="str">
        <f t="shared" si="44"/>
        <v>Q1 2023</v>
      </c>
      <c r="L1443" t="str">
        <f t="shared" si="45"/>
        <v>Q1 2023</v>
      </c>
    </row>
    <row r="1444" spans="1:12" ht="15.75" customHeight="1" x14ac:dyDescent="0.3">
      <c r="A1444" s="2" t="s">
        <v>2190</v>
      </c>
      <c r="B1444" s="2" t="s">
        <v>11</v>
      </c>
      <c r="C1444" s="2" t="s">
        <v>12</v>
      </c>
      <c r="D1444" s="2" t="s">
        <v>1618</v>
      </c>
      <c r="E1444" s="2" t="s">
        <v>1052</v>
      </c>
      <c r="F1444" s="2" t="s">
        <v>2121</v>
      </c>
      <c r="G1444" s="4">
        <v>202454</v>
      </c>
      <c r="H1444" s="5" t="s">
        <v>42</v>
      </c>
      <c r="I1444" s="4">
        <v>0</v>
      </c>
      <c r="J1444" s="6">
        <v>44603</v>
      </c>
      <c r="K1444" t="str">
        <f t="shared" si="44"/>
        <v>Q1 2022</v>
      </c>
      <c r="L1444" t="str">
        <f t="shared" si="45"/>
        <v>Q1 2022</v>
      </c>
    </row>
    <row r="1445" spans="1:12" ht="15.75" customHeight="1" x14ac:dyDescent="0.3">
      <c r="A1445" s="2" t="s">
        <v>2191</v>
      </c>
      <c r="B1445" s="2" t="s">
        <v>11</v>
      </c>
      <c r="C1445" s="2" t="s">
        <v>12</v>
      </c>
      <c r="D1445" s="2" t="s">
        <v>1618</v>
      </c>
      <c r="E1445" s="2" t="s">
        <v>1075</v>
      </c>
      <c r="F1445" s="2" t="s">
        <v>46</v>
      </c>
      <c r="G1445" s="4">
        <v>118499</v>
      </c>
      <c r="H1445" s="6">
        <v>44629</v>
      </c>
      <c r="I1445" s="4">
        <v>0</v>
      </c>
      <c r="J1445" s="6">
        <v>44603</v>
      </c>
      <c r="K1445" t="str">
        <f t="shared" si="44"/>
        <v>Q1 2022</v>
      </c>
      <c r="L1445" t="str">
        <f t="shared" si="45"/>
        <v>Q1 2022</v>
      </c>
    </row>
    <row r="1446" spans="1:12" ht="15.75" customHeight="1" x14ac:dyDescent="0.3">
      <c r="A1446" s="2" t="s">
        <v>2192</v>
      </c>
      <c r="B1446" s="2" t="s">
        <v>11</v>
      </c>
      <c r="C1446" s="2" t="s">
        <v>12</v>
      </c>
      <c r="D1446" s="2" t="s">
        <v>1618</v>
      </c>
      <c r="E1446" s="2" t="s">
        <v>1052</v>
      </c>
      <c r="F1446" s="2" t="s">
        <v>1673</v>
      </c>
      <c r="G1446" s="4">
        <v>124768</v>
      </c>
      <c r="H1446" s="5" t="s">
        <v>42</v>
      </c>
      <c r="I1446" s="4">
        <v>0</v>
      </c>
      <c r="J1446" s="6">
        <v>44603</v>
      </c>
      <c r="K1446" t="str">
        <f t="shared" si="44"/>
        <v>Q1 2022</v>
      </c>
      <c r="L1446" t="str">
        <f t="shared" si="45"/>
        <v>Q1 2022</v>
      </c>
    </row>
    <row r="1447" spans="1:12" ht="15.75" customHeight="1" x14ac:dyDescent="0.3">
      <c r="A1447" s="2" t="s">
        <v>2193</v>
      </c>
      <c r="B1447" s="2" t="s">
        <v>11</v>
      </c>
      <c r="C1447" s="2" t="s">
        <v>12</v>
      </c>
      <c r="D1447" s="2" t="s">
        <v>1618</v>
      </c>
      <c r="E1447" s="2" t="s">
        <v>1052</v>
      </c>
      <c r="F1447" s="2" t="s">
        <v>46</v>
      </c>
      <c r="G1447" s="4">
        <v>330450</v>
      </c>
      <c r="H1447" s="5" t="s">
        <v>71</v>
      </c>
      <c r="I1447" s="4">
        <v>0</v>
      </c>
      <c r="J1447" s="6">
        <v>44603</v>
      </c>
      <c r="K1447" t="str">
        <f t="shared" si="44"/>
        <v>Q1 2022</v>
      </c>
      <c r="L1447" t="str">
        <f t="shared" si="45"/>
        <v>Q1 2022</v>
      </c>
    </row>
    <row r="1448" spans="1:12" ht="15.75" customHeight="1" x14ac:dyDescent="0.3">
      <c r="A1448" s="2" t="s">
        <v>2194</v>
      </c>
      <c r="B1448" s="2" t="s">
        <v>11</v>
      </c>
      <c r="C1448" s="2" t="s">
        <v>12</v>
      </c>
      <c r="D1448" s="2" t="s">
        <v>1618</v>
      </c>
      <c r="E1448" s="2" t="s">
        <v>1052</v>
      </c>
      <c r="F1448" s="2" t="s">
        <v>2195</v>
      </c>
      <c r="G1448" s="4">
        <v>39036</v>
      </c>
      <c r="H1448" s="5" t="s">
        <v>171</v>
      </c>
      <c r="I1448" s="4">
        <v>0</v>
      </c>
      <c r="J1448" s="6">
        <v>44959</v>
      </c>
      <c r="K1448" t="str">
        <f t="shared" si="44"/>
        <v>Q1 2023</v>
      </c>
      <c r="L1448" t="str">
        <f t="shared" si="45"/>
        <v>Q1 2023</v>
      </c>
    </row>
    <row r="1449" spans="1:12" ht="15.75" customHeight="1" x14ac:dyDescent="0.3">
      <c r="A1449" s="2" t="s">
        <v>2196</v>
      </c>
      <c r="B1449" s="2" t="s">
        <v>11</v>
      </c>
      <c r="C1449" s="2" t="s">
        <v>12</v>
      </c>
      <c r="D1449" s="2" t="s">
        <v>1618</v>
      </c>
      <c r="E1449" s="2" t="s">
        <v>1072</v>
      </c>
      <c r="F1449" s="2" t="s">
        <v>1597</v>
      </c>
      <c r="G1449" s="4">
        <v>56381</v>
      </c>
      <c r="H1449" s="5" t="s">
        <v>123</v>
      </c>
      <c r="I1449" s="4">
        <v>0</v>
      </c>
      <c r="J1449" s="6">
        <v>44594</v>
      </c>
      <c r="K1449" t="str">
        <f t="shared" si="44"/>
        <v>Q1 2022</v>
      </c>
      <c r="L1449" t="str">
        <f t="shared" si="45"/>
        <v>Q1 2022</v>
      </c>
    </row>
    <row r="1450" spans="1:12" ht="15.75" customHeight="1" x14ac:dyDescent="0.3">
      <c r="A1450" s="2" t="s">
        <v>2197</v>
      </c>
      <c r="B1450" s="2" t="s">
        <v>11</v>
      </c>
      <c r="C1450" s="2" t="s">
        <v>12</v>
      </c>
      <c r="D1450" s="2" t="s">
        <v>1618</v>
      </c>
      <c r="E1450" s="2" t="s">
        <v>1052</v>
      </c>
      <c r="F1450" s="2" t="s">
        <v>1885</v>
      </c>
      <c r="G1450" s="4">
        <v>184685</v>
      </c>
      <c r="H1450" s="6">
        <v>44629</v>
      </c>
      <c r="I1450" s="4">
        <v>0</v>
      </c>
      <c r="J1450" s="6">
        <v>44603</v>
      </c>
      <c r="K1450" t="str">
        <f t="shared" si="44"/>
        <v>Q1 2022</v>
      </c>
      <c r="L1450" t="str">
        <f t="shared" si="45"/>
        <v>Q1 2022</v>
      </c>
    </row>
    <row r="1451" spans="1:12" ht="15.75" customHeight="1" x14ac:dyDescent="0.3">
      <c r="A1451" s="2" t="s">
        <v>2198</v>
      </c>
      <c r="B1451" s="2" t="s">
        <v>11</v>
      </c>
      <c r="C1451" s="2" t="s">
        <v>12</v>
      </c>
      <c r="D1451" s="2" t="s">
        <v>1618</v>
      </c>
      <c r="E1451" s="2" t="s">
        <v>1075</v>
      </c>
      <c r="F1451" s="2" t="s">
        <v>2199</v>
      </c>
      <c r="G1451" s="4">
        <v>121682</v>
      </c>
      <c r="H1451" s="6">
        <v>44630</v>
      </c>
      <c r="I1451" s="4">
        <v>0</v>
      </c>
      <c r="J1451" s="6">
        <v>44603</v>
      </c>
      <c r="K1451" t="str">
        <f t="shared" si="44"/>
        <v>Q1 2022</v>
      </c>
      <c r="L1451" t="str">
        <f t="shared" si="45"/>
        <v>Q1 2022</v>
      </c>
    </row>
    <row r="1452" spans="1:12" ht="15.75" customHeight="1" x14ac:dyDescent="0.3">
      <c r="A1452" s="2" t="s">
        <v>2200</v>
      </c>
      <c r="B1452" s="2" t="s">
        <v>11</v>
      </c>
      <c r="C1452" s="2" t="s">
        <v>12</v>
      </c>
      <c r="D1452" s="2" t="s">
        <v>1618</v>
      </c>
      <c r="E1452" s="2" t="s">
        <v>1075</v>
      </c>
      <c r="F1452" s="2" t="s">
        <v>46</v>
      </c>
      <c r="G1452" s="4">
        <v>217224</v>
      </c>
      <c r="H1452" s="5" t="s">
        <v>39</v>
      </c>
      <c r="I1452" s="4">
        <v>0</v>
      </c>
      <c r="J1452" s="6">
        <v>44603</v>
      </c>
      <c r="K1452" t="str">
        <f t="shared" si="44"/>
        <v>Q1 2022</v>
      </c>
      <c r="L1452" t="str">
        <f t="shared" si="45"/>
        <v>Q1 2022</v>
      </c>
    </row>
    <row r="1453" spans="1:12" ht="15.75" customHeight="1" x14ac:dyDescent="0.3">
      <c r="A1453" s="2" t="s">
        <v>2201</v>
      </c>
      <c r="B1453" s="2" t="s">
        <v>11</v>
      </c>
      <c r="C1453" s="2" t="s">
        <v>12</v>
      </c>
      <c r="D1453" s="2" t="s">
        <v>1618</v>
      </c>
      <c r="E1453" s="2" t="s">
        <v>1052</v>
      </c>
      <c r="F1453" s="2" t="s">
        <v>2202</v>
      </c>
      <c r="G1453" s="4">
        <v>176371</v>
      </c>
      <c r="H1453" s="5" t="s">
        <v>1306</v>
      </c>
      <c r="I1453" s="4">
        <v>0</v>
      </c>
      <c r="J1453" s="6">
        <v>44962</v>
      </c>
      <c r="K1453" t="str">
        <f t="shared" si="44"/>
        <v>Q1 2023</v>
      </c>
      <c r="L1453" t="str">
        <f t="shared" si="45"/>
        <v>Q1 2023</v>
      </c>
    </row>
    <row r="1454" spans="1:12" ht="15.75" customHeight="1" x14ac:dyDescent="0.3">
      <c r="A1454" s="2" t="s">
        <v>2203</v>
      </c>
      <c r="B1454" s="2" t="s">
        <v>11</v>
      </c>
      <c r="C1454" s="2" t="s">
        <v>12</v>
      </c>
      <c r="D1454" s="2" t="s">
        <v>1618</v>
      </c>
      <c r="E1454" s="2" t="s">
        <v>1075</v>
      </c>
      <c r="F1454" s="2" t="s">
        <v>1818</v>
      </c>
      <c r="G1454" s="4">
        <v>159032</v>
      </c>
      <c r="H1454" s="6">
        <v>44298</v>
      </c>
      <c r="I1454" s="4">
        <v>0</v>
      </c>
      <c r="J1454" s="6">
        <v>44594</v>
      </c>
      <c r="K1454" t="str">
        <f t="shared" si="44"/>
        <v>Q1 2022</v>
      </c>
      <c r="L1454" t="str">
        <f t="shared" si="45"/>
        <v>Q1 2022</v>
      </c>
    </row>
    <row r="1455" spans="1:12" ht="15.75" customHeight="1" x14ac:dyDescent="0.3">
      <c r="A1455" s="2" t="s">
        <v>2204</v>
      </c>
      <c r="B1455" s="2" t="s">
        <v>11</v>
      </c>
      <c r="C1455" s="2" t="s">
        <v>12</v>
      </c>
      <c r="D1455" s="2" t="s">
        <v>1618</v>
      </c>
      <c r="E1455" s="2" t="s">
        <v>1075</v>
      </c>
      <c r="F1455" s="2" t="s">
        <v>46</v>
      </c>
      <c r="G1455" s="4">
        <v>70911</v>
      </c>
      <c r="H1455" s="5" t="s">
        <v>309</v>
      </c>
      <c r="I1455" s="4">
        <v>0</v>
      </c>
      <c r="J1455" s="6">
        <v>44594</v>
      </c>
      <c r="K1455" t="str">
        <f t="shared" si="44"/>
        <v>Q1 2022</v>
      </c>
      <c r="L1455" t="str">
        <f t="shared" si="45"/>
        <v>Q1 2022</v>
      </c>
    </row>
    <row r="1456" spans="1:12" ht="15.75" customHeight="1" x14ac:dyDescent="0.3">
      <c r="A1456" s="2" t="s">
        <v>2205</v>
      </c>
      <c r="B1456" s="2" t="s">
        <v>11</v>
      </c>
      <c r="C1456" s="2" t="s">
        <v>12</v>
      </c>
      <c r="D1456" s="2" t="s">
        <v>1618</v>
      </c>
      <c r="E1456" s="2" t="s">
        <v>1072</v>
      </c>
      <c r="F1456" s="2" t="s">
        <v>2206</v>
      </c>
      <c r="G1456" s="4">
        <v>128399</v>
      </c>
      <c r="H1456" s="5" t="s">
        <v>829</v>
      </c>
      <c r="I1456" s="4">
        <v>0</v>
      </c>
      <c r="J1456" s="6">
        <v>44604</v>
      </c>
      <c r="K1456" t="str">
        <f t="shared" si="44"/>
        <v>Q1 2022</v>
      </c>
      <c r="L1456" t="str">
        <f t="shared" si="45"/>
        <v>Q1 2022</v>
      </c>
    </row>
    <row r="1457" spans="1:12" ht="15.75" customHeight="1" x14ac:dyDescent="0.3">
      <c r="A1457" s="2" t="s">
        <v>2207</v>
      </c>
      <c r="B1457" s="2" t="s">
        <v>11</v>
      </c>
      <c r="C1457" s="2" t="s">
        <v>12</v>
      </c>
      <c r="D1457" s="2" t="s">
        <v>1618</v>
      </c>
      <c r="E1457" s="2" t="s">
        <v>1075</v>
      </c>
      <c r="F1457" s="2" t="s">
        <v>46</v>
      </c>
      <c r="G1457" s="4">
        <v>74251</v>
      </c>
      <c r="H1457" s="5" t="s">
        <v>30</v>
      </c>
      <c r="I1457" s="4">
        <v>0</v>
      </c>
      <c r="J1457" s="6">
        <v>44603</v>
      </c>
      <c r="K1457" t="str">
        <f t="shared" si="44"/>
        <v>Q1 2022</v>
      </c>
      <c r="L1457" t="str">
        <f t="shared" si="45"/>
        <v>Q1 2022</v>
      </c>
    </row>
    <row r="1458" spans="1:12" ht="15.75" customHeight="1" x14ac:dyDescent="0.3">
      <c r="A1458" s="2" t="s">
        <v>2208</v>
      </c>
      <c r="B1458" s="2" t="s">
        <v>11</v>
      </c>
      <c r="C1458" s="2" t="s">
        <v>12</v>
      </c>
      <c r="D1458" s="2" t="s">
        <v>1618</v>
      </c>
      <c r="E1458" s="2" t="s">
        <v>1052</v>
      </c>
      <c r="F1458" s="2" t="s">
        <v>2209</v>
      </c>
      <c r="G1458" s="4">
        <v>115057</v>
      </c>
      <c r="H1458" s="5" t="s">
        <v>42</v>
      </c>
      <c r="I1458" s="4">
        <v>0</v>
      </c>
      <c r="J1458" s="6">
        <v>44603</v>
      </c>
      <c r="K1458" t="str">
        <f t="shared" si="44"/>
        <v>Q1 2022</v>
      </c>
      <c r="L1458" t="str">
        <f t="shared" si="45"/>
        <v>Q1 2022</v>
      </c>
    </row>
    <row r="1459" spans="1:12" ht="15.75" customHeight="1" x14ac:dyDescent="0.3">
      <c r="A1459" s="2" t="s">
        <v>2210</v>
      </c>
      <c r="B1459" s="2" t="s">
        <v>11</v>
      </c>
      <c r="C1459" s="2" t="s">
        <v>12</v>
      </c>
      <c r="D1459" s="2" t="s">
        <v>1618</v>
      </c>
      <c r="E1459" s="2" t="s">
        <v>1052</v>
      </c>
      <c r="F1459" s="2" t="s">
        <v>1093</v>
      </c>
      <c r="G1459" s="4">
        <v>116925</v>
      </c>
      <c r="H1459" s="6">
        <v>44629</v>
      </c>
      <c r="I1459" s="4">
        <v>0</v>
      </c>
      <c r="J1459" s="6">
        <v>44603</v>
      </c>
      <c r="K1459" t="str">
        <f t="shared" si="44"/>
        <v>Q1 2022</v>
      </c>
      <c r="L1459" t="str">
        <f t="shared" si="45"/>
        <v>Q1 2022</v>
      </c>
    </row>
    <row r="1460" spans="1:12" ht="15.75" customHeight="1" x14ac:dyDescent="0.3">
      <c r="A1460" s="2" t="s">
        <v>2211</v>
      </c>
      <c r="B1460" s="2" t="s">
        <v>11</v>
      </c>
      <c r="C1460" s="2" t="s">
        <v>12</v>
      </c>
      <c r="D1460" s="2" t="s">
        <v>1618</v>
      </c>
      <c r="E1460" s="2" t="s">
        <v>1075</v>
      </c>
      <c r="F1460" s="2" t="s">
        <v>46</v>
      </c>
      <c r="G1460" s="4">
        <v>218431</v>
      </c>
      <c r="H1460" s="6">
        <v>44630</v>
      </c>
      <c r="I1460" s="4">
        <v>0</v>
      </c>
      <c r="J1460" s="6">
        <v>44603</v>
      </c>
      <c r="K1460" t="str">
        <f t="shared" si="44"/>
        <v>Q1 2022</v>
      </c>
      <c r="L1460" t="str">
        <f t="shared" si="45"/>
        <v>Q1 2022</v>
      </c>
    </row>
    <row r="1461" spans="1:12" ht="15.75" customHeight="1" x14ac:dyDescent="0.3">
      <c r="A1461" s="2" t="s">
        <v>2212</v>
      </c>
      <c r="B1461" s="2" t="s">
        <v>11</v>
      </c>
      <c r="C1461" s="2" t="s">
        <v>12</v>
      </c>
      <c r="D1461" s="2" t="s">
        <v>1618</v>
      </c>
      <c r="E1461" s="2" t="s">
        <v>1072</v>
      </c>
      <c r="F1461" s="2" t="s">
        <v>2213</v>
      </c>
      <c r="G1461" s="4">
        <v>114529</v>
      </c>
      <c r="H1461" s="6">
        <v>44866</v>
      </c>
      <c r="I1461" s="4">
        <v>0</v>
      </c>
      <c r="J1461" s="6">
        <v>44595</v>
      </c>
      <c r="K1461" t="str">
        <f t="shared" si="44"/>
        <v>Q1 2022</v>
      </c>
      <c r="L1461" t="str">
        <f t="shared" si="45"/>
        <v>Q1 2022</v>
      </c>
    </row>
    <row r="1462" spans="1:12" ht="15.75" customHeight="1" x14ac:dyDescent="0.3">
      <c r="A1462" s="2" t="s">
        <v>2214</v>
      </c>
      <c r="B1462" s="2" t="s">
        <v>11</v>
      </c>
      <c r="C1462" s="2" t="s">
        <v>12</v>
      </c>
      <c r="D1462" s="2" t="s">
        <v>1618</v>
      </c>
      <c r="E1462" s="2" t="s">
        <v>1052</v>
      </c>
      <c r="F1462" s="2" t="s">
        <v>1200</v>
      </c>
      <c r="G1462" s="4">
        <v>61811</v>
      </c>
      <c r="H1462" s="5" t="s">
        <v>434</v>
      </c>
      <c r="I1462" s="4">
        <v>0</v>
      </c>
      <c r="J1462" s="6">
        <v>44963</v>
      </c>
      <c r="K1462" t="str">
        <f t="shared" si="44"/>
        <v>Q1 2023</v>
      </c>
      <c r="L1462" t="str">
        <f t="shared" si="45"/>
        <v>Q1 2023</v>
      </c>
    </row>
    <row r="1463" spans="1:12" ht="15.75" customHeight="1" x14ac:dyDescent="0.3">
      <c r="A1463" s="2" t="s">
        <v>2215</v>
      </c>
      <c r="B1463" s="2" t="s">
        <v>11</v>
      </c>
      <c r="C1463" s="2" t="s">
        <v>12</v>
      </c>
      <c r="D1463" s="2" t="s">
        <v>1618</v>
      </c>
      <c r="E1463" s="2" t="s">
        <v>1075</v>
      </c>
      <c r="F1463" s="2" t="s">
        <v>2216</v>
      </c>
      <c r="G1463" s="4">
        <v>80117</v>
      </c>
      <c r="H1463" s="5" t="s">
        <v>136</v>
      </c>
      <c r="I1463" s="4">
        <v>0</v>
      </c>
      <c r="J1463" s="6">
        <v>44598</v>
      </c>
      <c r="K1463" t="str">
        <f t="shared" si="44"/>
        <v>Q1 2022</v>
      </c>
      <c r="L1463" t="str">
        <f t="shared" si="45"/>
        <v>Q1 2022</v>
      </c>
    </row>
    <row r="1464" spans="1:12" ht="15.75" customHeight="1" x14ac:dyDescent="0.3">
      <c r="A1464" s="2" t="s">
        <v>2217</v>
      </c>
      <c r="B1464" s="2" t="s">
        <v>11</v>
      </c>
      <c r="C1464" s="2" t="s">
        <v>12</v>
      </c>
      <c r="D1464" s="2" t="s">
        <v>1618</v>
      </c>
      <c r="E1464" s="2" t="s">
        <v>1052</v>
      </c>
      <c r="F1464" s="2" t="s">
        <v>1753</v>
      </c>
      <c r="G1464" s="4">
        <v>162884</v>
      </c>
      <c r="H1464" s="5" t="s">
        <v>25</v>
      </c>
      <c r="I1464" s="4">
        <v>0</v>
      </c>
      <c r="J1464" s="6">
        <v>44603</v>
      </c>
      <c r="K1464" t="str">
        <f t="shared" si="44"/>
        <v>Q1 2022</v>
      </c>
      <c r="L1464" t="str">
        <f t="shared" si="45"/>
        <v>Q1 2022</v>
      </c>
    </row>
    <row r="1465" spans="1:12" ht="15.75" customHeight="1" x14ac:dyDescent="0.3">
      <c r="A1465" s="2" t="s">
        <v>2218</v>
      </c>
      <c r="B1465" s="2" t="s">
        <v>20</v>
      </c>
      <c r="C1465" s="2" t="s">
        <v>57</v>
      </c>
      <c r="D1465" s="2" t="s">
        <v>1618</v>
      </c>
      <c r="E1465" s="2" t="s">
        <v>1052</v>
      </c>
      <c r="F1465" s="2" t="s">
        <v>1826</v>
      </c>
      <c r="G1465" s="4">
        <v>199473</v>
      </c>
      <c r="H1465" s="6">
        <v>44662</v>
      </c>
      <c r="I1465" s="4">
        <v>99736</v>
      </c>
      <c r="J1465" s="5" t="s">
        <v>210</v>
      </c>
      <c r="K1465" t="str">
        <f t="shared" si="44"/>
        <v>Q4 2022</v>
      </c>
      <c r="L1465" t="str">
        <f t="shared" si="45"/>
        <v>Q4 2022</v>
      </c>
    </row>
    <row r="1466" spans="1:12" ht="15.75" customHeight="1" x14ac:dyDescent="0.3">
      <c r="A1466" s="2" t="s">
        <v>2219</v>
      </c>
      <c r="B1466" s="2" t="s">
        <v>11</v>
      </c>
      <c r="C1466" s="2" t="s">
        <v>12</v>
      </c>
      <c r="D1466" s="2" t="s">
        <v>1618</v>
      </c>
      <c r="E1466" s="2" t="s">
        <v>1075</v>
      </c>
      <c r="F1466" s="2" t="s">
        <v>1967</v>
      </c>
      <c r="G1466" s="4">
        <v>74410</v>
      </c>
      <c r="H1466" s="6">
        <v>44621</v>
      </c>
      <c r="I1466" s="4">
        <v>0</v>
      </c>
      <c r="J1466" s="6">
        <v>44594</v>
      </c>
      <c r="K1466" t="str">
        <f t="shared" si="44"/>
        <v>Q1 2022</v>
      </c>
      <c r="L1466" t="str">
        <f t="shared" si="45"/>
        <v>Q1 2022</v>
      </c>
    </row>
    <row r="1467" spans="1:12" ht="15.75" customHeight="1" x14ac:dyDescent="0.3">
      <c r="A1467" s="2" t="s">
        <v>2220</v>
      </c>
      <c r="B1467" s="2" t="s">
        <v>11</v>
      </c>
      <c r="C1467" s="2" t="s">
        <v>12</v>
      </c>
      <c r="D1467" s="2" t="s">
        <v>1618</v>
      </c>
      <c r="E1467" s="2" t="s">
        <v>1052</v>
      </c>
      <c r="F1467" s="2" t="s">
        <v>1053</v>
      </c>
      <c r="G1467" s="4">
        <v>118668</v>
      </c>
      <c r="H1467" s="5" t="s">
        <v>136</v>
      </c>
      <c r="I1467" s="4">
        <v>0</v>
      </c>
      <c r="J1467" s="6">
        <v>44598</v>
      </c>
      <c r="K1467" t="str">
        <f t="shared" si="44"/>
        <v>Q1 2022</v>
      </c>
      <c r="L1467" t="str">
        <f t="shared" si="45"/>
        <v>Q1 2022</v>
      </c>
    </row>
    <row r="1468" spans="1:12" ht="15.75" customHeight="1" x14ac:dyDescent="0.3">
      <c r="A1468" s="2" t="s">
        <v>2221</v>
      </c>
      <c r="B1468" s="2" t="s">
        <v>11</v>
      </c>
      <c r="C1468" s="2" t="s">
        <v>12</v>
      </c>
      <c r="D1468" s="2" t="s">
        <v>1618</v>
      </c>
      <c r="E1468" s="2" t="s">
        <v>1052</v>
      </c>
      <c r="F1468" s="2" t="s">
        <v>1738</v>
      </c>
      <c r="G1468" s="4">
        <v>63766</v>
      </c>
      <c r="H1468" s="5" t="s">
        <v>1474</v>
      </c>
      <c r="I1468" s="4">
        <v>0</v>
      </c>
      <c r="J1468" s="6">
        <v>44595</v>
      </c>
      <c r="K1468" t="str">
        <f t="shared" si="44"/>
        <v>Q1 2022</v>
      </c>
      <c r="L1468" t="str">
        <f t="shared" si="45"/>
        <v>Q1 2022</v>
      </c>
    </row>
    <row r="1469" spans="1:12" ht="15.75" customHeight="1" x14ac:dyDescent="0.3">
      <c r="A1469" s="2" t="s">
        <v>2222</v>
      </c>
      <c r="B1469" s="2" t="s">
        <v>11</v>
      </c>
      <c r="C1469" s="2" t="s">
        <v>12</v>
      </c>
      <c r="D1469" s="2" t="s">
        <v>1618</v>
      </c>
      <c r="E1469" s="2" t="s">
        <v>1052</v>
      </c>
      <c r="F1469" s="2" t="s">
        <v>2223</v>
      </c>
      <c r="G1469" s="4">
        <v>101282</v>
      </c>
      <c r="H1469" s="5" t="s">
        <v>236</v>
      </c>
      <c r="I1469" s="4">
        <v>0</v>
      </c>
      <c r="J1469" s="6">
        <v>44596</v>
      </c>
      <c r="K1469" t="str">
        <f t="shared" si="44"/>
        <v>Q1 2022</v>
      </c>
      <c r="L1469" t="str">
        <f t="shared" si="45"/>
        <v>Q1 2022</v>
      </c>
    </row>
    <row r="1470" spans="1:12" ht="15.75" customHeight="1" x14ac:dyDescent="0.3">
      <c r="A1470" s="2" t="s">
        <v>2224</v>
      </c>
      <c r="B1470" s="2" t="s">
        <v>11</v>
      </c>
      <c r="C1470" s="2" t="s">
        <v>12</v>
      </c>
      <c r="D1470" s="2" t="s">
        <v>1618</v>
      </c>
      <c r="E1470" s="2" t="s">
        <v>1052</v>
      </c>
      <c r="F1470" s="2" t="s">
        <v>1060</v>
      </c>
      <c r="G1470" s="4">
        <v>109936</v>
      </c>
      <c r="H1470" s="6">
        <v>44629</v>
      </c>
      <c r="I1470" s="4">
        <v>0</v>
      </c>
      <c r="J1470" s="6">
        <v>44603</v>
      </c>
      <c r="K1470" t="str">
        <f t="shared" si="44"/>
        <v>Q1 2022</v>
      </c>
      <c r="L1470" t="str">
        <f t="shared" si="45"/>
        <v>Q1 2022</v>
      </c>
    </row>
    <row r="1471" spans="1:12" ht="15.75" customHeight="1" x14ac:dyDescent="0.3">
      <c r="A1471" s="2" t="s">
        <v>2225</v>
      </c>
      <c r="B1471" s="2" t="s">
        <v>11</v>
      </c>
      <c r="C1471" s="2" t="s">
        <v>12</v>
      </c>
      <c r="D1471" s="2" t="s">
        <v>1618</v>
      </c>
      <c r="E1471" s="2" t="s">
        <v>1052</v>
      </c>
      <c r="F1471" s="2" t="s">
        <v>2226</v>
      </c>
      <c r="G1471" s="4">
        <v>112460</v>
      </c>
      <c r="H1471" s="5" t="s">
        <v>585</v>
      </c>
      <c r="I1471" s="4">
        <v>0</v>
      </c>
      <c r="J1471" s="6">
        <v>44601</v>
      </c>
      <c r="K1471" t="str">
        <f t="shared" si="44"/>
        <v>Q1 2022</v>
      </c>
      <c r="L1471" t="str">
        <f t="shared" si="45"/>
        <v>Q1 2022</v>
      </c>
    </row>
    <row r="1472" spans="1:12" ht="15.75" customHeight="1" x14ac:dyDescent="0.3">
      <c r="A1472" s="2" t="s">
        <v>2227</v>
      </c>
      <c r="B1472" s="2" t="s">
        <v>11</v>
      </c>
      <c r="C1472" s="2" t="s">
        <v>12</v>
      </c>
      <c r="D1472" s="2" t="s">
        <v>1618</v>
      </c>
      <c r="E1472" s="2" t="s">
        <v>1075</v>
      </c>
      <c r="F1472" s="2" t="s">
        <v>2228</v>
      </c>
      <c r="G1472" s="4">
        <v>368222</v>
      </c>
      <c r="H1472" s="5" t="s">
        <v>137</v>
      </c>
      <c r="I1472" s="4">
        <v>0</v>
      </c>
      <c r="J1472" s="6">
        <v>44599</v>
      </c>
      <c r="K1472" t="str">
        <f t="shared" si="44"/>
        <v>Q1 2022</v>
      </c>
      <c r="L1472" t="str">
        <f t="shared" si="45"/>
        <v>Q1 2022</v>
      </c>
    </row>
    <row r="1473" spans="1:12" ht="15.75" customHeight="1" x14ac:dyDescent="0.3">
      <c r="A1473" s="2" t="s">
        <v>2229</v>
      </c>
      <c r="B1473" s="2" t="s">
        <v>11</v>
      </c>
      <c r="C1473" s="2" t="s">
        <v>12</v>
      </c>
      <c r="D1473" s="2" t="s">
        <v>1618</v>
      </c>
      <c r="E1473" s="2" t="s">
        <v>1052</v>
      </c>
      <c r="F1473" s="2" t="s">
        <v>1944</v>
      </c>
      <c r="G1473" s="4">
        <v>100356</v>
      </c>
      <c r="H1473" s="5" t="s">
        <v>39</v>
      </c>
      <c r="I1473" s="4">
        <v>0</v>
      </c>
      <c r="J1473" s="6">
        <v>44603</v>
      </c>
      <c r="K1473" t="str">
        <f t="shared" si="44"/>
        <v>Q1 2022</v>
      </c>
      <c r="L1473" t="str">
        <f t="shared" si="45"/>
        <v>Q1 2022</v>
      </c>
    </row>
    <row r="1474" spans="1:12" ht="15.75" customHeight="1" x14ac:dyDescent="0.3">
      <c r="A1474" s="2" t="s">
        <v>2230</v>
      </c>
      <c r="B1474" s="2" t="s">
        <v>11</v>
      </c>
      <c r="C1474" s="2" t="s">
        <v>12</v>
      </c>
      <c r="D1474" s="2" t="s">
        <v>1618</v>
      </c>
      <c r="E1474" s="2" t="s">
        <v>1075</v>
      </c>
      <c r="F1474" s="2" t="s">
        <v>2231</v>
      </c>
      <c r="G1474" s="4">
        <v>98316</v>
      </c>
      <c r="H1474" s="6">
        <v>44632</v>
      </c>
      <c r="I1474" s="4">
        <v>0</v>
      </c>
      <c r="J1474" s="6">
        <v>44958</v>
      </c>
      <c r="K1474" t="str">
        <f t="shared" ref="K1474:K1537" si="46">"Q" &amp; ROUNDUP(MONTH(J:J)/3,0) &amp; " " &amp; YEAR(J:J)</f>
        <v>Q1 2023</v>
      </c>
      <c r="L1474" t="str">
        <f t="shared" ref="L1474:L1537" si="47">"Q" &amp; ROUNDUP(MONTH(J:J)/3,0) &amp; " " &amp; YEAR(J:J)</f>
        <v>Q1 2023</v>
      </c>
    </row>
    <row r="1475" spans="1:12" ht="15.75" customHeight="1" x14ac:dyDescent="0.3">
      <c r="A1475" s="2" t="s">
        <v>2232</v>
      </c>
      <c r="B1475" s="2" t="s">
        <v>11</v>
      </c>
      <c r="C1475" s="2" t="s">
        <v>12</v>
      </c>
      <c r="D1475" s="2" t="s">
        <v>1618</v>
      </c>
      <c r="E1475" s="2" t="s">
        <v>1075</v>
      </c>
      <c r="F1475" s="2" t="s">
        <v>46</v>
      </c>
      <c r="G1475" s="4">
        <v>106685</v>
      </c>
      <c r="H1475" s="5" t="s">
        <v>30</v>
      </c>
      <c r="I1475" s="4">
        <v>0</v>
      </c>
      <c r="J1475" s="6">
        <v>44603</v>
      </c>
      <c r="K1475" t="str">
        <f t="shared" si="46"/>
        <v>Q1 2022</v>
      </c>
      <c r="L1475" t="str">
        <f t="shared" si="47"/>
        <v>Q1 2022</v>
      </c>
    </row>
    <row r="1476" spans="1:12" ht="15.75" customHeight="1" x14ac:dyDescent="0.3">
      <c r="A1476" s="2" t="s">
        <v>2233</v>
      </c>
      <c r="B1476" s="2" t="s">
        <v>11</v>
      </c>
      <c r="C1476" s="2" t="s">
        <v>12</v>
      </c>
      <c r="D1476" s="2" t="s">
        <v>1618</v>
      </c>
      <c r="E1476" s="2" t="s">
        <v>1075</v>
      </c>
      <c r="F1476" s="2" t="s">
        <v>46</v>
      </c>
      <c r="G1476" s="4">
        <v>111923</v>
      </c>
      <c r="H1476" s="5" t="s">
        <v>71</v>
      </c>
      <c r="I1476" s="4">
        <v>0</v>
      </c>
      <c r="J1476" s="6">
        <v>44603</v>
      </c>
      <c r="K1476" t="str">
        <f t="shared" si="46"/>
        <v>Q1 2022</v>
      </c>
      <c r="L1476" t="str">
        <f t="shared" si="47"/>
        <v>Q1 2022</v>
      </c>
    </row>
    <row r="1477" spans="1:12" ht="15.75" customHeight="1" x14ac:dyDescent="0.3">
      <c r="A1477" s="2" t="s">
        <v>2234</v>
      </c>
      <c r="B1477" s="2" t="s">
        <v>11</v>
      </c>
      <c r="C1477" s="2" t="s">
        <v>12</v>
      </c>
      <c r="D1477" s="2" t="s">
        <v>1618</v>
      </c>
      <c r="E1477" s="2" t="s">
        <v>1075</v>
      </c>
      <c r="F1477" s="2" t="s">
        <v>1129</v>
      </c>
      <c r="G1477" s="4">
        <v>115032</v>
      </c>
      <c r="H1477" s="5" t="s">
        <v>142</v>
      </c>
      <c r="I1477" s="4">
        <v>0</v>
      </c>
      <c r="J1477" s="6">
        <v>44596</v>
      </c>
      <c r="K1477" t="str">
        <f t="shared" si="46"/>
        <v>Q1 2022</v>
      </c>
      <c r="L1477" t="str">
        <f t="shared" si="47"/>
        <v>Q1 2022</v>
      </c>
    </row>
    <row r="1478" spans="1:12" ht="15.75" customHeight="1" x14ac:dyDescent="0.3">
      <c r="A1478" s="2" t="s">
        <v>2235</v>
      </c>
      <c r="B1478" s="2" t="s">
        <v>11</v>
      </c>
      <c r="C1478" s="2" t="s">
        <v>12</v>
      </c>
      <c r="D1478" s="2" t="s">
        <v>1618</v>
      </c>
      <c r="E1478" s="2" t="s">
        <v>1075</v>
      </c>
      <c r="F1478" s="2" t="s">
        <v>1076</v>
      </c>
      <c r="G1478" s="4">
        <v>104002</v>
      </c>
      <c r="H1478" s="5" t="s">
        <v>42</v>
      </c>
      <c r="I1478" s="4">
        <v>0</v>
      </c>
      <c r="J1478" s="6">
        <v>44603</v>
      </c>
      <c r="K1478" t="str">
        <f t="shared" si="46"/>
        <v>Q1 2022</v>
      </c>
      <c r="L1478" t="str">
        <f t="shared" si="47"/>
        <v>Q1 2022</v>
      </c>
    </row>
    <row r="1479" spans="1:12" ht="15.75" customHeight="1" x14ac:dyDescent="0.3">
      <c r="A1479" s="2" t="s">
        <v>2236</v>
      </c>
      <c r="B1479" s="2" t="s">
        <v>11</v>
      </c>
      <c r="C1479" s="2" t="s">
        <v>12</v>
      </c>
      <c r="D1479" s="2" t="s">
        <v>1618</v>
      </c>
      <c r="E1479" s="2" t="s">
        <v>1075</v>
      </c>
      <c r="F1479" s="2" t="s">
        <v>2237</v>
      </c>
      <c r="G1479" s="4">
        <v>42376</v>
      </c>
      <c r="H1479" s="6">
        <v>44629</v>
      </c>
      <c r="I1479" s="4">
        <v>0</v>
      </c>
      <c r="J1479" s="6">
        <v>44603</v>
      </c>
      <c r="K1479" t="str">
        <f t="shared" si="46"/>
        <v>Q1 2022</v>
      </c>
      <c r="L1479" t="str">
        <f t="shared" si="47"/>
        <v>Q1 2022</v>
      </c>
    </row>
    <row r="1480" spans="1:12" ht="15.75" customHeight="1" x14ac:dyDescent="0.3">
      <c r="A1480" s="2" t="s">
        <v>2238</v>
      </c>
      <c r="B1480" s="2" t="s">
        <v>11</v>
      </c>
      <c r="C1480" s="2" t="s">
        <v>12</v>
      </c>
      <c r="D1480" s="2" t="s">
        <v>1618</v>
      </c>
      <c r="E1480" s="2" t="s">
        <v>1075</v>
      </c>
      <c r="F1480" s="2" t="s">
        <v>46</v>
      </c>
      <c r="G1480" s="4">
        <v>75938</v>
      </c>
      <c r="H1480" s="5" t="s">
        <v>71</v>
      </c>
      <c r="I1480" s="4">
        <v>0</v>
      </c>
      <c r="J1480" s="6">
        <v>44603</v>
      </c>
      <c r="K1480" t="str">
        <f t="shared" si="46"/>
        <v>Q1 2022</v>
      </c>
      <c r="L1480" t="str">
        <f t="shared" si="47"/>
        <v>Q1 2022</v>
      </c>
    </row>
    <row r="1481" spans="1:12" ht="15.75" customHeight="1" x14ac:dyDescent="0.3">
      <c r="A1481" s="2" t="s">
        <v>2239</v>
      </c>
      <c r="B1481" s="2" t="s">
        <v>11</v>
      </c>
      <c r="C1481" s="2" t="s">
        <v>12</v>
      </c>
      <c r="D1481" s="2" t="s">
        <v>1618</v>
      </c>
      <c r="E1481" s="2" t="s">
        <v>1075</v>
      </c>
      <c r="F1481" s="2" t="s">
        <v>46</v>
      </c>
      <c r="G1481" s="4">
        <v>98548</v>
      </c>
      <c r="H1481" s="5" t="s">
        <v>42</v>
      </c>
      <c r="I1481" s="4">
        <v>0</v>
      </c>
      <c r="J1481" s="6">
        <v>44603</v>
      </c>
      <c r="K1481" t="str">
        <f t="shared" si="46"/>
        <v>Q1 2022</v>
      </c>
      <c r="L1481" t="str">
        <f t="shared" si="47"/>
        <v>Q1 2022</v>
      </c>
    </row>
    <row r="1482" spans="1:12" ht="15.75" customHeight="1" x14ac:dyDescent="0.3">
      <c r="A1482" s="2" t="s">
        <v>2240</v>
      </c>
      <c r="B1482" s="2" t="s">
        <v>11</v>
      </c>
      <c r="C1482" s="2" t="s">
        <v>12</v>
      </c>
      <c r="D1482" s="2" t="s">
        <v>1618</v>
      </c>
      <c r="E1482" s="2" t="s">
        <v>1075</v>
      </c>
      <c r="F1482" s="2" t="s">
        <v>46</v>
      </c>
      <c r="G1482" s="4">
        <v>55019</v>
      </c>
      <c r="H1482" s="5" t="s">
        <v>179</v>
      </c>
      <c r="I1482" s="4">
        <v>0</v>
      </c>
      <c r="J1482" s="6">
        <v>44594</v>
      </c>
      <c r="K1482" t="str">
        <f t="shared" si="46"/>
        <v>Q1 2022</v>
      </c>
      <c r="L1482" t="str">
        <f t="shared" si="47"/>
        <v>Q1 2022</v>
      </c>
    </row>
    <row r="1483" spans="1:12" ht="15.75" customHeight="1" x14ac:dyDescent="0.3">
      <c r="A1483" s="2" t="s">
        <v>2241</v>
      </c>
      <c r="B1483" s="2" t="s">
        <v>11</v>
      </c>
      <c r="C1483" s="2" t="s">
        <v>12</v>
      </c>
      <c r="D1483" s="2" t="s">
        <v>1618</v>
      </c>
      <c r="E1483" s="2" t="s">
        <v>1075</v>
      </c>
      <c r="F1483" s="2" t="s">
        <v>46</v>
      </c>
      <c r="G1483" s="4">
        <v>139351</v>
      </c>
      <c r="H1483" s="5" t="s">
        <v>71</v>
      </c>
      <c r="I1483" s="4">
        <v>0</v>
      </c>
      <c r="J1483" s="6">
        <v>44603</v>
      </c>
      <c r="K1483" t="str">
        <f t="shared" si="46"/>
        <v>Q1 2022</v>
      </c>
      <c r="L1483" t="str">
        <f t="shared" si="47"/>
        <v>Q1 2022</v>
      </c>
    </row>
    <row r="1484" spans="1:12" ht="15.75" customHeight="1" x14ac:dyDescent="0.3">
      <c r="A1484" s="2" t="s">
        <v>2242</v>
      </c>
      <c r="B1484" s="2" t="s">
        <v>11</v>
      </c>
      <c r="C1484" s="2" t="s">
        <v>12</v>
      </c>
      <c r="D1484" s="2" t="s">
        <v>1618</v>
      </c>
      <c r="E1484" s="2" t="s">
        <v>1052</v>
      </c>
      <c r="F1484" s="2" t="s">
        <v>1093</v>
      </c>
      <c r="G1484" s="4">
        <v>178875</v>
      </c>
      <c r="H1484" s="5" t="s">
        <v>71</v>
      </c>
      <c r="I1484" s="4">
        <v>0</v>
      </c>
      <c r="J1484" s="6">
        <v>44603</v>
      </c>
      <c r="K1484" t="str">
        <f t="shared" si="46"/>
        <v>Q1 2022</v>
      </c>
      <c r="L1484" t="str">
        <f t="shared" si="47"/>
        <v>Q1 2022</v>
      </c>
    </row>
    <row r="1485" spans="1:12" ht="15.75" customHeight="1" x14ac:dyDescent="0.3">
      <c r="A1485" s="2" t="s">
        <v>2243</v>
      </c>
      <c r="B1485" s="2" t="s">
        <v>20</v>
      </c>
      <c r="C1485" s="2" t="s">
        <v>21</v>
      </c>
      <c r="D1485" s="2" t="s">
        <v>2244</v>
      </c>
      <c r="E1485" s="2" t="s">
        <v>1158</v>
      </c>
      <c r="F1485" s="2" t="s">
        <v>2245</v>
      </c>
      <c r="G1485" s="4">
        <v>144738</v>
      </c>
      <c r="H1485" s="5" t="s">
        <v>1562</v>
      </c>
      <c r="I1485" s="4">
        <v>72369</v>
      </c>
      <c r="J1485" s="5" t="s">
        <v>301</v>
      </c>
      <c r="K1485" t="str">
        <f t="shared" si="46"/>
        <v>Q4 2022</v>
      </c>
      <c r="L1485" t="str">
        <f t="shared" si="47"/>
        <v>Q4 2022</v>
      </c>
    </row>
    <row r="1486" spans="1:12" ht="15.75" customHeight="1" x14ac:dyDescent="0.3">
      <c r="A1486" s="2" t="s">
        <v>2246</v>
      </c>
      <c r="B1486" s="2" t="s">
        <v>20</v>
      </c>
      <c r="C1486" s="2" t="s">
        <v>21</v>
      </c>
      <c r="D1486" s="2" t="s">
        <v>2244</v>
      </c>
      <c r="E1486" s="2" t="s">
        <v>2247</v>
      </c>
      <c r="F1486" s="2" t="s">
        <v>2248</v>
      </c>
      <c r="G1486" s="4">
        <v>139449</v>
      </c>
      <c r="H1486" s="5" t="s">
        <v>2249</v>
      </c>
      <c r="I1486" s="4">
        <v>27890</v>
      </c>
      <c r="J1486" s="5" t="s">
        <v>2250</v>
      </c>
      <c r="K1486" t="str">
        <f t="shared" si="46"/>
        <v>Q1 2022</v>
      </c>
      <c r="L1486" t="str">
        <f t="shared" si="47"/>
        <v>Q1 2022</v>
      </c>
    </row>
    <row r="1487" spans="1:12" ht="15.75" customHeight="1" x14ac:dyDescent="0.3">
      <c r="A1487" s="2" t="s">
        <v>2251</v>
      </c>
      <c r="B1487" s="2" t="s">
        <v>20</v>
      </c>
      <c r="C1487" s="2" t="s">
        <v>21</v>
      </c>
      <c r="D1487" s="2" t="s">
        <v>2244</v>
      </c>
      <c r="E1487" s="2" t="s">
        <v>2252</v>
      </c>
      <c r="F1487" s="2" t="s">
        <v>2253</v>
      </c>
      <c r="G1487" s="4">
        <v>101707</v>
      </c>
      <c r="H1487" s="6">
        <v>44631</v>
      </c>
      <c r="I1487" s="4">
        <v>50854</v>
      </c>
      <c r="J1487" s="5" t="s">
        <v>97</v>
      </c>
      <c r="K1487" t="str">
        <f t="shared" si="46"/>
        <v>Q4 2022</v>
      </c>
      <c r="L1487" t="str">
        <f t="shared" si="47"/>
        <v>Q4 2022</v>
      </c>
    </row>
    <row r="1488" spans="1:12" ht="15.75" customHeight="1" x14ac:dyDescent="0.3">
      <c r="A1488" s="2" t="s">
        <v>2254</v>
      </c>
      <c r="B1488" s="2" t="s">
        <v>20</v>
      </c>
      <c r="C1488" s="2" t="s">
        <v>21</v>
      </c>
      <c r="D1488" s="2" t="s">
        <v>2244</v>
      </c>
      <c r="E1488" s="2" t="s">
        <v>2255</v>
      </c>
      <c r="F1488" s="2" t="s">
        <v>2256</v>
      </c>
      <c r="G1488" s="4">
        <v>95993</v>
      </c>
      <c r="H1488" s="5" t="s">
        <v>396</v>
      </c>
      <c r="I1488" s="4">
        <v>15999</v>
      </c>
      <c r="J1488" s="6">
        <v>44684</v>
      </c>
      <c r="K1488" t="str">
        <f t="shared" si="46"/>
        <v>Q2 2022</v>
      </c>
      <c r="L1488" t="str">
        <f t="shared" si="47"/>
        <v>Q2 2022</v>
      </c>
    </row>
    <row r="1489" spans="1:12" ht="15.75" customHeight="1" x14ac:dyDescent="0.3">
      <c r="A1489" s="2" t="s">
        <v>2257</v>
      </c>
      <c r="B1489" s="2" t="s">
        <v>20</v>
      </c>
      <c r="C1489" s="2" t="s">
        <v>21</v>
      </c>
      <c r="D1489" s="2" t="s">
        <v>2244</v>
      </c>
      <c r="E1489" s="2" t="s">
        <v>2258</v>
      </c>
      <c r="F1489" s="2" t="s">
        <v>2259</v>
      </c>
      <c r="G1489" s="4">
        <v>54776</v>
      </c>
      <c r="H1489" s="6">
        <v>44653</v>
      </c>
      <c r="I1489" s="4">
        <v>9129</v>
      </c>
      <c r="J1489" s="6">
        <v>44685</v>
      </c>
      <c r="K1489" t="str">
        <f t="shared" si="46"/>
        <v>Q2 2022</v>
      </c>
      <c r="L1489" t="str">
        <f t="shared" si="47"/>
        <v>Q2 2022</v>
      </c>
    </row>
    <row r="1490" spans="1:12" ht="15.75" customHeight="1" x14ac:dyDescent="0.3">
      <c r="A1490" s="2" t="s">
        <v>2260</v>
      </c>
      <c r="B1490" s="2" t="s">
        <v>20</v>
      </c>
      <c r="C1490" s="2" t="s">
        <v>21</v>
      </c>
      <c r="D1490" s="2" t="s">
        <v>2244</v>
      </c>
      <c r="E1490" s="2" t="s">
        <v>2261</v>
      </c>
      <c r="F1490" s="2" t="s">
        <v>2262</v>
      </c>
      <c r="G1490" s="4">
        <v>50316</v>
      </c>
      <c r="H1490" s="5" t="s">
        <v>2263</v>
      </c>
      <c r="I1490" s="4">
        <v>25158</v>
      </c>
      <c r="J1490" s="6">
        <v>45048</v>
      </c>
      <c r="K1490" t="str">
        <f t="shared" si="46"/>
        <v>Q2 2023</v>
      </c>
      <c r="L1490" t="str">
        <f t="shared" si="47"/>
        <v>Q2 2023</v>
      </c>
    </row>
    <row r="1491" spans="1:12" ht="15.75" customHeight="1" x14ac:dyDescent="0.3">
      <c r="A1491" s="2" t="s">
        <v>2264</v>
      </c>
      <c r="B1491" s="2" t="s">
        <v>20</v>
      </c>
      <c r="C1491" s="2" t="s">
        <v>21</v>
      </c>
      <c r="D1491" s="2" t="s">
        <v>2265</v>
      </c>
      <c r="E1491" s="2" t="s">
        <v>187</v>
      </c>
      <c r="F1491" s="2" t="s">
        <v>2266</v>
      </c>
      <c r="G1491" s="4">
        <v>109064</v>
      </c>
      <c r="H1491" s="5" t="s">
        <v>604</v>
      </c>
      <c r="I1491" s="4">
        <v>54532</v>
      </c>
      <c r="J1491" s="6">
        <v>44784</v>
      </c>
      <c r="K1491" t="str">
        <f t="shared" si="46"/>
        <v>Q3 2022</v>
      </c>
      <c r="L1491" t="str">
        <f t="shared" si="47"/>
        <v>Q3 2022</v>
      </c>
    </row>
    <row r="1492" spans="1:12" ht="15.75" customHeight="1" x14ac:dyDescent="0.3">
      <c r="A1492" s="2" t="s">
        <v>2267</v>
      </c>
      <c r="B1492" s="2" t="s">
        <v>11</v>
      </c>
      <c r="C1492" s="2" t="s">
        <v>12</v>
      </c>
      <c r="D1492" s="2" t="s">
        <v>2265</v>
      </c>
      <c r="E1492" s="2" t="s">
        <v>187</v>
      </c>
      <c r="F1492" s="2" t="s">
        <v>2268</v>
      </c>
      <c r="G1492" s="4">
        <v>97965</v>
      </c>
      <c r="H1492" s="6">
        <v>44630</v>
      </c>
      <c r="I1492" s="4">
        <v>0</v>
      </c>
      <c r="J1492" s="6">
        <v>44603</v>
      </c>
      <c r="K1492" t="str">
        <f t="shared" si="46"/>
        <v>Q1 2022</v>
      </c>
      <c r="L1492" t="str">
        <f t="shared" si="47"/>
        <v>Q1 2022</v>
      </c>
    </row>
    <row r="1493" spans="1:12" ht="15.75" customHeight="1" x14ac:dyDescent="0.3">
      <c r="A1493" s="2" t="s">
        <v>2269</v>
      </c>
      <c r="B1493" s="2" t="s">
        <v>20</v>
      </c>
      <c r="C1493" s="2" t="s">
        <v>21</v>
      </c>
      <c r="D1493" s="2" t="s">
        <v>2265</v>
      </c>
      <c r="E1493" s="2" t="s">
        <v>187</v>
      </c>
      <c r="F1493" s="2" t="s">
        <v>2270</v>
      </c>
      <c r="G1493" s="4">
        <v>96608</v>
      </c>
      <c r="H1493" s="5" t="s">
        <v>2271</v>
      </c>
      <c r="I1493" s="4">
        <v>13801</v>
      </c>
      <c r="J1493" s="6">
        <v>44776</v>
      </c>
      <c r="K1493" t="str">
        <f t="shared" si="46"/>
        <v>Q3 2022</v>
      </c>
      <c r="L1493" t="str">
        <f t="shared" si="47"/>
        <v>Q3 2022</v>
      </c>
    </row>
    <row r="1494" spans="1:12" ht="15.75" customHeight="1" x14ac:dyDescent="0.3">
      <c r="A1494" s="2" t="s">
        <v>2272</v>
      </c>
      <c r="B1494" s="2" t="s">
        <v>11</v>
      </c>
      <c r="C1494" s="2" t="s">
        <v>12</v>
      </c>
      <c r="D1494" s="2" t="s">
        <v>2265</v>
      </c>
      <c r="E1494" s="2" t="s">
        <v>187</v>
      </c>
      <c r="F1494" s="2" t="s">
        <v>580</v>
      </c>
      <c r="G1494" s="4">
        <v>189357</v>
      </c>
      <c r="H1494" s="5" t="s">
        <v>137</v>
      </c>
      <c r="I1494" s="4">
        <v>0</v>
      </c>
      <c r="J1494" s="6">
        <v>44599</v>
      </c>
      <c r="K1494" t="str">
        <f t="shared" si="46"/>
        <v>Q1 2022</v>
      </c>
      <c r="L1494" t="str">
        <f t="shared" si="47"/>
        <v>Q1 2022</v>
      </c>
    </row>
    <row r="1495" spans="1:12" ht="15.75" customHeight="1" x14ac:dyDescent="0.3">
      <c r="A1495" s="2" t="s">
        <v>2273</v>
      </c>
      <c r="B1495" s="2" t="s">
        <v>11</v>
      </c>
      <c r="C1495" s="2" t="s">
        <v>12</v>
      </c>
      <c r="D1495" s="2" t="s">
        <v>2265</v>
      </c>
      <c r="E1495" s="2" t="s">
        <v>187</v>
      </c>
      <c r="F1495" s="2" t="s">
        <v>580</v>
      </c>
      <c r="G1495" s="4">
        <v>122764</v>
      </c>
      <c r="H1495" s="5" t="s">
        <v>39</v>
      </c>
      <c r="I1495" s="4">
        <v>0</v>
      </c>
      <c r="J1495" s="6">
        <v>44603</v>
      </c>
      <c r="K1495" t="str">
        <f t="shared" si="46"/>
        <v>Q1 2022</v>
      </c>
      <c r="L1495" t="str">
        <f t="shared" si="47"/>
        <v>Q1 2022</v>
      </c>
    </row>
    <row r="1496" spans="1:12" ht="15.75" customHeight="1" x14ac:dyDescent="0.3">
      <c r="A1496" s="2" t="s">
        <v>2274</v>
      </c>
      <c r="B1496" s="2" t="s">
        <v>11</v>
      </c>
      <c r="C1496" s="2" t="s">
        <v>12</v>
      </c>
      <c r="D1496" s="2" t="s">
        <v>2265</v>
      </c>
      <c r="E1496" s="2" t="s">
        <v>187</v>
      </c>
      <c r="F1496" s="2" t="s">
        <v>2275</v>
      </c>
      <c r="G1496" s="4">
        <v>124768</v>
      </c>
      <c r="H1496" s="6">
        <v>44629</v>
      </c>
      <c r="I1496" s="4">
        <v>0</v>
      </c>
      <c r="J1496" s="6">
        <v>44603</v>
      </c>
      <c r="K1496" t="str">
        <f t="shared" si="46"/>
        <v>Q1 2022</v>
      </c>
      <c r="L1496" t="str">
        <f t="shared" si="47"/>
        <v>Q1 2022</v>
      </c>
    </row>
    <row r="1497" spans="1:12" ht="15.75" customHeight="1" x14ac:dyDescent="0.3">
      <c r="A1497" s="2" t="s">
        <v>2276</v>
      </c>
      <c r="B1497" s="2" t="s">
        <v>11</v>
      </c>
      <c r="C1497" s="2" t="s">
        <v>12</v>
      </c>
      <c r="D1497" s="2" t="s">
        <v>2265</v>
      </c>
      <c r="E1497" s="2" t="s">
        <v>187</v>
      </c>
      <c r="F1497" s="2" t="s">
        <v>2277</v>
      </c>
      <c r="G1497" s="2"/>
      <c r="H1497" s="6">
        <v>44749</v>
      </c>
      <c r="I1497" s="4">
        <v>0</v>
      </c>
      <c r="J1497" s="5" t="s">
        <v>1149</v>
      </c>
      <c r="K1497" t="str">
        <f t="shared" si="46"/>
        <v>Q3 2022</v>
      </c>
      <c r="L1497" t="str">
        <f t="shared" si="47"/>
        <v>Q3 2022</v>
      </c>
    </row>
    <row r="1498" spans="1:12" ht="15.75" customHeight="1" x14ac:dyDescent="0.3">
      <c r="A1498" s="2" t="s">
        <v>2278</v>
      </c>
      <c r="B1498" s="2" t="s">
        <v>11</v>
      </c>
      <c r="C1498" s="2" t="s">
        <v>12</v>
      </c>
      <c r="D1498" s="2" t="s">
        <v>2265</v>
      </c>
      <c r="E1498" s="2" t="s">
        <v>187</v>
      </c>
      <c r="F1498" s="2" t="s">
        <v>2279</v>
      </c>
      <c r="G1498" s="4">
        <v>110414</v>
      </c>
      <c r="H1498" s="6">
        <v>44630</v>
      </c>
      <c r="I1498" s="4">
        <v>0</v>
      </c>
      <c r="J1498" s="6">
        <v>44603</v>
      </c>
      <c r="K1498" t="str">
        <f t="shared" si="46"/>
        <v>Q1 2022</v>
      </c>
      <c r="L1498" t="str">
        <f t="shared" si="47"/>
        <v>Q1 2022</v>
      </c>
    </row>
    <row r="1499" spans="1:12" ht="15.75" customHeight="1" x14ac:dyDescent="0.3">
      <c r="A1499" s="2" t="s">
        <v>2280</v>
      </c>
      <c r="B1499" s="2" t="s">
        <v>20</v>
      </c>
      <c r="C1499" s="2" t="s">
        <v>21</v>
      </c>
      <c r="D1499" s="2" t="s">
        <v>2265</v>
      </c>
      <c r="E1499" s="2" t="s">
        <v>187</v>
      </c>
      <c r="F1499" s="2" t="s">
        <v>2281</v>
      </c>
      <c r="G1499" s="4">
        <v>508956</v>
      </c>
      <c r="H1499" s="5" t="s">
        <v>209</v>
      </c>
      <c r="I1499" s="4">
        <v>72708</v>
      </c>
      <c r="J1499" s="5" t="s">
        <v>210</v>
      </c>
      <c r="K1499" t="str">
        <f t="shared" si="46"/>
        <v>Q4 2022</v>
      </c>
      <c r="L1499" t="str">
        <f t="shared" si="47"/>
        <v>Q4 2022</v>
      </c>
    </row>
    <row r="1500" spans="1:12" ht="15.75" customHeight="1" x14ac:dyDescent="0.3">
      <c r="A1500" s="2" t="s">
        <v>2282</v>
      </c>
      <c r="B1500" s="2" t="s">
        <v>11</v>
      </c>
      <c r="C1500" s="2" t="s">
        <v>12</v>
      </c>
      <c r="D1500" s="2" t="s">
        <v>2265</v>
      </c>
      <c r="E1500" s="2" t="s">
        <v>187</v>
      </c>
      <c r="F1500" s="2" t="s">
        <v>46</v>
      </c>
      <c r="G1500" s="4">
        <v>118485</v>
      </c>
      <c r="H1500" s="6">
        <v>44298</v>
      </c>
      <c r="I1500" s="4">
        <v>0</v>
      </c>
      <c r="J1500" s="6">
        <v>44594</v>
      </c>
      <c r="K1500" t="str">
        <f t="shared" si="46"/>
        <v>Q1 2022</v>
      </c>
      <c r="L1500" t="str">
        <f t="shared" si="47"/>
        <v>Q1 2022</v>
      </c>
    </row>
    <row r="1501" spans="1:12" ht="15.75" customHeight="1" x14ac:dyDescent="0.3">
      <c r="A1501" s="80" t="s">
        <v>2283</v>
      </c>
      <c r="B1501" s="2" t="s">
        <v>11</v>
      </c>
      <c r="C1501" s="2" t="s">
        <v>12</v>
      </c>
      <c r="D1501" s="2" t="s">
        <v>2265</v>
      </c>
      <c r="E1501" s="2" t="s">
        <v>187</v>
      </c>
      <c r="F1501" s="2" t="s">
        <v>2284</v>
      </c>
      <c r="G1501" s="4">
        <v>189357</v>
      </c>
      <c r="H1501" s="5" t="s">
        <v>25</v>
      </c>
      <c r="I1501" s="4">
        <v>0</v>
      </c>
      <c r="J1501" s="6">
        <v>44603</v>
      </c>
      <c r="K1501" t="str">
        <f t="shared" si="46"/>
        <v>Q1 2022</v>
      </c>
      <c r="L1501" t="str">
        <f t="shared" si="47"/>
        <v>Q1 2022</v>
      </c>
    </row>
    <row r="1502" spans="1:12" ht="15.75" customHeight="1" x14ac:dyDescent="0.3">
      <c r="A1502" s="2" t="s">
        <v>2285</v>
      </c>
      <c r="B1502" s="2" t="s">
        <v>11</v>
      </c>
      <c r="C1502" s="2" t="s">
        <v>12</v>
      </c>
      <c r="D1502" s="2" t="s">
        <v>2265</v>
      </c>
      <c r="E1502" s="2" t="s">
        <v>187</v>
      </c>
      <c r="F1502" s="2" t="s">
        <v>2286</v>
      </c>
      <c r="G1502" s="2"/>
      <c r="H1502" s="7">
        <v>44875</v>
      </c>
      <c r="I1502" s="4">
        <v>0</v>
      </c>
      <c r="J1502" s="5" t="s">
        <v>36</v>
      </c>
      <c r="K1502" t="str">
        <f t="shared" si="46"/>
        <v>Q4 2022</v>
      </c>
      <c r="L1502" t="str">
        <f t="shared" si="47"/>
        <v>Q4 2022</v>
      </c>
    </row>
    <row r="1503" spans="1:12" ht="15.75" customHeight="1" x14ac:dyDescent="0.3">
      <c r="A1503" s="2" t="s">
        <v>2287</v>
      </c>
      <c r="B1503" s="2" t="s">
        <v>11</v>
      </c>
      <c r="C1503" s="2" t="s">
        <v>12</v>
      </c>
      <c r="D1503" s="2" t="s">
        <v>2265</v>
      </c>
      <c r="E1503" s="2" t="s">
        <v>187</v>
      </c>
      <c r="F1503" s="2" t="s">
        <v>2288</v>
      </c>
      <c r="G1503" s="4">
        <v>674447</v>
      </c>
      <c r="H1503" s="5" t="s">
        <v>71</v>
      </c>
      <c r="I1503" s="4">
        <v>0</v>
      </c>
      <c r="J1503" s="6">
        <v>44603</v>
      </c>
      <c r="K1503" t="str">
        <f t="shared" si="46"/>
        <v>Q1 2022</v>
      </c>
      <c r="L1503" t="str">
        <f t="shared" si="47"/>
        <v>Q1 2022</v>
      </c>
    </row>
    <row r="1504" spans="1:12" ht="15.75" customHeight="1" x14ac:dyDescent="0.3">
      <c r="A1504" s="2" t="s">
        <v>2289</v>
      </c>
      <c r="B1504" s="2" t="s">
        <v>11</v>
      </c>
      <c r="C1504" s="2" t="s">
        <v>12</v>
      </c>
      <c r="D1504" s="2" t="s">
        <v>2265</v>
      </c>
      <c r="E1504" s="2" t="s">
        <v>187</v>
      </c>
      <c r="F1504" s="2" t="s">
        <v>580</v>
      </c>
      <c r="G1504" s="4">
        <v>76100</v>
      </c>
      <c r="H1504" s="5" t="s">
        <v>30</v>
      </c>
      <c r="I1504" s="4">
        <v>0</v>
      </c>
      <c r="J1504" s="6">
        <v>44603</v>
      </c>
      <c r="K1504" t="str">
        <f t="shared" si="46"/>
        <v>Q1 2022</v>
      </c>
      <c r="L1504" t="str">
        <f t="shared" si="47"/>
        <v>Q1 2022</v>
      </c>
    </row>
    <row r="1505" spans="1:12" ht="15.75" customHeight="1" x14ac:dyDescent="0.3">
      <c r="A1505" s="2" t="s">
        <v>2290</v>
      </c>
      <c r="B1505" s="2" t="s">
        <v>11</v>
      </c>
      <c r="C1505" s="2" t="s">
        <v>12</v>
      </c>
      <c r="D1505" s="2" t="s">
        <v>2265</v>
      </c>
      <c r="E1505" s="2" t="s">
        <v>187</v>
      </c>
      <c r="F1505" s="2" t="s">
        <v>2291</v>
      </c>
      <c r="G1505" s="2"/>
      <c r="H1505" s="5" t="s">
        <v>282</v>
      </c>
      <c r="I1505" s="4">
        <v>0</v>
      </c>
      <c r="J1505" s="6">
        <v>44599</v>
      </c>
      <c r="K1505" t="str">
        <f t="shared" si="46"/>
        <v>Q1 2022</v>
      </c>
      <c r="L1505" t="str">
        <f t="shared" si="47"/>
        <v>Q1 2022</v>
      </c>
    </row>
    <row r="1506" spans="1:12" ht="15.75" customHeight="1" x14ac:dyDescent="0.3">
      <c r="A1506" s="2" t="s">
        <v>2292</v>
      </c>
      <c r="B1506" s="2" t="s">
        <v>11</v>
      </c>
      <c r="C1506" s="2" t="s">
        <v>12</v>
      </c>
      <c r="D1506" s="2" t="s">
        <v>2265</v>
      </c>
      <c r="E1506" s="2" t="s">
        <v>187</v>
      </c>
      <c r="F1506" s="2" t="s">
        <v>2293</v>
      </c>
      <c r="G1506" s="4">
        <v>96217</v>
      </c>
      <c r="H1506" s="5" t="s">
        <v>25</v>
      </c>
      <c r="I1506" s="4">
        <v>0</v>
      </c>
      <c r="J1506" s="6">
        <v>44603</v>
      </c>
      <c r="K1506" t="str">
        <f t="shared" si="46"/>
        <v>Q1 2022</v>
      </c>
      <c r="L1506" t="str">
        <f t="shared" si="47"/>
        <v>Q1 2022</v>
      </c>
    </row>
    <row r="1507" spans="1:12" ht="15.75" customHeight="1" x14ac:dyDescent="0.3">
      <c r="A1507" s="2" t="s">
        <v>2294</v>
      </c>
      <c r="B1507" s="2" t="s">
        <v>11</v>
      </c>
      <c r="C1507" s="2" t="s">
        <v>12</v>
      </c>
      <c r="D1507" s="2" t="s">
        <v>2265</v>
      </c>
      <c r="E1507" s="2" t="s">
        <v>187</v>
      </c>
      <c r="F1507" s="2" t="s">
        <v>46</v>
      </c>
      <c r="G1507" s="4">
        <v>60997</v>
      </c>
      <c r="H1507" s="6">
        <v>44630</v>
      </c>
      <c r="I1507" s="4">
        <v>0</v>
      </c>
      <c r="J1507" s="6">
        <v>44603</v>
      </c>
      <c r="K1507" t="str">
        <f t="shared" si="46"/>
        <v>Q1 2022</v>
      </c>
      <c r="L1507" t="str">
        <f t="shared" si="47"/>
        <v>Q1 2022</v>
      </c>
    </row>
    <row r="1508" spans="1:12" ht="15.75" customHeight="1" x14ac:dyDescent="0.3">
      <c r="A1508" s="2" t="s">
        <v>2295</v>
      </c>
      <c r="B1508" s="2" t="s">
        <v>20</v>
      </c>
      <c r="C1508" s="2" t="s">
        <v>21</v>
      </c>
      <c r="D1508" s="2" t="s">
        <v>2265</v>
      </c>
      <c r="E1508" s="2" t="s">
        <v>187</v>
      </c>
      <c r="F1508" s="2" t="s">
        <v>580</v>
      </c>
      <c r="G1508" s="4">
        <v>97719</v>
      </c>
      <c r="H1508" s="5" t="s">
        <v>2296</v>
      </c>
      <c r="I1508" s="4">
        <v>24430</v>
      </c>
      <c r="J1508" s="5" t="s">
        <v>210</v>
      </c>
      <c r="K1508" t="str">
        <f t="shared" si="46"/>
        <v>Q4 2022</v>
      </c>
      <c r="L1508" t="str">
        <f t="shared" si="47"/>
        <v>Q4 2022</v>
      </c>
    </row>
    <row r="1509" spans="1:12" ht="15.75" customHeight="1" x14ac:dyDescent="0.3">
      <c r="A1509" s="2" t="s">
        <v>2297</v>
      </c>
      <c r="B1509" s="2" t="s">
        <v>11</v>
      </c>
      <c r="C1509" s="2" t="s">
        <v>12</v>
      </c>
      <c r="D1509" s="2" t="s">
        <v>2265</v>
      </c>
      <c r="E1509" s="2" t="s">
        <v>187</v>
      </c>
      <c r="F1509" s="2" t="s">
        <v>2298</v>
      </c>
      <c r="G1509" s="4">
        <v>144674</v>
      </c>
      <c r="H1509" s="5" t="s">
        <v>42</v>
      </c>
      <c r="I1509" s="4">
        <v>0</v>
      </c>
      <c r="J1509" s="6">
        <v>44603</v>
      </c>
      <c r="K1509" t="str">
        <f t="shared" si="46"/>
        <v>Q1 2022</v>
      </c>
      <c r="L1509" t="str">
        <f t="shared" si="47"/>
        <v>Q1 2022</v>
      </c>
    </row>
    <row r="1510" spans="1:12" ht="15.75" customHeight="1" x14ac:dyDescent="0.3">
      <c r="A1510" s="2" t="s">
        <v>2299</v>
      </c>
      <c r="B1510" s="2" t="s">
        <v>11</v>
      </c>
      <c r="C1510" s="2" t="s">
        <v>12</v>
      </c>
      <c r="D1510" s="2" t="s">
        <v>2265</v>
      </c>
      <c r="E1510" s="2" t="s">
        <v>187</v>
      </c>
      <c r="F1510" s="2" t="s">
        <v>2300</v>
      </c>
      <c r="G1510" s="4">
        <v>50755</v>
      </c>
      <c r="H1510" s="6">
        <v>44629</v>
      </c>
      <c r="I1510" s="4">
        <v>0</v>
      </c>
      <c r="J1510" s="6">
        <v>44603</v>
      </c>
      <c r="K1510" t="str">
        <f t="shared" si="46"/>
        <v>Q1 2022</v>
      </c>
      <c r="L1510" t="str">
        <f t="shared" si="47"/>
        <v>Q1 2022</v>
      </c>
    </row>
    <row r="1511" spans="1:12" ht="15.75" customHeight="1" x14ac:dyDescent="0.3">
      <c r="A1511" s="2" t="s">
        <v>2301</v>
      </c>
      <c r="B1511" s="2" t="s">
        <v>20</v>
      </c>
      <c r="C1511" s="2" t="s">
        <v>21</v>
      </c>
      <c r="D1511" s="2" t="s">
        <v>2265</v>
      </c>
      <c r="E1511" s="2" t="s">
        <v>1075</v>
      </c>
      <c r="F1511" s="2" t="s">
        <v>2302</v>
      </c>
      <c r="G1511" s="4">
        <v>396857</v>
      </c>
      <c r="H1511" s="6">
        <v>44631</v>
      </c>
      <c r="I1511" s="4">
        <v>132286</v>
      </c>
      <c r="J1511" s="5" t="s">
        <v>97</v>
      </c>
      <c r="K1511" t="str">
        <f t="shared" si="46"/>
        <v>Q4 2022</v>
      </c>
      <c r="L1511" t="str">
        <f t="shared" si="47"/>
        <v>Q4 2022</v>
      </c>
    </row>
    <row r="1512" spans="1:12" ht="15.75" customHeight="1" x14ac:dyDescent="0.3">
      <c r="A1512" s="2" t="s">
        <v>2303</v>
      </c>
      <c r="B1512" s="2" t="s">
        <v>11</v>
      </c>
      <c r="C1512" s="2" t="s">
        <v>12</v>
      </c>
      <c r="D1512" s="2" t="s">
        <v>2265</v>
      </c>
      <c r="E1512" s="2" t="s">
        <v>187</v>
      </c>
      <c r="F1512" s="2" t="s">
        <v>580</v>
      </c>
      <c r="G1512" s="4">
        <v>77629</v>
      </c>
      <c r="H1512" s="6">
        <v>44866</v>
      </c>
      <c r="I1512" s="4">
        <v>0</v>
      </c>
      <c r="J1512" s="6">
        <v>44595</v>
      </c>
      <c r="K1512" t="str">
        <f t="shared" si="46"/>
        <v>Q1 2022</v>
      </c>
      <c r="L1512" t="str">
        <f t="shared" si="47"/>
        <v>Q1 2022</v>
      </c>
    </row>
    <row r="1513" spans="1:12" ht="15.75" customHeight="1" x14ac:dyDescent="0.3">
      <c r="A1513" s="2" t="s">
        <v>2304</v>
      </c>
      <c r="B1513" s="2" t="s">
        <v>11</v>
      </c>
      <c r="C1513" s="2" t="s">
        <v>12</v>
      </c>
      <c r="D1513" s="2" t="s">
        <v>2265</v>
      </c>
      <c r="E1513" s="2" t="s">
        <v>187</v>
      </c>
      <c r="F1513" s="2" t="s">
        <v>2305</v>
      </c>
      <c r="G1513" s="4">
        <v>94763</v>
      </c>
      <c r="H1513" s="5" t="s">
        <v>513</v>
      </c>
      <c r="I1513" s="4">
        <v>0</v>
      </c>
      <c r="J1513" s="6">
        <v>44600</v>
      </c>
      <c r="K1513" t="str">
        <f t="shared" si="46"/>
        <v>Q1 2022</v>
      </c>
      <c r="L1513" t="str">
        <f t="shared" si="47"/>
        <v>Q1 2022</v>
      </c>
    </row>
    <row r="1514" spans="1:12" ht="15.75" customHeight="1" x14ac:dyDescent="0.3">
      <c r="A1514" s="2" t="s">
        <v>2306</v>
      </c>
      <c r="B1514" s="2" t="s">
        <v>11</v>
      </c>
      <c r="C1514" s="2" t="s">
        <v>12</v>
      </c>
      <c r="D1514" s="2" t="s">
        <v>2265</v>
      </c>
      <c r="E1514" s="2" t="s">
        <v>187</v>
      </c>
      <c r="F1514" s="2" t="s">
        <v>580</v>
      </c>
      <c r="G1514" s="4">
        <v>96600</v>
      </c>
      <c r="H1514" s="5" t="s">
        <v>25</v>
      </c>
      <c r="I1514" s="4">
        <v>0</v>
      </c>
      <c r="J1514" s="6">
        <v>44603</v>
      </c>
      <c r="K1514" t="str">
        <f t="shared" si="46"/>
        <v>Q1 2022</v>
      </c>
      <c r="L1514" t="str">
        <f t="shared" si="47"/>
        <v>Q1 2022</v>
      </c>
    </row>
    <row r="1515" spans="1:12" ht="15.75" customHeight="1" x14ac:dyDescent="0.3">
      <c r="A1515" s="2" t="s">
        <v>2307</v>
      </c>
      <c r="B1515" s="2" t="s">
        <v>11</v>
      </c>
      <c r="C1515" s="2" t="s">
        <v>12</v>
      </c>
      <c r="D1515" s="2" t="s">
        <v>2265</v>
      </c>
      <c r="E1515" s="2" t="s">
        <v>187</v>
      </c>
      <c r="F1515" s="2" t="s">
        <v>2308</v>
      </c>
      <c r="G1515" s="4">
        <v>101483</v>
      </c>
      <c r="H1515" s="6">
        <v>44298</v>
      </c>
      <c r="I1515" s="4">
        <v>0</v>
      </c>
      <c r="J1515" s="6">
        <v>44594</v>
      </c>
      <c r="K1515" t="str">
        <f t="shared" si="46"/>
        <v>Q1 2022</v>
      </c>
      <c r="L1515" t="str">
        <f t="shared" si="47"/>
        <v>Q1 2022</v>
      </c>
    </row>
    <row r="1516" spans="1:12" ht="15.75" customHeight="1" x14ac:dyDescent="0.3">
      <c r="A1516" s="2" t="s">
        <v>2309</v>
      </c>
      <c r="B1516" s="2" t="s">
        <v>11</v>
      </c>
      <c r="C1516" s="2" t="s">
        <v>12</v>
      </c>
      <c r="D1516" s="2" t="s">
        <v>2265</v>
      </c>
      <c r="E1516" s="2" t="s">
        <v>187</v>
      </c>
      <c r="F1516" s="2" t="s">
        <v>2310</v>
      </c>
      <c r="G1516" s="4">
        <v>157796</v>
      </c>
      <c r="H1516" s="6">
        <v>44630</v>
      </c>
      <c r="I1516" s="4">
        <v>0</v>
      </c>
      <c r="J1516" s="6">
        <v>44603</v>
      </c>
      <c r="K1516" t="str">
        <f t="shared" si="46"/>
        <v>Q1 2022</v>
      </c>
      <c r="L1516" t="str">
        <f t="shared" si="47"/>
        <v>Q1 2022</v>
      </c>
    </row>
    <row r="1517" spans="1:12" ht="15.75" customHeight="1" x14ac:dyDescent="0.3">
      <c r="A1517" s="2" t="s">
        <v>2311</v>
      </c>
      <c r="B1517" s="2" t="s">
        <v>11</v>
      </c>
      <c r="C1517" s="2" t="s">
        <v>12</v>
      </c>
      <c r="D1517" s="2" t="s">
        <v>2265</v>
      </c>
      <c r="E1517" s="2" t="s">
        <v>187</v>
      </c>
      <c r="F1517" s="2" t="s">
        <v>2312</v>
      </c>
      <c r="G1517" s="4">
        <v>132351</v>
      </c>
      <c r="H1517" s="5" t="s">
        <v>42</v>
      </c>
      <c r="I1517" s="4">
        <v>0</v>
      </c>
      <c r="J1517" s="6">
        <v>44603</v>
      </c>
      <c r="K1517" t="str">
        <f t="shared" si="46"/>
        <v>Q1 2022</v>
      </c>
      <c r="L1517" t="str">
        <f t="shared" si="47"/>
        <v>Q1 2022</v>
      </c>
    </row>
    <row r="1518" spans="1:12" ht="15.75" customHeight="1" x14ac:dyDescent="0.3">
      <c r="A1518" s="2" t="s">
        <v>2313</v>
      </c>
      <c r="B1518" s="2" t="s">
        <v>11</v>
      </c>
      <c r="C1518" s="2" t="s">
        <v>12</v>
      </c>
      <c r="D1518" s="2" t="s">
        <v>2265</v>
      </c>
      <c r="E1518" s="2" t="s">
        <v>187</v>
      </c>
      <c r="F1518" s="2" t="s">
        <v>2314</v>
      </c>
      <c r="G1518" s="4">
        <v>86478</v>
      </c>
      <c r="H1518" s="5" t="s">
        <v>30</v>
      </c>
      <c r="I1518" s="4">
        <v>0</v>
      </c>
      <c r="J1518" s="6">
        <v>44603</v>
      </c>
      <c r="K1518" t="str">
        <f t="shared" si="46"/>
        <v>Q1 2022</v>
      </c>
      <c r="L1518" t="str">
        <f t="shared" si="47"/>
        <v>Q1 2022</v>
      </c>
    </row>
    <row r="1519" spans="1:12" ht="15.75" customHeight="1" x14ac:dyDescent="0.3">
      <c r="A1519" s="2" t="s">
        <v>2315</v>
      </c>
      <c r="B1519" s="2" t="s">
        <v>11</v>
      </c>
      <c r="C1519" s="2" t="s">
        <v>12</v>
      </c>
      <c r="D1519" s="2" t="s">
        <v>2265</v>
      </c>
      <c r="E1519" s="2" t="s">
        <v>187</v>
      </c>
      <c r="F1519" s="2" t="s">
        <v>2316</v>
      </c>
      <c r="G1519" s="2"/>
      <c r="H1519" s="5" t="s">
        <v>25</v>
      </c>
      <c r="I1519" s="4">
        <v>0</v>
      </c>
      <c r="J1519" s="6">
        <v>44603</v>
      </c>
      <c r="K1519" t="str">
        <f t="shared" si="46"/>
        <v>Q1 2022</v>
      </c>
      <c r="L1519" t="str">
        <f t="shared" si="47"/>
        <v>Q1 2022</v>
      </c>
    </row>
    <row r="1520" spans="1:12" ht="15.75" customHeight="1" x14ac:dyDescent="0.3">
      <c r="A1520" s="2" t="s">
        <v>2317</v>
      </c>
      <c r="B1520" s="2" t="s">
        <v>20</v>
      </c>
      <c r="C1520" s="2" t="s">
        <v>21</v>
      </c>
      <c r="D1520" s="2" t="s">
        <v>2265</v>
      </c>
      <c r="E1520" s="2" t="s">
        <v>187</v>
      </c>
      <c r="F1520" s="2" t="s">
        <v>2318</v>
      </c>
      <c r="G1520" s="4">
        <v>113625</v>
      </c>
      <c r="H1520" s="5" t="s">
        <v>422</v>
      </c>
      <c r="I1520" s="4">
        <v>56813</v>
      </c>
      <c r="J1520" s="5" t="s">
        <v>301</v>
      </c>
      <c r="K1520" t="str">
        <f t="shared" si="46"/>
        <v>Q4 2022</v>
      </c>
      <c r="L1520" t="str">
        <f t="shared" si="47"/>
        <v>Q4 2022</v>
      </c>
    </row>
    <row r="1521" spans="1:12" ht="15.75" customHeight="1" x14ac:dyDescent="0.3">
      <c r="A1521" s="2" t="s">
        <v>2319</v>
      </c>
      <c r="B1521" s="2" t="s">
        <v>11</v>
      </c>
      <c r="C1521" s="2" t="s">
        <v>12</v>
      </c>
      <c r="D1521" s="2" t="s">
        <v>2265</v>
      </c>
      <c r="E1521" s="2" t="s">
        <v>187</v>
      </c>
      <c r="F1521" s="2" t="s">
        <v>2320</v>
      </c>
      <c r="G1521" s="4">
        <v>143476</v>
      </c>
      <c r="H1521" s="5" t="s">
        <v>42</v>
      </c>
      <c r="I1521" s="4">
        <v>0</v>
      </c>
      <c r="J1521" s="6">
        <v>44603</v>
      </c>
      <c r="K1521" t="str">
        <f t="shared" si="46"/>
        <v>Q1 2022</v>
      </c>
      <c r="L1521" t="str">
        <f t="shared" si="47"/>
        <v>Q1 2022</v>
      </c>
    </row>
    <row r="1522" spans="1:12" ht="15.75" customHeight="1" x14ac:dyDescent="0.3">
      <c r="A1522" s="2" t="s">
        <v>2321</v>
      </c>
      <c r="B1522" s="2" t="s">
        <v>11</v>
      </c>
      <c r="C1522" s="2" t="s">
        <v>12</v>
      </c>
      <c r="D1522" s="2" t="s">
        <v>2265</v>
      </c>
      <c r="E1522" s="2" t="s">
        <v>187</v>
      </c>
      <c r="F1522" s="2" t="s">
        <v>2322</v>
      </c>
      <c r="G1522" s="4">
        <v>115471</v>
      </c>
      <c r="H1522" s="5" t="s">
        <v>142</v>
      </c>
      <c r="I1522" s="4">
        <v>0</v>
      </c>
      <c r="J1522" s="6">
        <v>44596</v>
      </c>
      <c r="K1522" t="str">
        <f t="shared" si="46"/>
        <v>Q1 2022</v>
      </c>
      <c r="L1522" t="str">
        <f t="shared" si="47"/>
        <v>Q1 2022</v>
      </c>
    </row>
    <row r="1523" spans="1:12" ht="15.75" customHeight="1" x14ac:dyDescent="0.3">
      <c r="A1523" s="2" t="s">
        <v>2323</v>
      </c>
      <c r="B1523" s="2" t="s">
        <v>11</v>
      </c>
      <c r="C1523" s="2" t="s">
        <v>12</v>
      </c>
      <c r="D1523" s="2" t="s">
        <v>2265</v>
      </c>
      <c r="E1523" s="2" t="s">
        <v>187</v>
      </c>
      <c r="F1523" s="2" t="s">
        <v>2324</v>
      </c>
      <c r="G1523" s="4">
        <v>89781</v>
      </c>
      <c r="H1523" s="5" t="s">
        <v>236</v>
      </c>
      <c r="I1523" s="4">
        <v>0</v>
      </c>
      <c r="J1523" s="6">
        <v>44596</v>
      </c>
      <c r="K1523" t="str">
        <f t="shared" si="46"/>
        <v>Q1 2022</v>
      </c>
      <c r="L1523" t="str">
        <f t="shared" si="47"/>
        <v>Q1 2022</v>
      </c>
    </row>
    <row r="1524" spans="1:12" ht="15.75" customHeight="1" x14ac:dyDescent="0.3">
      <c r="A1524" s="2" t="s">
        <v>2325</v>
      </c>
      <c r="B1524" s="2" t="s">
        <v>11</v>
      </c>
      <c r="C1524" s="2" t="s">
        <v>12</v>
      </c>
      <c r="D1524" s="2" t="s">
        <v>2265</v>
      </c>
      <c r="E1524" s="2" t="s">
        <v>2326</v>
      </c>
      <c r="F1524" s="2" t="s">
        <v>46</v>
      </c>
      <c r="G1524" s="4">
        <v>143711</v>
      </c>
      <c r="H1524" s="5" t="s">
        <v>463</v>
      </c>
      <c r="I1524" s="4">
        <v>0</v>
      </c>
      <c r="J1524" s="6">
        <v>44599</v>
      </c>
      <c r="K1524" t="str">
        <f t="shared" si="46"/>
        <v>Q1 2022</v>
      </c>
      <c r="L1524" t="str">
        <f t="shared" si="47"/>
        <v>Q1 2022</v>
      </c>
    </row>
    <row r="1525" spans="1:12" ht="15.75" customHeight="1" x14ac:dyDescent="0.3">
      <c r="A1525" s="2" t="s">
        <v>2327</v>
      </c>
      <c r="B1525" s="2" t="s">
        <v>11</v>
      </c>
      <c r="C1525" s="2" t="s">
        <v>12</v>
      </c>
      <c r="D1525" s="2" t="s">
        <v>2265</v>
      </c>
      <c r="E1525" s="2" t="s">
        <v>187</v>
      </c>
      <c r="F1525" s="2" t="s">
        <v>2328</v>
      </c>
      <c r="G1525" s="4">
        <v>95495</v>
      </c>
      <c r="H1525" s="5" t="s">
        <v>39</v>
      </c>
      <c r="I1525" s="4">
        <v>0</v>
      </c>
      <c r="J1525" s="6">
        <v>44603</v>
      </c>
      <c r="K1525" t="str">
        <f t="shared" si="46"/>
        <v>Q1 2022</v>
      </c>
      <c r="L1525" t="str">
        <f t="shared" si="47"/>
        <v>Q1 2022</v>
      </c>
    </row>
    <row r="1526" spans="1:12" ht="15.75" customHeight="1" x14ac:dyDescent="0.3">
      <c r="A1526" s="2" t="s">
        <v>2329</v>
      </c>
      <c r="B1526" s="2" t="s">
        <v>11</v>
      </c>
      <c r="C1526" s="2" t="s">
        <v>12</v>
      </c>
      <c r="D1526" s="2" t="s">
        <v>2265</v>
      </c>
      <c r="E1526" s="2" t="s">
        <v>187</v>
      </c>
      <c r="F1526" s="2" t="s">
        <v>2330</v>
      </c>
      <c r="G1526" s="4">
        <v>69503</v>
      </c>
      <c r="H1526" s="6">
        <v>45201</v>
      </c>
      <c r="I1526" s="4">
        <v>0</v>
      </c>
      <c r="J1526" s="6">
        <v>44960</v>
      </c>
      <c r="K1526" t="str">
        <f t="shared" si="46"/>
        <v>Q1 2023</v>
      </c>
      <c r="L1526" t="str">
        <f t="shared" si="47"/>
        <v>Q1 2023</v>
      </c>
    </row>
    <row r="1527" spans="1:12" ht="15.75" customHeight="1" x14ac:dyDescent="0.3">
      <c r="A1527" s="2" t="s">
        <v>2331</v>
      </c>
      <c r="B1527" s="2" t="s">
        <v>20</v>
      </c>
      <c r="C1527" s="2" t="s">
        <v>57</v>
      </c>
      <c r="D1527" s="2" t="s">
        <v>2265</v>
      </c>
      <c r="E1527" s="2" t="s">
        <v>187</v>
      </c>
      <c r="F1527" s="2" t="s">
        <v>2332</v>
      </c>
      <c r="G1527" s="4">
        <v>115094</v>
      </c>
      <c r="H1527" s="5" t="s">
        <v>2333</v>
      </c>
      <c r="I1527" s="4">
        <v>8853</v>
      </c>
      <c r="J1527" s="6">
        <v>44780</v>
      </c>
      <c r="K1527" t="str">
        <f t="shared" si="46"/>
        <v>Q3 2022</v>
      </c>
      <c r="L1527" t="str">
        <f t="shared" si="47"/>
        <v>Q3 2022</v>
      </c>
    </row>
    <row r="1528" spans="1:12" ht="15.75" customHeight="1" x14ac:dyDescent="0.3">
      <c r="A1528" s="2" t="s">
        <v>2334</v>
      </c>
      <c r="B1528" s="2" t="s">
        <v>20</v>
      </c>
      <c r="C1528" s="2" t="s">
        <v>21</v>
      </c>
      <c r="D1528" s="2" t="s">
        <v>2265</v>
      </c>
      <c r="E1528" s="2" t="s">
        <v>187</v>
      </c>
      <c r="F1528" s="2" t="s">
        <v>2335</v>
      </c>
      <c r="G1528" s="4">
        <v>88021</v>
      </c>
      <c r="H1528" s="5" t="s">
        <v>2336</v>
      </c>
      <c r="I1528" s="4">
        <v>6287</v>
      </c>
      <c r="J1528" s="5" t="s">
        <v>97</v>
      </c>
      <c r="K1528" t="str">
        <f t="shared" si="46"/>
        <v>Q4 2022</v>
      </c>
      <c r="L1528" t="str">
        <f t="shared" si="47"/>
        <v>Q4 2022</v>
      </c>
    </row>
    <row r="1529" spans="1:12" ht="15.75" customHeight="1" x14ac:dyDescent="0.3">
      <c r="A1529" s="2" t="s">
        <v>2337</v>
      </c>
      <c r="B1529" s="2" t="s">
        <v>20</v>
      </c>
      <c r="C1529" s="2" t="s">
        <v>21</v>
      </c>
      <c r="D1529" s="2" t="s">
        <v>2265</v>
      </c>
      <c r="E1529" s="2" t="s">
        <v>187</v>
      </c>
      <c r="F1529" s="2" t="s">
        <v>2318</v>
      </c>
      <c r="G1529" s="4">
        <v>78207</v>
      </c>
      <c r="H1529" s="5" t="s">
        <v>1685</v>
      </c>
      <c r="I1529" s="4">
        <v>15641</v>
      </c>
      <c r="J1529" s="5" t="s">
        <v>1102</v>
      </c>
      <c r="K1529" t="str">
        <f t="shared" si="46"/>
        <v>Q1 2022</v>
      </c>
      <c r="L1529" t="str">
        <f t="shared" si="47"/>
        <v>Q1 2022</v>
      </c>
    </row>
    <row r="1530" spans="1:12" ht="15.75" customHeight="1" x14ac:dyDescent="0.3">
      <c r="A1530" s="2" t="s">
        <v>2338</v>
      </c>
      <c r="B1530" s="2" t="s">
        <v>11</v>
      </c>
      <c r="C1530" s="2" t="s">
        <v>12</v>
      </c>
      <c r="D1530" s="2" t="s">
        <v>2265</v>
      </c>
      <c r="E1530" s="2" t="s">
        <v>187</v>
      </c>
      <c r="F1530" s="2" t="s">
        <v>2339</v>
      </c>
      <c r="G1530" s="4">
        <v>77468</v>
      </c>
      <c r="H1530" s="5" t="s">
        <v>236</v>
      </c>
      <c r="I1530" s="4">
        <v>0</v>
      </c>
      <c r="J1530" s="6">
        <v>44596</v>
      </c>
      <c r="K1530" t="str">
        <f t="shared" si="46"/>
        <v>Q1 2022</v>
      </c>
      <c r="L1530" t="str">
        <f t="shared" si="47"/>
        <v>Q1 2022</v>
      </c>
    </row>
    <row r="1531" spans="1:12" ht="15.75" customHeight="1" x14ac:dyDescent="0.3">
      <c r="A1531" s="2" t="s">
        <v>2340</v>
      </c>
      <c r="B1531" s="2" t="s">
        <v>11</v>
      </c>
      <c r="C1531" s="2" t="s">
        <v>12</v>
      </c>
      <c r="D1531" s="2" t="s">
        <v>2265</v>
      </c>
      <c r="E1531" s="2" t="s">
        <v>187</v>
      </c>
      <c r="F1531" s="2" t="s">
        <v>2341</v>
      </c>
      <c r="G1531" s="4">
        <v>51499</v>
      </c>
      <c r="H1531" s="5" t="s">
        <v>82</v>
      </c>
      <c r="I1531" s="4">
        <v>0</v>
      </c>
      <c r="J1531" s="6">
        <v>44597</v>
      </c>
      <c r="K1531" t="str">
        <f t="shared" si="46"/>
        <v>Q1 2022</v>
      </c>
      <c r="L1531" t="str">
        <f t="shared" si="47"/>
        <v>Q1 2022</v>
      </c>
    </row>
    <row r="1532" spans="1:12" ht="15.75" customHeight="1" x14ac:dyDescent="0.3">
      <c r="A1532" s="2" t="s">
        <v>2342</v>
      </c>
      <c r="B1532" s="2" t="s">
        <v>20</v>
      </c>
      <c r="C1532" s="2" t="s">
        <v>21</v>
      </c>
      <c r="D1532" s="2" t="s">
        <v>2265</v>
      </c>
      <c r="E1532" s="2" t="s">
        <v>187</v>
      </c>
      <c r="F1532" s="2" t="s">
        <v>2310</v>
      </c>
      <c r="G1532" s="4">
        <v>209804</v>
      </c>
      <c r="H1532" s="6">
        <v>44724</v>
      </c>
      <c r="I1532" s="4">
        <v>69935</v>
      </c>
      <c r="J1532" s="6">
        <v>45047</v>
      </c>
      <c r="K1532" t="str">
        <f t="shared" si="46"/>
        <v>Q2 2023</v>
      </c>
      <c r="L1532" t="str">
        <f t="shared" si="47"/>
        <v>Q2 2023</v>
      </c>
    </row>
    <row r="1533" spans="1:12" ht="15.75" customHeight="1" x14ac:dyDescent="0.3">
      <c r="A1533" s="2" t="s">
        <v>2343</v>
      </c>
      <c r="B1533" s="2" t="s">
        <v>11</v>
      </c>
      <c r="C1533" s="2" t="s">
        <v>12</v>
      </c>
      <c r="D1533" s="2" t="s">
        <v>2265</v>
      </c>
      <c r="E1533" s="2" t="s">
        <v>187</v>
      </c>
      <c r="F1533" s="2" t="s">
        <v>2344</v>
      </c>
      <c r="G1533" s="4">
        <v>74071</v>
      </c>
      <c r="H1533" s="5" t="s">
        <v>39</v>
      </c>
      <c r="I1533" s="4">
        <v>0</v>
      </c>
      <c r="J1533" s="6">
        <v>44603</v>
      </c>
      <c r="K1533" t="str">
        <f t="shared" si="46"/>
        <v>Q1 2022</v>
      </c>
      <c r="L1533" t="str">
        <f t="shared" si="47"/>
        <v>Q1 2022</v>
      </c>
    </row>
    <row r="1534" spans="1:12" ht="15.75" customHeight="1" x14ac:dyDescent="0.3">
      <c r="A1534" s="2" t="s">
        <v>2345</v>
      </c>
      <c r="B1534" s="2" t="s">
        <v>11</v>
      </c>
      <c r="C1534" s="2" t="s">
        <v>12</v>
      </c>
      <c r="D1534" s="2" t="s">
        <v>2265</v>
      </c>
      <c r="E1534" s="2" t="s">
        <v>187</v>
      </c>
      <c r="F1534" s="2" t="s">
        <v>2346</v>
      </c>
      <c r="G1534" s="4">
        <v>413847</v>
      </c>
      <c r="H1534" s="5" t="s">
        <v>1661</v>
      </c>
      <c r="I1534" s="4">
        <v>0</v>
      </c>
      <c r="J1534" s="6">
        <v>44959</v>
      </c>
      <c r="K1534" t="str">
        <f t="shared" si="46"/>
        <v>Q1 2023</v>
      </c>
      <c r="L1534" t="str">
        <f t="shared" si="47"/>
        <v>Q1 2023</v>
      </c>
    </row>
    <row r="1535" spans="1:12" ht="15.75" customHeight="1" x14ac:dyDescent="0.3">
      <c r="A1535" s="2" t="s">
        <v>2347</v>
      </c>
      <c r="B1535" s="2" t="s">
        <v>11</v>
      </c>
      <c r="C1535" s="2" t="s">
        <v>12</v>
      </c>
      <c r="D1535" s="2" t="s">
        <v>2265</v>
      </c>
      <c r="E1535" s="2" t="s">
        <v>187</v>
      </c>
      <c r="F1535" s="2" t="s">
        <v>2348</v>
      </c>
      <c r="G1535" s="2"/>
      <c r="H1535" s="5" t="s">
        <v>130</v>
      </c>
      <c r="I1535" s="4">
        <v>0</v>
      </c>
      <c r="J1535" s="6">
        <v>44601</v>
      </c>
      <c r="K1535" t="str">
        <f t="shared" si="46"/>
        <v>Q1 2022</v>
      </c>
      <c r="L1535" t="str">
        <f t="shared" si="47"/>
        <v>Q1 2022</v>
      </c>
    </row>
    <row r="1536" spans="1:12" ht="15.75" customHeight="1" x14ac:dyDescent="0.3">
      <c r="A1536" s="2" t="s">
        <v>2349</v>
      </c>
      <c r="B1536" s="2" t="s">
        <v>11</v>
      </c>
      <c r="C1536" s="2" t="s">
        <v>12</v>
      </c>
      <c r="D1536" s="2" t="s">
        <v>2265</v>
      </c>
      <c r="E1536" s="2" t="s">
        <v>187</v>
      </c>
      <c r="F1536" s="2" t="s">
        <v>46</v>
      </c>
      <c r="G1536" s="4">
        <v>111942</v>
      </c>
      <c r="H1536" s="5" t="s">
        <v>71</v>
      </c>
      <c r="I1536" s="4">
        <v>0</v>
      </c>
      <c r="J1536" s="6">
        <v>44603</v>
      </c>
      <c r="K1536" t="str">
        <f t="shared" si="46"/>
        <v>Q1 2022</v>
      </c>
      <c r="L1536" t="str">
        <f t="shared" si="47"/>
        <v>Q1 2022</v>
      </c>
    </row>
    <row r="1537" spans="1:12" ht="15.75" customHeight="1" x14ac:dyDescent="0.3">
      <c r="A1537" s="2" t="s">
        <v>2350</v>
      </c>
      <c r="B1537" s="2" t="s">
        <v>11</v>
      </c>
      <c r="C1537" s="2" t="s">
        <v>12</v>
      </c>
      <c r="D1537" s="2" t="s">
        <v>2265</v>
      </c>
      <c r="E1537" s="2" t="s">
        <v>187</v>
      </c>
      <c r="F1537" s="2" t="s">
        <v>580</v>
      </c>
      <c r="G1537" s="2"/>
      <c r="H1537" s="5" t="s">
        <v>30</v>
      </c>
      <c r="I1537" s="4">
        <v>0</v>
      </c>
      <c r="J1537" s="6">
        <v>44603</v>
      </c>
      <c r="K1537" t="str">
        <f t="shared" si="46"/>
        <v>Q1 2022</v>
      </c>
      <c r="L1537" t="str">
        <f t="shared" si="47"/>
        <v>Q1 2022</v>
      </c>
    </row>
    <row r="1538" spans="1:12" ht="15.75" customHeight="1" x14ac:dyDescent="0.3">
      <c r="A1538" s="2" t="s">
        <v>2351</v>
      </c>
      <c r="B1538" s="2" t="s">
        <v>11</v>
      </c>
      <c r="C1538" s="2" t="s">
        <v>12</v>
      </c>
      <c r="D1538" s="2" t="s">
        <v>2265</v>
      </c>
      <c r="E1538" s="2" t="s">
        <v>187</v>
      </c>
      <c r="F1538" s="2" t="s">
        <v>2352</v>
      </c>
      <c r="G1538" s="4">
        <v>110357</v>
      </c>
      <c r="H1538" s="5" t="s">
        <v>30</v>
      </c>
      <c r="I1538" s="4">
        <v>0</v>
      </c>
      <c r="J1538" s="6">
        <v>44603</v>
      </c>
      <c r="K1538" t="str">
        <f t="shared" ref="K1538:K1601" si="48">"Q" &amp; ROUNDUP(MONTH(J:J)/3,0) &amp; " " &amp; YEAR(J:J)</f>
        <v>Q1 2022</v>
      </c>
      <c r="L1538" t="str">
        <f t="shared" ref="L1538:L1601" si="49">"Q" &amp; ROUNDUP(MONTH(J:J)/3,0) &amp; " " &amp; YEAR(J:J)</f>
        <v>Q1 2022</v>
      </c>
    </row>
    <row r="1539" spans="1:12" ht="15.75" customHeight="1" x14ac:dyDescent="0.3">
      <c r="A1539" s="2" t="s">
        <v>2353</v>
      </c>
      <c r="B1539" s="2" t="s">
        <v>11</v>
      </c>
      <c r="C1539" s="2" t="s">
        <v>12</v>
      </c>
      <c r="D1539" s="2" t="s">
        <v>2265</v>
      </c>
      <c r="E1539" s="2" t="s">
        <v>187</v>
      </c>
      <c r="F1539" s="2" t="s">
        <v>2354</v>
      </c>
      <c r="G1539" s="4">
        <v>209215</v>
      </c>
      <c r="H1539" s="6">
        <v>44630</v>
      </c>
      <c r="I1539" s="4">
        <v>0</v>
      </c>
      <c r="J1539" s="6">
        <v>44603</v>
      </c>
      <c r="K1539" t="str">
        <f t="shared" si="48"/>
        <v>Q1 2022</v>
      </c>
      <c r="L1539" t="str">
        <f t="shared" si="49"/>
        <v>Q1 2022</v>
      </c>
    </row>
    <row r="1540" spans="1:12" ht="15.75" customHeight="1" x14ac:dyDescent="0.3">
      <c r="A1540" s="2" t="s">
        <v>2355</v>
      </c>
      <c r="B1540" s="2" t="s">
        <v>11</v>
      </c>
      <c r="C1540" s="2" t="s">
        <v>12</v>
      </c>
      <c r="D1540" s="2" t="s">
        <v>2265</v>
      </c>
      <c r="E1540" s="2" t="s">
        <v>187</v>
      </c>
      <c r="F1540" s="2" t="s">
        <v>188</v>
      </c>
      <c r="G1540" s="4">
        <v>118106</v>
      </c>
      <c r="H1540" s="5" t="s">
        <v>39</v>
      </c>
      <c r="I1540" s="4">
        <v>0</v>
      </c>
      <c r="J1540" s="6">
        <v>44603</v>
      </c>
      <c r="K1540" t="str">
        <f t="shared" si="48"/>
        <v>Q1 2022</v>
      </c>
      <c r="L1540" t="str">
        <f t="shared" si="49"/>
        <v>Q1 2022</v>
      </c>
    </row>
    <row r="1541" spans="1:12" ht="15.75" customHeight="1" x14ac:dyDescent="0.3">
      <c r="A1541" s="2" t="s">
        <v>2356</v>
      </c>
      <c r="B1541" s="2" t="s">
        <v>11</v>
      </c>
      <c r="C1541" s="2" t="s">
        <v>12</v>
      </c>
      <c r="D1541" s="2" t="s">
        <v>2265</v>
      </c>
      <c r="E1541" s="2" t="s">
        <v>187</v>
      </c>
      <c r="F1541" s="2" t="s">
        <v>2357</v>
      </c>
      <c r="G1541" s="4">
        <v>74071</v>
      </c>
      <c r="H1541" s="5" t="s">
        <v>197</v>
      </c>
      <c r="I1541" s="4">
        <v>0</v>
      </c>
      <c r="J1541" s="6">
        <v>44601</v>
      </c>
      <c r="K1541" t="str">
        <f t="shared" si="48"/>
        <v>Q1 2022</v>
      </c>
      <c r="L1541" t="str">
        <f t="shared" si="49"/>
        <v>Q1 2022</v>
      </c>
    </row>
    <row r="1542" spans="1:12" ht="15.75" customHeight="1" x14ac:dyDescent="0.3">
      <c r="A1542" s="2" t="s">
        <v>2358</v>
      </c>
      <c r="B1542" s="2" t="s">
        <v>20</v>
      </c>
      <c r="C1542" s="2" t="s">
        <v>21</v>
      </c>
      <c r="D1542" s="2" t="s">
        <v>2265</v>
      </c>
      <c r="E1542" s="2" t="s">
        <v>187</v>
      </c>
      <c r="F1542" s="2" t="s">
        <v>580</v>
      </c>
      <c r="G1542" s="4">
        <v>229821</v>
      </c>
      <c r="H1542" s="5" t="s">
        <v>93</v>
      </c>
      <c r="I1542" s="4">
        <v>57455</v>
      </c>
      <c r="J1542" s="7">
        <v>44876</v>
      </c>
      <c r="K1542" t="str">
        <f t="shared" si="48"/>
        <v>Q4 2022</v>
      </c>
      <c r="L1542" t="str">
        <f t="shared" si="49"/>
        <v>Q4 2022</v>
      </c>
    </row>
    <row r="1543" spans="1:12" ht="15.75" customHeight="1" x14ac:dyDescent="0.3">
      <c r="A1543" s="2" t="s">
        <v>2359</v>
      </c>
      <c r="B1543" s="2" t="s">
        <v>11</v>
      </c>
      <c r="C1543" s="2" t="s">
        <v>12</v>
      </c>
      <c r="D1543" s="2" t="s">
        <v>2265</v>
      </c>
      <c r="E1543" s="2" t="s">
        <v>187</v>
      </c>
      <c r="F1543" s="2" t="s">
        <v>188</v>
      </c>
      <c r="G1543" s="4">
        <v>124635</v>
      </c>
      <c r="H1543" s="5" t="s">
        <v>25</v>
      </c>
      <c r="I1543" s="4">
        <v>0</v>
      </c>
      <c r="J1543" s="6">
        <v>44603</v>
      </c>
      <c r="K1543" t="str">
        <f t="shared" si="48"/>
        <v>Q1 2022</v>
      </c>
      <c r="L1543" t="str">
        <f t="shared" si="49"/>
        <v>Q1 2022</v>
      </c>
    </row>
    <row r="1544" spans="1:12" ht="15.75" customHeight="1" x14ac:dyDescent="0.3">
      <c r="A1544" s="2" t="s">
        <v>2360</v>
      </c>
      <c r="B1544" s="2" t="s">
        <v>11</v>
      </c>
      <c r="C1544" s="2" t="s">
        <v>12</v>
      </c>
      <c r="D1544" s="2" t="s">
        <v>2265</v>
      </c>
      <c r="E1544" s="2" t="s">
        <v>187</v>
      </c>
      <c r="F1544" s="2" t="s">
        <v>46</v>
      </c>
      <c r="G1544" s="4">
        <v>155753</v>
      </c>
      <c r="H1544" s="6">
        <v>44630</v>
      </c>
      <c r="I1544" s="4">
        <v>0</v>
      </c>
      <c r="J1544" s="6">
        <v>44603</v>
      </c>
      <c r="K1544" t="str">
        <f t="shared" si="48"/>
        <v>Q1 2022</v>
      </c>
      <c r="L1544" t="str">
        <f t="shared" si="49"/>
        <v>Q1 2022</v>
      </c>
    </row>
    <row r="1545" spans="1:12" ht="15.75" customHeight="1" x14ac:dyDescent="0.3">
      <c r="A1545" s="2" t="s">
        <v>2361</v>
      </c>
      <c r="B1545" s="2" t="s">
        <v>11</v>
      </c>
      <c r="C1545" s="2" t="s">
        <v>12</v>
      </c>
      <c r="D1545" s="2" t="s">
        <v>2265</v>
      </c>
      <c r="E1545" s="2" t="s">
        <v>187</v>
      </c>
      <c r="F1545" s="2" t="s">
        <v>2362</v>
      </c>
      <c r="G1545" s="4">
        <v>86462</v>
      </c>
      <c r="H1545" s="6">
        <v>44630</v>
      </c>
      <c r="I1545" s="4">
        <v>0</v>
      </c>
      <c r="J1545" s="6">
        <v>44603</v>
      </c>
      <c r="K1545" t="str">
        <f t="shared" si="48"/>
        <v>Q1 2022</v>
      </c>
      <c r="L1545" t="str">
        <f t="shared" si="49"/>
        <v>Q1 2022</v>
      </c>
    </row>
    <row r="1546" spans="1:12" ht="15.75" customHeight="1" x14ac:dyDescent="0.3">
      <c r="A1546" s="2" t="s">
        <v>2363</v>
      </c>
      <c r="B1546" s="2" t="s">
        <v>11</v>
      </c>
      <c r="C1546" s="2" t="s">
        <v>12</v>
      </c>
      <c r="D1546" s="2" t="s">
        <v>2265</v>
      </c>
      <c r="E1546" s="2" t="s">
        <v>187</v>
      </c>
      <c r="F1546" s="2" t="s">
        <v>2364</v>
      </c>
      <c r="G1546" s="4">
        <v>209272</v>
      </c>
      <c r="H1546" s="5" t="s">
        <v>25</v>
      </c>
      <c r="I1546" s="4">
        <v>0</v>
      </c>
      <c r="J1546" s="6">
        <v>44603</v>
      </c>
      <c r="K1546" t="str">
        <f t="shared" si="48"/>
        <v>Q1 2022</v>
      </c>
      <c r="L1546" t="str">
        <f t="shared" si="49"/>
        <v>Q1 2022</v>
      </c>
    </row>
    <row r="1547" spans="1:12" ht="15.75" customHeight="1" x14ac:dyDescent="0.3">
      <c r="A1547" s="2" t="s">
        <v>2365</v>
      </c>
      <c r="B1547" s="2" t="s">
        <v>20</v>
      </c>
      <c r="C1547" s="2" t="s">
        <v>21</v>
      </c>
      <c r="D1547" s="2" t="s">
        <v>2265</v>
      </c>
      <c r="E1547" s="2" t="s">
        <v>187</v>
      </c>
      <c r="F1547" s="2" t="s">
        <v>2310</v>
      </c>
      <c r="G1547" s="4">
        <v>164446</v>
      </c>
      <c r="H1547" s="6">
        <v>45017</v>
      </c>
      <c r="I1547" s="4">
        <v>82223</v>
      </c>
      <c r="J1547" s="5" t="s">
        <v>2366</v>
      </c>
      <c r="K1547" t="str">
        <f t="shared" si="48"/>
        <v>Q1 2023</v>
      </c>
      <c r="L1547" t="str">
        <f t="shared" si="49"/>
        <v>Q1 2023</v>
      </c>
    </row>
    <row r="1548" spans="1:12" ht="15.75" customHeight="1" x14ac:dyDescent="0.3">
      <c r="A1548" s="2" t="s">
        <v>2367</v>
      </c>
      <c r="B1548" s="2" t="s">
        <v>11</v>
      </c>
      <c r="C1548" s="2" t="s">
        <v>12</v>
      </c>
      <c r="D1548" s="2" t="s">
        <v>2265</v>
      </c>
      <c r="E1548" s="2" t="s">
        <v>187</v>
      </c>
      <c r="F1548" s="2" t="s">
        <v>2368</v>
      </c>
      <c r="G1548" s="4">
        <v>179049</v>
      </c>
      <c r="H1548" s="5" t="s">
        <v>39</v>
      </c>
      <c r="I1548" s="4">
        <v>0</v>
      </c>
      <c r="J1548" s="6">
        <v>44603</v>
      </c>
      <c r="K1548" t="str">
        <f t="shared" si="48"/>
        <v>Q1 2022</v>
      </c>
      <c r="L1548" t="str">
        <f t="shared" si="49"/>
        <v>Q1 2022</v>
      </c>
    </row>
    <row r="1549" spans="1:12" ht="15.75" customHeight="1" x14ac:dyDescent="0.3">
      <c r="A1549" s="2" t="s">
        <v>2369</v>
      </c>
      <c r="B1549" s="2" t="s">
        <v>11</v>
      </c>
      <c r="C1549" s="2" t="s">
        <v>12</v>
      </c>
      <c r="D1549" s="2" t="s">
        <v>2265</v>
      </c>
      <c r="E1549" s="2" t="s">
        <v>187</v>
      </c>
      <c r="F1549" s="2" t="s">
        <v>2370</v>
      </c>
      <c r="G1549" s="4">
        <v>96628</v>
      </c>
      <c r="H1549" s="5" t="s">
        <v>25</v>
      </c>
      <c r="I1549" s="4">
        <v>0</v>
      </c>
      <c r="J1549" s="6">
        <v>44603</v>
      </c>
      <c r="K1549" t="str">
        <f t="shared" si="48"/>
        <v>Q1 2022</v>
      </c>
      <c r="L1549" t="str">
        <f t="shared" si="49"/>
        <v>Q1 2022</v>
      </c>
    </row>
    <row r="1550" spans="1:12" ht="15.75" customHeight="1" x14ac:dyDescent="0.3">
      <c r="A1550" s="2" t="s">
        <v>2371</v>
      </c>
      <c r="B1550" s="2" t="s">
        <v>11</v>
      </c>
      <c r="C1550" s="2" t="s">
        <v>12</v>
      </c>
      <c r="D1550" s="2" t="s">
        <v>2265</v>
      </c>
      <c r="E1550" s="2" t="s">
        <v>187</v>
      </c>
      <c r="F1550" s="2" t="s">
        <v>2372</v>
      </c>
      <c r="G1550" s="4">
        <v>81192</v>
      </c>
      <c r="H1550" s="6">
        <v>44623</v>
      </c>
      <c r="I1550" s="4">
        <v>0</v>
      </c>
      <c r="J1550" s="6">
        <v>44596</v>
      </c>
      <c r="K1550" t="str">
        <f t="shared" si="48"/>
        <v>Q1 2022</v>
      </c>
      <c r="L1550" t="str">
        <f t="shared" si="49"/>
        <v>Q1 2022</v>
      </c>
    </row>
    <row r="1551" spans="1:12" ht="15.75" customHeight="1" x14ac:dyDescent="0.3">
      <c r="A1551" s="2" t="s">
        <v>2373</v>
      </c>
      <c r="B1551" s="2" t="s">
        <v>11</v>
      </c>
      <c r="C1551" s="2" t="s">
        <v>12</v>
      </c>
      <c r="D1551" s="2" t="s">
        <v>2265</v>
      </c>
      <c r="E1551" s="2" t="s">
        <v>187</v>
      </c>
      <c r="F1551" s="2" t="s">
        <v>2374</v>
      </c>
      <c r="G1551" s="4">
        <v>54000</v>
      </c>
      <c r="H1551" s="6">
        <v>44867</v>
      </c>
      <c r="I1551" s="4">
        <v>0</v>
      </c>
      <c r="J1551" s="6">
        <v>44596</v>
      </c>
      <c r="K1551" t="str">
        <f t="shared" si="48"/>
        <v>Q1 2022</v>
      </c>
      <c r="L1551" t="str">
        <f t="shared" si="49"/>
        <v>Q1 2022</v>
      </c>
    </row>
    <row r="1552" spans="1:12" ht="15.75" customHeight="1" x14ac:dyDescent="0.3">
      <c r="A1552" s="2" t="s">
        <v>2375</v>
      </c>
      <c r="B1552" s="2" t="s">
        <v>11</v>
      </c>
      <c r="C1552" s="2" t="s">
        <v>12</v>
      </c>
      <c r="D1552" s="2" t="s">
        <v>2265</v>
      </c>
      <c r="E1552" s="2" t="s">
        <v>187</v>
      </c>
      <c r="F1552" s="2" t="s">
        <v>2376</v>
      </c>
      <c r="G1552" s="4">
        <v>91200</v>
      </c>
      <c r="H1552" s="5" t="s">
        <v>39</v>
      </c>
      <c r="I1552" s="4">
        <v>0</v>
      </c>
      <c r="J1552" s="6">
        <v>44603</v>
      </c>
      <c r="K1552" t="str">
        <f t="shared" si="48"/>
        <v>Q1 2022</v>
      </c>
      <c r="L1552" t="str">
        <f t="shared" si="49"/>
        <v>Q1 2022</v>
      </c>
    </row>
    <row r="1553" spans="1:12" ht="15.75" customHeight="1" x14ac:dyDescent="0.3">
      <c r="A1553" s="2" t="s">
        <v>2377</v>
      </c>
      <c r="B1553" s="2" t="s">
        <v>11</v>
      </c>
      <c r="C1553" s="2" t="s">
        <v>12</v>
      </c>
      <c r="D1553" s="2" t="s">
        <v>2265</v>
      </c>
      <c r="E1553" s="2" t="s">
        <v>187</v>
      </c>
      <c r="F1553" s="2" t="s">
        <v>1274</v>
      </c>
      <c r="G1553" s="4">
        <v>105486</v>
      </c>
      <c r="H1553" s="6">
        <v>44621</v>
      </c>
      <c r="I1553" s="4">
        <v>0</v>
      </c>
      <c r="J1553" s="6">
        <v>44594</v>
      </c>
      <c r="K1553" t="str">
        <f t="shared" si="48"/>
        <v>Q1 2022</v>
      </c>
      <c r="L1553" t="str">
        <f t="shared" si="49"/>
        <v>Q1 2022</v>
      </c>
    </row>
    <row r="1554" spans="1:12" ht="15.75" customHeight="1" x14ac:dyDescent="0.3">
      <c r="A1554" s="2" t="s">
        <v>2378</v>
      </c>
      <c r="B1554" s="2" t="s">
        <v>11</v>
      </c>
      <c r="C1554" s="2" t="s">
        <v>12</v>
      </c>
      <c r="D1554" s="2" t="s">
        <v>2265</v>
      </c>
      <c r="E1554" s="2" t="s">
        <v>187</v>
      </c>
      <c r="F1554" s="2" t="s">
        <v>580</v>
      </c>
      <c r="G1554" s="4">
        <v>89775</v>
      </c>
      <c r="H1554" s="5" t="s">
        <v>136</v>
      </c>
      <c r="I1554" s="4">
        <v>0</v>
      </c>
      <c r="J1554" s="6">
        <v>44598</v>
      </c>
      <c r="K1554" t="str">
        <f t="shared" si="48"/>
        <v>Q1 2022</v>
      </c>
      <c r="L1554" t="str">
        <f t="shared" si="49"/>
        <v>Q1 2022</v>
      </c>
    </row>
    <row r="1555" spans="1:12" ht="15.75" customHeight="1" x14ac:dyDescent="0.3">
      <c r="A1555" s="2" t="s">
        <v>2379</v>
      </c>
      <c r="B1555" s="2" t="s">
        <v>20</v>
      </c>
      <c r="C1555" s="2" t="s">
        <v>21</v>
      </c>
      <c r="D1555" s="2" t="s">
        <v>2265</v>
      </c>
      <c r="E1555" s="2" t="s">
        <v>187</v>
      </c>
      <c r="F1555" s="2" t="s">
        <v>2380</v>
      </c>
      <c r="G1555" s="4">
        <v>58527</v>
      </c>
      <c r="H1555" s="6">
        <v>44601</v>
      </c>
      <c r="I1555" s="4">
        <v>29264</v>
      </c>
      <c r="J1555" s="7">
        <v>44876</v>
      </c>
      <c r="K1555" t="str">
        <f t="shared" si="48"/>
        <v>Q4 2022</v>
      </c>
      <c r="L1555" t="str">
        <f t="shared" si="49"/>
        <v>Q4 2022</v>
      </c>
    </row>
    <row r="1556" spans="1:12" ht="15.75" customHeight="1" x14ac:dyDescent="0.3">
      <c r="A1556" s="2" t="s">
        <v>2381</v>
      </c>
      <c r="B1556" s="2" t="s">
        <v>20</v>
      </c>
      <c r="C1556" s="2" t="s">
        <v>21</v>
      </c>
      <c r="D1556" s="2" t="s">
        <v>2265</v>
      </c>
      <c r="E1556" s="2" t="s">
        <v>187</v>
      </c>
      <c r="F1556" s="2" t="s">
        <v>580</v>
      </c>
      <c r="G1556" s="4">
        <v>45774</v>
      </c>
      <c r="H1556" s="5" t="s">
        <v>35</v>
      </c>
      <c r="I1556" s="4">
        <v>22887</v>
      </c>
      <c r="J1556" s="5" t="s">
        <v>36</v>
      </c>
      <c r="K1556" t="str">
        <f t="shared" si="48"/>
        <v>Q4 2022</v>
      </c>
      <c r="L1556" t="str">
        <f t="shared" si="49"/>
        <v>Q4 2022</v>
      </c>
    </row>
    <row r="1557" spans="1:12" ht="15.75" customHeight="1" x14ac:dyDescent="0.3">
      <c r="A1557" s="2" t="s">
        <v>2382</v>
      </c>
      <c r="B1557" s="2" t="s">
        <v>11</v>
      </c>
      <c r="C1557" s="2" t="s">
        <v>12</v>
      </c>
      <c r="D1557" s="2" t="s">
        <v>2265</v>
      </c>
      <c r="E1557" s="2" t="s">
        <v>187</v>
      </c>
      <c r="F1557" s="2" t="s">
        <v>2279</v>
      </c>
      <c r="G1557" s="4">
        <v>110363</v>
      </c>
      <c r="H1557" s="6">
        <v>44630</v>
      </c>
      <c r="I1557" s="4">
        <v>0</v>
      </c>
      <c r="J1557" s="6">
        <v>44603</v>
      </c>
      <c r="K1557" t="str">
        <f t="shared" si="48"/>
        <v>Q1 2022</v>
      </c>
      <c r="L1557" t="str">
        <f t="shared" si="49"/>
        <v>Q1 2022</v>
      </c>
    </row>
    <row r="1558" spans="1:12" ht="15.75" customHeight="1" x14ac:dyDescent="0.3">
      <c r="A1558" s="2" t="s">
        <v>2383</v>
      </c>
      <c r="B1558" s="2" t="s">
        <v>20</v>
      </c>
      <c r="C1558" s="2" t="s">
        <v>21</v>
      </c>
      <c r="D1558" s="2" t="s">
        <v>2265</v>
      </c>
      <c r="E1558" s="2" t="s">
        <v>187</v>
      </c>
      <c r="F1558" s="2" t="s">
        <v>580</v>
      </c>
      <c r="G1558" s="4">
        <v>62653</v>
      </c>
      <c r="H1558" s="5" t="s">
        <v>1119</v>
      </c>
      <c r="I1558" s="4">
        <v>31326</v>
      </c>
      <c r="J1558" s="6">
        <v>44778</v>
      </c>
      <c r="K1558" t="str">
        <f t="shared" si="48"/>
        <v>Q3 2022</v>
      </c>
      <c r="L1558" t="str">
        <f t="shared" si="49"/>
        <v>Q3 2022</v>
      </c>
    </row>
    <row r="1559" spans="1:12" ht="15.75" customHeight="1" x14ac:dyDescent="0.3">
      <c r="A1559" s="2" t="s">
        <v>2384</v>
      </c>
      <c r="B1559" s="2" t="s">
        <v>11</v>
      </c>
      <c r="C1559" s="2" t="s">
        <v>12</v>
      </c>
      <c r="D1559" s="2" t="s">
        <v>2265</v>
      </c>
      <c r="E1559" s="2" t="s">
        <v>187</v>
      </c>
      <c r="F1559" s="2" t="s">
        <v>2385</v>
      </c>
      <c r="G1559" s="4">
        <v>118984</v>
      </c>
      <c r="H1559" s="5" t="s">
        <v>309</v>
      </c>
      <c r="I1559" s="4">
        <v>0</v>
      </c>
      <c r="J1559" s="6">
        <v>44594</v>
      </c>
      <c r="K1559" t="str">
        <f t="shared" si="48"/>
        <v>Q1 2022</v>
      </c>
      <c r="L1559" t="str">
        <f t="shared" si="49"/>
        <v>Q1 2022</v>
      </c>
    </row>
    <row r="1560" spans="1:12" ht="15.75" customHeight="1" x14ac:dyDescent="0.3">
      <c r="A1560" s="2" t="s">
        <v>2386</v>
      </c>
      <c r="B1560" s="2" t="s">
        <v>11</v>
      </c>
      <c r="C1560" s="2" t="s">
        <v>12</v>
      </c>
      <c r="D1560" s="2" t="s">
        <v>2265</v>
      </c>
      <c r="E1560" s="2" t="s">
        <v>187</v>
      </c>
      <c r="F1560" s="2" t="s">
        <v>2387</v>
      </c>
      <c r="G1560" s="4">
        <v>103313</v>
      </c>
      <c r="H1560" s="5" t="s">
        <v>585</v>
      </c>
      <c r="I1560" s="4">
        <v>0</v>
      </c>
      <c r="J1560" s="6">
        <v>44601</v>
      </c>
      <c r="K1560" t="str">
        <f t="shared" si="48"/>
        <v>Q1 2022</v>
      </c>
      <c r="L1560" t="str">
        <f t="shared" si="49"/>
        <v>Q1 2022</v>
      </c>
    </row>
    <row r="1561" spans="1:12" ht="15.75" customHeight="1" x14ac:dyDescent="0.3">
      <c r="A1561" s="2" t="s">
        <v>2388</v>
      </c>
      <c r="B1561" s="2" t="s">
        <v>11</v>
      </c>
      <c r="C1561" s="2" t="s">
        <v>12</v>
      </c>
      <c r="D1561" s="2" t="s">
        <v>2265</v>
      </c>
      <c r="E1561" s="2" t="s">
        <v>2389</v>
      </c>
      <c r="F1561" s="2" t="s">
        <v>2390</v>
      </c>
      <c r="G1561" s="4">
        <v>100029</v>
      </c>
      <c r="H1561" s="6">
        <v>44629</v>
      </c>
      <c r="I1561" s="4">
        <v>0</v>
      </c>
      <c r="J1561" s="6">
        <v>44603</v>
      </c>
      <c r="K1561" t="str">
        <f t="shared" si="48"/>
        <v>Q1 2022</v>
      </c>
      <c r="L1561" t="str">
        <f t="shared" si="49"/>
        <v>Q1 2022</v>
      </c>
    </row>
    <row r="1562" spans="1:12" ht="15.75" customHeight="1" x14ac:dyDescent="0.3">
      <c r="A1562" s="2" t="s">
        <v>2391</v>
      </c>
      <c r="B1562" s="2" t="s">
        <v>11</v>
      </c>
      <c r="C1562" s="2" t="s">
        <v>12</v>
      </c>
      <c r="D1562" s="2" t="s">
        <v>2265</v>
      </c>
      <c r="E1562" s="2" t="s">
        <v>187</v>
      </c>
      <c r="F1562" s="2" t="s">
        <v>2392</v>
      </c>
      <c r="G1562" s="4">
        <v>118894</v>
      </c>
      <c r="H1562" s="5" t="s">
        <v>30</v>
      </c>
      <c r="I1562" s="4">
        <v>0</v>
      </c>
      <c r="J1562" s="6">
        <v>44603</v>
      </c>
      <c r="K1562" t="str">
        <f t="shared" si="48"/>
        <v>Q1 2022</v>
      </c>
      <c r="L1562" t="str">
        <f t="shared" si="49"/>
        <v>Q1 2022</v>
      </c>
    </row>
    <row r="1563" spans="1:12" ht="15.75" customHeight="1" x14ac:dyDescent="0.3">
      <c r="A1563" s="2" t="s">
        <v>2393</v>
      </c>
      <c r="B1563" s="2" t="s">
        <v>11</v>
      </c>
      <c r="C1563" s="2" t="s">
        <v>12</v>
      </c>
      <c r="D1563" s="2" t="s">
        <v>2265</v>
      </c>
      <c r="E1563" s="2" t="s">
        <v>187</v>
      </c>
      <c r="F1563" s="2" t="s">
        <v>580</v>
      </c>
      <c r="G1563" s="4">
        <v>107464</v>
      </c>
      <c r="H1563" s="5" t="s">
        <v>39</v>
      </c>
      <c r="I1563" s="4">
        <v>0</v>
      </c>
      <c r="J1563" s="6">
        <v>44603</v>
      </c>
      <c r="K1563" t="str">
        <f t="shared" si="48"/>
        <v>Q1 2022</v>
      </c>
      <c r="L1563" t="str">
        <f t="shared" si="49"/>
        <v>Q1 2022</v>
      </c>
    </row>
    <row r="1564" spans="1:12" ht="15.75" customHeight="1" x14ac:dyDescent="0.3">
      <c r="A1564" s="2" t="s">
        <v>2394</v>
      </c>
      <c r="B1564" s="2" t="s">
        <v>20</v>
      </c>
      <c r="C1564" s="2" t="s">
        <v>12</v>
      </c>
      <c r="D1564" s="2" t="s">
        <v>2395</v>
      </c>
      <c r="E1564" s="2" t="s">
        <v>1052</v>
      </c>
      <c r="F1564" s="2" t="s">
        <v>1070</v>
      </c>
      <c r="G1564" s="4">
        <v>128110</v>
      </c>
      <c r="H1564" s="5" t="s">
        <v>42</v>
      </c>
      <c r="I1564" s="8">
        <v>25622</v>
      </c>
      <c r="J1564" s="5" t="s">
        <v>25</v>
      </c>
      <c r="K1564" t="str">
        <f t="shared" si="48"/>
        <v>Q4 2022</v>
      </c>
      <c r="L1564" t="str">
        <f t="shared" si="49"/>
        <v>Q4 2022</v>
      </c>
    </row>
    <row r="1565" spans="1:12" ht="15.75" customHeight="1" x14ac:dyDescent="0.3">
      <c r="A1565" s="2" t="s">
        <v>2396</v>
      </c>
      <c r="B1565" s="2" t="s">
        <v>20</v>
      </c>
      <c r="C1565" s="2" t="s">
        <v>21</v>
      </c>
      <c r="D1565" s="2" t="s">
        <v>2395</v>
      </c>
      <c r="E1565" s="2" t="s">
        <v>1052</v>
      </c>
      <c r="F1565" s="2" t="s">
        <v>1584</v>
      </c>
      <c r="G1565" s="4">
        <v>164277</v>
      </c>
      <c r="H1565" s="5" t="s">
        <v>1132</v>
      </c>
      <c r="I1565" s="4">
        <v>20535</v>
      </c>
      <c r="J1565" s="6">
        <v>44692</v>
      </c>
      <c r="K1565" t="str">
        <f t="shared" si="48"/>
        <v>Q2 2022</v>
      </c>
      <c r="L1565" t="str">
        <f t="shared" si="49"/>
        <v>Q2 2022</v>
      </c>
    </row>
    <row r="1566" spans="1:12" ht="15.75" customHeight="1" x14ac:dyDescent="0.3">
      <c r="A1566" s="2" t="s">
        <v>2397</v>
      </c>
      <c r="B1566" s="2" t="s">
        <v>20</v>
      </c>
      <c r="C1566" s="2" t="s">
        <v>57</v>
      </c>
      <c r="D1566" s="2" t="s">
        <v>2395</v>
      </c>
      <c r="E1566" s="2" t="s">
        <v>1052</v>
      </c>
      <c r="F1566" s="2" t="s">
        <v>2398</v>
      </c>
      <c r="G1566" s="4">
        <v>40829</v>
      </c>
      <c r="H1566" s="5" t="s">
        <v>2399</v>
      </c>
      <c r="I1566" s="4">
        <v>20415</v>
      </c>
      <c r="J1566" s="6">
        <v>44776</v>
      </c>
      <c r="K1566" t="str">
        <f t="shared" si="48"/>
        <v>Q3 2022</v>
      </c>
      <c r="L1566" t="str">
        <f t="shared" si="49"/>
        <v>Q3 2022</v>
      </c>
    </row>
    <row r="1567" spans="1:12" ht="15.75" customHeight="1" x14ac:dyDescent="0.3">
      <c r="A1567" s="2" t="s">
        <v>2400</v>
      </c>
      <c r="B1567" s="2" t="s">
        <v>20</v>
      </c>
      <c r="C1567" s="2" t="s">
        <v>21</v>
      </c>
      <c r="D1567" s="2" t="s">
        <v>2395</v>
      </c>
      <c r="E1567" s="2" t="s">
        <v>1052</v>
      </c>
      <c r="F1567" s="2" t="s">
        <v>2401</v>
      </c>
      <c r="G1567" s="4">
        <v>132248</v>
      </c>
      <c r="H1567" s="5" t="s">
        <v>1610</v>
      </c>
      <c r="I1567" s="4">
        <v>66124</v>
      </c>
      <c r="J1567" s="5" t="s">
        <v>97</v>
      </c>
      <c r="K1567" t="str">
        <f t="shared" si="48"/>
        <v>Q4 2022</v>
      </c>
      <c r="L1567" t="str">
        <f t="shared" si="49"/>
        <v>Q4 2022</v>
      </c>
    </row>
    <row r="1568" spans="1:12" ht="15.75" customHeight="1" x14ac:dyDescent="0.3">
      <c r="A1568" s="2" t="s">
        <v>2402</v>
      </c>
      <c r="B1568" s="2" t="s">
        <v>11</v>
      </c>
      <c r="C1568" s="2" t="s">
        <v>12</v>
      </c>
      <c r="D1568" s="2" t="s">
        <v>2395</v>
      </c>
      <c r="E1568" s="2" t="s">
        <v>1052</v>
      </c>
      <c r="F1568" s="2" t="s">
        <v>1161</v>
      </c>
      <c r="G1568" s="4">
        <v>59999</v>
      </c>
      <c r="H1568" s="5" t="s">
        <v>42</v>
      </c>
      <c r="I1568" s="4">
        <v>0</v>
      </c>
      <c r="J1568" s="6">
        <v>44603</v>
      </c>
      <c r="K1568" t="str">
        <f t="shared" si="48"/>
        <v>Q1 2022</v>
      </c>
      <c r="L1568" t="str">
        <f t="shared" si="49"/>
        <v>Q1 2022</v>
      </c>
    </row>
    <row r="1569" spans="1:12" ht="15.75" customHeight="1" x14ac:dyDescent="0.3">
      <c r="A1569" s="2" t="s">
        <v>2403</v>
      </c>
      <c r="B1569" s="2" t="s">
        <v>20</v>
      </c>
      <c r="C1569" s="2" t="s">
        <v>21</v>
      </c>
      <c r="D1569" s="2" t="s">
        <v>2395</v>
      </c>
      <c r="E1569" s="2" t="s">
        <v>1052</v>
      </c>
      <c r="F1569" s="2" t="s">
        <v>2404</v>
      </c>
      <c r="G1569" s="4">
        <v>77527</v>
      </c>
      <c r="H1569" s="5" t="s">
        <v>2405</v>
      </c>
      <c r="I1569" s="4">
        <v>38763</v>
      </c>
      <c r="J1569" s="6">
        <v>44867</v>
      </c>
      <c r="K1569" t="str">
        <f t="shared" si="48"/>
        <v>Q4 2022</v>
      </c>
      <c r="L1569" t="str">
        <f t="shared" si="49"/>
        <v>Q4 2022</v>
      </c>
    </row>
    <row r="1570" spans="1:12" ht="15.75" customHeight="1" x14ac:dyDescent="0.3">
      <c r="A1570" s="2" t="s">
        <v>2406</v>
      </c>
      <c r="B1570" s="2" t="s">
        <v>20</v>
      </c>
      <c r="C1570" s="2" t="s">
        <v>21</v>
      </c>
      <c r="D1570" s="2" t="s">
        <v>2395</v>
      </c>
      <c r="E1570" s="2" t="s">
        <v>1052</v>
      </c>
      <c r="F1570" s="2" t="s">
        <v>1584</v>
      </c>
      <c r="G1570" s="4">
        <v>106193</v>
      </c>
      <c r="H1570" s="6">
        <v>44682</v>
      </c>
      <c r="I1570" s="4">
        <v>17699</v>
      </c>
      <c r="J1570" s="5" t="s">
        <v>305</v>
      </c>
      <c r="K1570" t="str">
        <f t="shared" si="48"/>
        <v>Q1 2022</v>
      </c>
      <c r="L1570" t="str">
        <f t="shared" si="49"/>
        <v>Q1 2022</v>
      </c>
    </row>
    <row r="1571" spans="1:12" ht="15.75" customHeight="1" x14ac:dyDescent="0.3">
      <c r="A1571" s="2" t="s">
        <v>2407</v>
      </c>
      <c r="B1571" s="2" t="s">
        <v>11</v>
      </c>
      <c r="C1571" s="2" t="s">
        <v>12</v>
      </c>
      <c r="D1571" s="2" t="s">
        <v>2408</v>
      </c>
      <c r="E1571" s="2" t="s">
        <v>80</v>
      </c>
      <c r="F1571" s="2" t="s">
        <v>2409</v>
      </c>
      <c r="G1571" s="4">
        <v>103333</v>
      </c>
      <c r="H1571" s="5" t="s">
        <v>39</v>
      </c>
      <c r="I1571" s="4">
        <v>0</v>
      </c>
      <c r="J1571" s="6">
        <v>44603</v>
      </c>
      <c r="K1571" t="str">
        <f t="shared" si="48"/>
        <v>Q1 2022</v>
      </c>
      <c r="L1571" t="str">
        <f t="shared" si="49"/>
        <v>Q1 2022</v>
      </c>
    </row>
    <row r="1572" spans="1:12" ht="15.75" customHeight="1" x14ac:dyDescent="0.3">
      <c r="A1572" s="2" t="s">
        <v>2410</v>
      </c>
      <c r="B1572" s="2" t="s">
        <v>11</v>
      </c>
      <c r="C1572" s="2" t="s">
        <v>12</v>
      </c>
      <c r="D1572" s="2" t="s">
        <v>2408</v>
      </c>
      <c r="E1572" s="2" t="s">
        <v>80</v>
      </c>
      <c r="F1572" s="2" t="s">
        <v>2411</v>
      </c>
      <c r="G1572" s="4">
        <v>69907</v>
      </c>
      <c r="H1572" s="6">
        <v>44630</v>
      </c>
      <c r="I1572" s="4">
        <v>0</v>
      </c>
      <c r="J1572" s="6">
        <v>44603</v>
      </c>
      <c r="K1572" t="str">
        <f t="shared" si="48"/>
        <v>Q1 2022</v>
      </c>
      <c r="L1572" t="str">
        <f t="shared" si="49"/>
        <v>Q1 2022</v>
      </c>
    </row>
    <row r="1573" spans="1:12" ht="15.75" customHeight="1" x14ac:dyDescent="0.3">
      <c r="A1573" s="2" t="s">
        <v>2412</v>
      </c>
      <c r="B1573" s="2" t="s">
        <v>20</v>
      </c>
      <c r="C1573" s="2" t="s">
        <v>12</v>
      </c>
      <c r="D1573" s="2" t="s">
        <v>2408</v>
      </c>
      <c r="E1573" s="2" t="s">
        <v>1075</v>
      </c>
      <c r="F1573" s="2" t="s">
        <v>2413</v>
      </c>
      <c r="G1573" s="4">
        <v>58013</v>
      </c>
      <c r="H1573" s="5" t="s">
        <v>16</v>
      </c>
      <c r="I1573" s="8">
        <v>29006</v>
      </c>
      <c r="J1573" s="5" t="s">
        <v>82</v>
      </c>
      <c r="K1573" t="str">
        <f t="shared" si="48"/>
        <v>Q1 2022</v>
      </c>
      <c r="L1573" t="str">
        <f t="shared" si="49"/>
        <v>Q1 2022</v>
      </c>
    </row>
    <row r="1574" spans="1:12" ht="15.75" customHeight="1" x14ac:dyDescent="0.3">
      <c r="A1574" s="2" t="s">
        <v>2414</v>
      </c>
      <c r="B1574" s="2" t="s">
        <v>11</v>
      </c>
      <c r="C1574" s="2" t="s">
        <v>12</v>
      </c>
      <c r="D1574" s="2" t="s">
        <v>2408</v>
      </c>
      <c r="E1574" s="2" t="s">
        <v>80</v>
      </c>
      <c r="F1574" s="2" t="s">
        <v>2415</v>
      </c>
      <c r="G1574" s="4">
        <v>181195</v>
      </c>
      <c r="H1574" s="5" t="s">
        <v>39</v>
      </c>
      <c r="I1574" s="4">
        <v>0</v>
      </c>
      <c r="J1574" s="6">
        <v>44603</v>
      </c>
      <c r="K1574" t="str">
        <f t="shared" si="48"/>
        <v>Q1 2022</v>
      </c>
      <c r="L1574" t="str">
        <f t="shared" si="49"/>
        <v>Q1 2022</v>
      </c>
    </row>
    <row r="1575" spans="1:12" ht="15.75" customHeight="1" x14ac:dyDescent="0.3">
      <c r="A1575" s="2" t="s">
        <v>2416</v>
      </c>
      <c r="B1575" s="2" t="s">
        <v>11</v>
      </c>
      <c r="C1575" s="2" t="s">
        <v>12</v>
      </c>
      <c r="D1575" s="2" t="s">
        <v>2408</v>
      </c>
      <c r="E1575" s="2" t="s">
        <v>80</v>
      </c>
      <c r="F1575" s="2" t="s">
        <v>2417</v>
      </c>
      <c r="G1575" s="4">
        <v>120380</v>
      </c>
      <c r="H1575" s="5" t="s">
        <v>39</v>
      </c>
      <c r="I1575" s="4">
        <v>0</v>
      </c>
      <c r="J1575" s="6">
        <v>44603</v>
      </c>
      <c r="K1575" t="str">
        <f t="shared" si="48"/>
        <v>Q1 2022</v>
      </c>
      <c r="L1575" t="str">
        <f t="shared" si="49"/>
        <v>Q1 2022</v>
      </c>
    </row>
    <row r="1576" spans="1:12" ht="15.75" customHeight="1" x14ac:dyDescent="0.3">
      <c r="A1576" s="2" t="s">
        <v>2418</v>
      </c>
      <c r="B1576" s="2" t="s">
        <v>11</v>
      </c>
      <c r="C1576" s="2" t="s">
        <v>12</v>
      </c>
      <c r="D1576" s="2" t="s">
        <v>2408</v>
      </c>
      <c r="E1576" s="2" t="s">
        <v>80</v>
      </c>
      <c r="F1576" s="2" t="s">
        <v>2419</v>
      </c>
      <c r="G1576" s="4">
        <v>33481</v>
      </c>
      <c r="H1576" s="6">
        <v>44626</v>
      </c>
      <c r="I1576" s="4">
        <v>0</v>
      </c>
      <c r="J1576" s="6">
        <v>44600</v>
      </c>
      <c r="K1576" t="str">
        <f t="shared" si="48"/>
        <v>Q1 2022</v>
      </c>
      <c r="L1576" t="str">
        <f t="shared" si="49"/>
        <v>Q1 2022</v>
      </c>
    </row>
    <row r="1577" spans="1:12" ht="15.75" customHeight="1" x14ac:dyDescent="0.3">
      <c r="A1577" s="2" t="s">
        <v>2420</v>
      </c>
      <c r="B1577" s="2" t="s">
        <v>11</v>
      </c>
      <c r="C1577" s="2" t="s">
        <v>12</v>
      </c>
      <c r="D1577" s="2" t="s">
        <v>2408</v>
      </c>
      <c r="E1577" s="2" t="s">
        <v>80</v>
      </c>
      <c r="F1577" s="2" t="s">
        <v>2421</v>
      </c>
      <c r="G1577" s="4">
        <v>123922</v>
      </c>
      <c r="H1577" s="5" t="s">
        <v>309</v>
      </c>
      <c r="I1577" s="4">
        <v>0</v>
      </c>
      <c r="J1577" s="6">
        <v>44594</v>
      </c>
      <c r="K1577" t="str">
        <f t="shared" si="48"/>
        <v>Q1 2022</v>
      </c>
      <c r="L1577" t="str">
        <f t="shared" si="49"/>
        <v>Q1 2022</v>
      </c>
    </row>
    <row r="1578" spans="1:12" ht="15.75" customHeight="1" x14ac:dyDescent="0.3">
      <c r="A1578" s="2" t="s">
        <v>2422</v>
      </c>
      <c r="B1578" s="2" t="s">
        <v>11</v>
      </c>
      <c r="C1578" s="2" t="s">
        <v>12</v>
      </c>
      <c r="D1578" s="2" t="s">
        <v>2408</v>
      </c>
      <c r="E1578" s="2" t="s">
        <v>80</v>
      </c>
      <c r="F1578" s="2" t="s">
        <v>2423</v>
      </c>
      <c r="G1578" s="4">
        <v>156936</v>
      </c>
      <c r="H1578" s="6">
        <v>44899</v>
      </c>
      <c r="I1578" s="4">
        <v>0</v>
      </c>
      <c r="J1578" s="6">
        <v>44597</v>
      </c>
      <c r="K1578" t="str">
        <f t="shared" si="48"/>
        <v>Q1 2022</v>
      </c>
      <c r="L1578" t="str">
        <f t="shared" si="49"/>
        <v>Q1 2022</v>
      </c>
    </row>
    <row r="1579" spans="1:12" ht="15.75" customHeight="1" x14ac:dyDescent="0.3">
      <c r="A1579" s="2" t="s">
        <v>2424</v>
      </c>
      <c r="B1579" s="2" t="s">
        <v>11</v>
      </c>
      <c r="C1579" s="2" t="s">
        <v>12</v>
      </c>
      <c r="D1579" s="2" t="s">
        <v>2408</v>
      </c>
      <c r="E1579" s="2" t="s">
        <v>80</v>
      </c>
      <c r="F1579" s="2" t="s">
        <v>2425</v>
      </c>
      <c r="G1579" s="4">
        <v>120242</v>
      </c>
      <c r="H1579" s="6">
        <v>44630</v>
      </c>
      <c r="I1579" s="4">
        <v>0</v>
      </c>
      <c r="J1579" s="6">
        <v>44603</v>
      </c>
      <c r="K1579" t="str">
        <f t="shared" si="48"/>
        <v>Q1 2022</v>
      </c>
      <c r="L1579" t="str">
        <f t="shared" si="49"/>
        <v>Q1 2022</v>
      </c>
    </row>
    <row r="1580" spans="1:12" ht="15.75" customHeight="1" x14ac:dyDescent="0.3">
      <c r="A1580" s="2" t="s">
        <v>2426</v>
      </c>
      <c r="B1580" s="2" t="s">
        <v>11</v>
      </c>
      <c r="C1580" s="2" t="s">
        <v>12</v>
      </c>
      <c r="D1580" s="2" t="s">
        <v>2408</v>
      </c>
      <c r="E1580" s="2" t="s">
        <v>80</v>
      </c>
      <c r="F1580" s="2" t="s">
        <v>2427</v>
      </c>
      <c r="G1580" s="4">
        <v>51469</v>
      </c>
      <c r="H1580" s="5" t="s">
        <v>282</v>
      </c>
      <c r="I1580" s="4">
        <v>0</v>
      </c>
      <c r="J1580" s="6">
        <v>44599</v>
      </c>
      <c r="K1580" t="str">
        <f t="shared" si="48"/>
        <v>Q1 2022</v>
      </c>
      <c r="L1580" t="str">
        <f t="shared" si="49"/>
        <v>Q1 2022</v>
      </c>
    </row>
    <row r="1581" spans="1:12" ht="15.75" customHeight="1" x14ac:dyDescent="0.3">
      <c r="A1581" s="2" t="s">
        <v>2428</v>
      </c>
      <c r="B1581" s="2" t="s">
        <v>11</v>
      </c>
      <c r="C1581" s="2" t="s">
        <v>12</v>
      </c>
      <c r="D1581" s="2" t="s">
        <v>2408</v>
      </c>
      <c r="E1581" s="2" t="s">
        <v>80</v>
      </c>
      <c r="F1581" s="2" t="s">
        <v>46</v>
      </c>
      <c r="G1581" s="4">
        <v>39592</v>
      </c>
      <c r="H1581" s="5" t="s">
        <v>25</v>
      </c>
      <c r="I1581" s="4">
        <v>0</v>
      </c>
      <c r="J1581" s="6">
        <v>44603</v>
      </c>
      <c r="K1581" t="str">
        <f t="shared" si="48"/>
        <v>Q1 2022</v>
      </c>
      <c r="L1581" t="str">
        <f t="shared" si="49"/>
        <v>Q1 2022</v>
      </c>
    </row>
    <row r="1582" spans="1:12" ht="15.75" customHeight="1" x14ac:dyDescent="0.3">
      <c r="A1582" s="2" t="s">
        <v>2429</v>
      </c>
      <c r="B1582" s="2" t="s">
        <v>11</v>
      </c>
      <c r="C1582" s="2" t="s">
        <v>12</v>
      </c>
      <c r="D1582" s="2" t="s">
        <v>2408</v>
      </c>
      <c r="E1582" s="2" t="s">
        <v>80</v>
      </c>
      <c r="F1582" s="2" t="s">
        <v>2430</v>
      </c>
      <c r="G1582" s="4">
        <v>189637</v>
      </c>
      <c r="H1582" s="5" t="s">
        <v>137</v>
      </c>
      <c r="I1582" s="4">
        <v>0</v>
      </c>
      <c r="J1582" s="6">
        <v>44599</v>
      </c>
      <c r="K1582" t="str">
        <f t="shared" si="48"/>
        <v>Q1 2022</v>
      </c>
      <c r="L1582" t="str">
        <f t="shared" si="49"/>
        <v>Q1 2022</v>
      </c>
    </row>
    <row r="1583" spans="1:12" ht="15.75" customHeight="1" x14ac:dyDescent="0.3">
      <c r="A1583" s="2" t="s">
        <v>2431</v>
      </c>
      <c r="B1583" s="2" t="s">
        <v>11</v>
      </c>
      <c r="C1583" s="2" t="s">
        <v>12</v>
      </c>
      <c r="D1583" s="2" t="s">
        <v>2408</v>
      </c>
      <c r="E1583" s="2" t="s">
        <v>80</v>
      </c>
      <c r="F1583" s="2" t="s">
        <v>2432</v>
      </c>
      <c r="G1583" s="4">
        <v>171668</v>
      </c>
      <c r="H1583" s="6">
        <v>44625</v>
      </c>
      <c r="I1583" s="4">
        <v>0</v>
      </c>
      <c r="J1583" s="6">
        <v>44599</v>
      </c>
      <c r="K1583" t="str">
        <f t="shared" si="48"/>
        <v>Q1 2022</v>
      </c>
      <c r="L1583" t="str">
        <f t="shared" si="49"/>
        <v>Q1 2022</v>
      </c>
    </row>
    <row r="1584" spans="1:12" ht="15.75" customHeight="1" x14ac:dyDescent="0.3">
      <c r="A1584" s="2" t="s">
        <v>2433</v>
      </c>
      <c r="B1584" s="2" t="s">
        <v>11</v>
      </c>
      <c r="C1584" s="2" t="s">
        <v>12</v>
      </c>
      <c r="D1584" s="2" t="s">
        <v>2408</v>
      </c>
      <c r="E1584" s="2" t="s">
        <v>80</v>
      </c>
      <c r="F1584" s="2" t="s">
        <v>2434</v>
      </c>
      <c r="G1584" s="4">
        <v>82556</v>
      </c>
      <c r="H1584" s="6">
        <v>44867</v>
      </c>
      <c r="I1584" s="4">
        <v>0</v>
      </c>
      <c r="J1584" s="6">
        <v>44596</v>
      </c>
      <c r="K1584" t="str">
        <f t="shared" si="48"/>
        <v>Q1 2022</v>
      </c>
      <c r="L1584" t="str">
        <f t="shared" si="49"/>
        <v>Q1 2022</v>
      </c>
    </row>
    <row r="1585" spans="1:12" ht="15.75" customHeight="1" x14ac:dyDescent="0.3">
      <c r="A1585" s="2" t="s">
        <v>2435</v>
      </c>
      <c r="B1585" s="2" t="s">
        <v>11</v>
      </c>
      <c r="C1585" s="2" t="s">
        <v>12</v>
      </c>
      <c r="D1585" s="2" t="s">
        <v>2408</v>
      </c>
      <c r="E1585" s="2" t="s">
        <v>80</v>
      </c>
      <c r="F1585" s="2" t="s">
        <v>2436</v>
      </c>
      <c r="G1585" s="4">
        <v>103308</v>
      </c>
      <c r="H1585" s="5" t="s">
        <v>30</v>
      </c>
      <c r="I1585" s="4">
        <v>0</v>
      </c>
      <c r="J1585" s="6">
        <v>44603</v>
      </c>
      <c r="K1585" t="str">
        <f t="shared" si="48"/>
        <v>Q1 2022</v>
      </c>
      <c r="L1585" t="str">
        <f t="shared" si="49"/>
        <v>Q1 2022</v>
      </c>
    </row>
    <row r="1586" spans="1:12" ht="15.75" customHeight="1" x14ac:dyDescent="0.3">
      <c r="A1586" s="2" t="s">
        <v>2437</v>
      </c>
      <c r="B1586" s="2" t="s">
        <v>11</v>
      </c>
      <c r="C1586" s="2" t="s">
        <v>12</v>
      </c>
      <c r="D1586" s="2" t="s">
        <v>2408</v>
      </c>
      <c r="E1586" s="2" t="s">
        <v>1118</v>
      </c>
      <c r="F1586" s="2" t="s">
        <v>2438</v>
      </c>
      <c r="G1586" s="4">
        <v>174080</v>
      </c>
      <c r="H1586" s="6">
        <v>44899</v>
      </c>
      <c r="I1586" s="4">
        <v>0</v>
      </c>
      <c r="J1586" s="6">
        <v>44597</v>
      </c>
      <c r="K1586" t="str">
        <f t="shared" si="48"/>
        <v>Q1 2022</v>
      </c>
      <c r="L1586" t="str">
        <f t="shared" si="49"/>
        <v>Q1 2022</v>
      </c>
    </row>
    <row r="1587" spans="1:12" ht="15.75" customHeight="1" x14ac:dyDescent="0.3">
      <c r="A1587" s="2" t="s">
        <v>2439</v>
      </c>
      <c r="B1587" s="2" t="s">
        <v>11</v>
      </c>
      <c r="C1587" s="2" t="s">
        <v>12</v>
      </c>
      <c r="D1587" s="2" t="s">
        <v>2408</v>
      </c>
      <c r="E1587" s="2" t="s">
        <v>80</v>
      </c>
      <c r="F1587" s="2" t="s">
        <v>2440</v>
      </c>
      <c r="G1587" s="4">
        <v>143768</v>
      </c>
      <c r="H1587" s="6">
        <v>44596</v>
      </c>
      <c r="I1587" s="4">
        <v>0</v>
      </c>
      <c r="J1587" s="6">
        <v>44597</v>
      </c>
      <c r="K1587" t="str">
        <f t="shared" si="48"/>
        <v>Q1 2022</v>
      </c>
      <c r="L1587" t="str">
        <f t="shared" si="49"/>
        <v>Q1 2022</v>
      </c>
    </row>
    <row r="1588" spans="1:12" ht="15.75" customHeight="1" x14ac:dyDescent="0.3">
      <c r="A1588" s="2" t="s">
        <v>2441</v>
      </c>
      <c r="B1588" s="2" t="s">
        <v>11</v>
      </c>
      <c r="C1588" s="2" t="s">
        <v>12</v>
      </c>
      <c r="D1588" s="2" t="s">
        <v>2408</v>
      </c>
      <c r="E1588" s="2" t="s">
        <v>80</v>
      </c>
      <c r="F1588" s="2" t="s">
        <v>2442</v>
      </c>
      <c r="G1588" s="4">
        <v>143585</v>
      </c>
      <c r="H1588" s="5" t="s">
        <v>82</v>
      </c>
      <c r="I1588" s="4">
        <v>0</v>
      </c>
      <c r="J1588" s="6">
        <v>44596</v>
      </c>
      <c r="K1588" t="str">
        <f t="shared" si="48"/>
        <v>Q1 2022</v>
      </c>
      <c r="L1588" t="str">
        <f t="shared" si="49"/>
        <v>Q1 2022</v>
      </c>
    </row>
    <row r="1589" spans="1:12" ht="15.75" customHeight="1" x14ac:dyDescent="0.3">
      <c r="A1589" s="2" t="s">
        <v>2443</v>
      </c>
      <c r="B1589" s="2" t="s">
        <v>11</v>
      </c>
      <c r="C1589" s="2" t="s">
        <v>12</v>
      </c>
      <c r="D1589" s="2" t="s">
        <v>2408</v>
      </c>
      <c r="E1589" s="2" t="s">
        <v>80</v>
      </c>
      <c r="F1589" s="2" t="s">
        <v>2444</v>
      </c>
      <c r="G1589" s="4">
        <v>86471</v>
      </c>
      <c r="H1589" s="5" t="s">
        <v>197</v>
      </c>
      <c r="I1589" s="4">
        <v>0</v>
      </c>
      <c r="J1589" s="6">
        <v>44602</v>
      </c>
      <c r="K1589" t="str">
        <f t="shared" si="48"/>
        <v>Q1 2022</v>
      </c>
      <c r="L1589" t="str">
        <f t="shared" si="49"/>
        <v>Q1 2022</v>
      </c>
    </row>
    <row r="1590" spans="1:12" ht="15.75" customHeight="1" x14ac:dyDescent="0.3">
      <c r="A1590" s="2" t="s">
        <v>2445</v>
      </c>
      <c r="B1590" s="2" t="s">
        <v>11</v>
      </c>
      <c r="C1590" s="2" t="s">
        <v>12</v>
      </c>
      <c r="D1590" s="2" t="s">
        <v>2408</v>
      </c>
      <c r="E1590" s="2" t="s">
        <v>80</v>
      </c>
      <c r="F1590" s="2" t="s">
        <v>46</v>
      </c>
      <c r="G1590" s="4">
        <v>69323</v>
      </c>
      <c r="H1590" s="5" t="s">
        <v>236</v>
      </c>
      <c r="I1590" s="4">
        <v>0</v>
      </c>
      <c r="J1590" s="6">
        <v>44596</v>
      </c>
      <c r="K1590" t="str">
        <f t="shared" si="48"/>
        <v>Q1 2022</v>
      </c>
      <c r="L1590" t="str">
        <f t="shared" si="49"/>
        <v>Q1 2022</v>
      </c>
    </row>
    <row r="1591" spans="1:12" ht="15.75" customHeight="1" x14ac:dyDescent="0.3">
      <c r="A1591" s="2" t="s">
        <v>2446</v>
      </c>
      <c r="B1591" s="2" t="s">
        <v>11</v>
      </c>
      <c r="C1591" s="2" t="s">
        <v>12</v>
      </c>
      <c r="D1591" s="2" t="s">
        <v>2408</v>
      </c>
      <c r="E1591" s="2" t="s">
        <v>80</v>
      </c>
      <c r="F1591" s="2" t="s">
        <v>2447</v>
      </c>
      <c r="G1591" s="4">
        <v>132337</v>
      </c>
      <c r="H1591" s="5" t="s">
        <v>39</v>
      </c>
      <c r="I1591" s="4">
        <v>0</v>
      </c>
      <c r="J1591" s="6">
        <v>44603</v>
      </c>
      <c r="K1591" t="str">
        <f t="shared" si="48"/>
        <v>Q1 2022</v>
      </c>
      <c r="L1591" t="str">
        <f t="shared" si="49"/>
        <v>Q1 2022</v>
      </c>
    </row>
    <row r="1592" spans="1:12" ht="15.75" customHeight="1" x14ac:dyDescent="0.3">
      <c r="A1592" s="2" t="s">
        <v>2448</v>
      </c>
      <c r="B1592" s="2" t="s">
        <v>11</v>
      </c>
      <c r="C1592" s="2" t="s">
        <v>12</v>
      </c>
      <c r="D1592" s="2" t="s">
        <v>2408</v>
      </c>
      <c r="E1592" s="2" t="s">
        <v>80</v>
      </c>
      <c r="F1592" s="2" t="s">
        <v>2449</v>
      </c>
      <c r="G1592" s="4">
        <v>118894</v>
      </c>
      <c r="H1592" s="5" t="s">
        <v>30</v>
      </c>
      <c r="I1592" s="4">
        <v>0</v>
      </c>
      <c r="J1592" s="6">
        <v>44603</v>
      </c>
      <c r="K1592" t="str">
        <f t="shared" si="48"/>
        <v>Q1 2022</v>
      </c>
      <c r="L1592" t="str">
        <f t="shared" si="49"/>
        <v>Q1 2022</v>
      </c>
    </row>
    <row r="1593" spans="1:12" ht="15.75" customHeight="1" x14ac:dyDescent="0.3">
      <c r="A1593" s="2" t="s">
        <v>2450</v>
      </c>
      <c r="B1593" s="2" t="s">
        <v>11</v>
      </c>
      <c r="C1593" s="2" t="s">
        <v>12</v>
      </c>
      <c r="D1593" s="2" t="s">
        <v>2408</v>
      </c>
      <c r="E1593" s="2" t="s">
        <v>80</v>
      </c>
      <c r="F1593" s="2" t="s">
        <v>2451</v>
      </c>
      <c r="G1593" s="4">
        <v>123212</v>
      </c>
      <c r="H1593" s="5" t="s">
        <v>142</v>
      </c>
      <c r="I1593" s="4">
        <v>0</v>
      </c>
      <c r="J1593" s="6">
        <v>44596</v>
      </c>
      <c r="K1593" t="str">
        <f t="shared" si="48"/>
        <v>Q1 2022</v>
      </c>
      <c r="L1593" t="str">
        <f t="shared" si="49"/>
        <v>Q1 2022</v>
      </c>
    </row>
    <row r="1594" spans="1:12" ht="15.75" customHeight="1" x14ac:dyDescent="0.3">
      <c r="A1594" s="2" t="s">
        <v>2452</v>
      </c>
      <c r="B1594" s="2" t="s">
        <v>11</v>
      </c>
      <c r="C1594" s="2" t="s">
        <v>12</v>
      </c>
      <c r="D1594" s="2" t="s">
        <v>2408</v>
      </c>
      <c r="E1594" s="2" t="s">
        <v>80</v>
      </c>
      <c r="F1594" s="2" t="s">
        <v>2453</v>
      </c>
      <c r="G1594" s="4">
        <v>158032</v>
      </c>
      <c r="H1594" s="5" t="s">
        <v>322</v>
      </c>
      <c r="I1594" s="4">
        <v>0</v>
      </c>
      <c r="J1594" s="6">
        <v>44594</v>
      </c>
      <c r="K1594" t="str">
        <f t="shared" si="48"/>
        <v>Q1 2022</v>
      </c>
      <c r="L1594" t="str">
        <f t="shared" si="49"/>
        <v>Q1 2022</v>
      </c>
    </row>
    <row r="1595" spans="1:12" ht="15.75" customHeight="1" x14ac:dyDescent="0.3">
      <c r="A1595" s="2" t="s">
        <v>2454</v>
      </c>
      <c r="B1595" s="2" t="s">
        <v>11</v>
      </c>
      <c r="C1595" s="2" t="s">
        <v>12</v>
      </c>
      <c r="D1595" s="2" t="s">
        <v>2408</v>
      </c>
      <c r="E1595" s="2" t="s">
        <v>80</v>
      </c>
      <c r="F1595" s="2" t="s">
        <v>353</v>
      </c>
      <c r="G1595" s="4">
        <v>76775</v>
      </c>
      <c r="H1595" s="5" t="s">
        <v>282</v>
      </c>
      <c r="I1595" s="4">
        <v>0</v>
      </c>
      <c r="J1595" s="6">
        <v>44599</v>
      </c>
      <c r="K1595" t="str">
        <f t="shared" si="48"/>
        <v>Q1 2022</v>
      </c>
      <c r="L1595" t="str">
        <f t="shared" si="49"/>
        <v>Q1 2022</v>
      </c>
    </row>
    <row r="1596" spans="1:12" ht="15.75" customHeight="1" x14ac:dyDescent="0.3">
      <c r="A1596" s="2" t="s">
        <v>2455</v>
      </c>
      <c r="B1596" s="2" t="s">
        <v>11</v>
      </c>
      <c r="C1596" s="2" t="s">
        <v>12</v>
      </c>
      <c r="D1596" s="2" t="s">
        <v>2408</v>
      </c>
      <c r="E1596" s="2" t="s">
        <v>80</v>
      </c>
      <c r="F1596" s="2" t="s">
        <v>2456</v>
      </c>
      <c r="G1596" s="4">
        <v>96751</v>
      </c>
      <c r="H1596" s="6">
        <v>44629</v>
      </c>
      <c r="I1596" s="4">
        <v>0</v>
      </c>
      <c r="J1596" s="6">
        <v>44603</v>
      </c>
      <c r="K1596" t="str">
        <f t="shared" si="48"/>
        <v>Q1 2022</v>
      </c>
      <c r="L1596" t="str">
        <f t="shared" si="49"/>
        <v>Q1 2022</v>
      </c>
    </row>
    <row r="1597" spans="1:12" ht="15.75" customHeight="1" x14ac:dyDescent="0.3">
      <c r="A1597" s="2" t="s">
        <v>2457</v>
      </c>
      <c r="B1597" s="2" t="s">
        <v>11</v>
      </c>
      <c r="C1597" s="2" t="s">
        <v>12</v>
      </c>
      <c r="D1597" s="2" t="s">
        <v>2408</v>
      </c>
      <c r="E1597" s="2" t="s">
        <v>80</v>
      </c>
      <c r="F1597" s="2" t="s">
        <v>2458</v>
      </c>
      <c r="G1597" s="4">
        <v>97720</v>
      </c>
      <c r="H1597" s="5" t="s">
        <v>42</v>
      </c>
      <c r="I1597" s="4">
        <v>0</v>
      </c>
      <c r="J1597" s="6">
        <v>44603</v>
      </c>
      <c r="K1597" t="str">
        <f t="shared" si="48"/>
        <v>Q1 2022</v>
      </c>
      <c r="L1597" t="str">
        <f t="shared" si="49"/>
        <v>Q1 2022</v>
      </c>
    </row>
    <row r="1598" spans="1:12" ht="15.75" customHeight="1" x14ac:dyDescent="0.3">
      <c r="A1598" s="2" t="s">
        <v>2459</v>
      </c>
      <c r="B1598" s="2" t="s">
        <v>11</v>
      </c>
      <c r="C1598" s="2" t="s">
        <v>12</v>
      </c>
      <c r="D1598" s="2" t="s">
        <v>2408</v>
      </c>
      <c r="E1598" s="2" t="s">
        <v>80</v>
      </c>
      <c r="F1598" s="2" t="s">
        <v>2460</v>
      </c>
      <c r="G1598" s="4">
        <v>66827</v>
      </c>
      <c r="H1598" s="5" t="s">
        <v>136</v>
      </c>
      <c r="I1598" s="4">
        <v>0</v>
      </c>
      <c r="J1598" s="6">
        <v>44598</v>
      </c>
      <c r="K1598" t="str">
        <f t="shared" si="48"/>
        <v>Q1 2022</v>
      </c>
      <c r="L1598" t="str">
        <f t="shared" si="49"/>
        <v>Q1 2022</v>
      </c>
    </row>
    <row r="1599" spans="1:12" ht="15.75" customHeight="1" x14ac:dyDescent="0.3">
      <c r="A1599" s="2" t="s">
        <v>2461</v>
      </c>
      <c r="B1599" s="2" t="s">
        <v>11</v>
      </c>
      <c r="C1599" s="2" t="s">
        <v>12</v>
      </c>
      <c r="D1599" s="2" t="s">
        <v>2408</v>
      </c>
      <c r="E1599" s="2" t="s">
        <v>80</v>
      </c>
      <c r="F1599" s="2" t="s">
        <v>46</v>
      </c>
      <c r="G1599" s="4">
        <v>91200</v>
      </c>
      <c r="H1599" s="5" t="s">
        <v>42</v>
      </c>
      <c r="I1599" s="4">
        <v>0</v>
      </c>
      <c r="J1599" s="6">
        <v>44603</v>
      </c>
      <c r="K1599" t="str">
        <f t="shared" si="48"/>
        <v>Q1 2022</v>
      </c>
      <c r="L1599" t="str">
        <f t="shared" si="49"/>
        <v>Q1 2022</v>
      </c>
    </row>
    <row r="1600" spans="1:12" ht="15.75" customHeight="1" x14ac:dyDescent="0.3">
      <c r="A1600" s="2" t="s">
        <v>2462</v>
      </c>
      <c r="B1600" s="2" t="s">
        <v>11</v>
      </c>
      <c r="C1600" s="2" t="s">
        <v>12</v>
      </c>
      <c r="D1600" s="2" t="s">
        <v>2408</v>
      </c>
      <c r="E1600" s="2" t="s">
        <v>80</v>
      </c>
      <c r="F1600" s="2" t="s">
        <v>2463</v>
      </c>
      <c r="G1600" s="4">
        <v>50294</v>
      </c>
      <c r="H1600" s="5" t="s">
        <v>30</v>
      </c>
      <c r="I1600" s="4">
        <v>0</v>
      </c>
      <c r="J1600" s="6">
        <v>44603</v>
      </c>
      <c r="K1600" t="str">
        <f t="shared" si="48"/>
        <v>Q1 2022</v>
      </c>
      <c r="L1600" t="str">
        <f t="shared" si="49"/>
        <v>Q1 2022</v>
      </c>
    </row>
    <row r="1601" spans="1:12" ht="15.75" customHeight="1" x14ac:dyDescent="0.3">
      <c r="A1601" s="2" t="s">
        <v>2464</v>
      </c>
      <c r="B1601" s="2" t="s">
        <v>11</v>
      </c>
      <c r="C1601" s="2" t="s">
        <v>12</v>
      </c>
      <c r="D1601" s="2" t="s">
        <v>2408</v>
      </c>
      <c r="E1601" s="2" t="s">
        <v>80</v>
      </c>
      <c r="F1601" s="2" t="s">
        <v>2465</v>
      </c>
      <c r="G1601" s="4">
        <v>92898</v>
      </c>
      <c r="H1601" s="5" t="s">
        <v>42</v>
      </c>
      <c r="I1601" s="4">
        <v>0</v>
      </c>
      <c r="J1601" s="6">
        <v>44603</v>
      </c>
      <c r="K1601" t="str">
        <f t="shared" si="48"/>
        <v>Q1 2022</v>
      </c>
      <c r="L1601" t="str">
        <f t="shared" si="49"/>
        <v>Q1 2022</v>
      </c>
    </row>
    <row r="1602" spans="1:12" ht="15.75" customHeight="1" x14ac:dyDescent="0.3">
      <c r="A1602" s="2" t="s">
        <v>2466</v>
      </c>
      <c r="B1602" s="2" t="s">
        <v>11</v>
      </c>
      <c r="C1602" s="2" t="s">
        <v>12</v>
      </c>
      <c r="D1602" s="2" t="s">
        <v>2408</v>
      </c>
      <c r="E1602" s="2" t="s">
        <v>80</v>
      </c>
      <c r="F1602" s="2" t="s">
        <v>2453</v>
      </c>
      <c r="G1602" s="4">
        <v>171389</v>
      </c>
      <c r="H1602" s="5" t="s">
        <v>123</v>
      </c>
      <c r="I1602" s="4">
        <v>0</v>
      </c>
      <c r="J1602" s="6">
        <v>44594</v>
      </c>
      <c r="K1602" t="str">
        <f t="shared" ref="K1602:K1665" si="50">"Q" &amp; ROUNDUP(MONTH(J:J)/3,0) &amp; " " &amp; YEAR(J:J)</f>
        <v>Q1 2022</v>
      </c>
      <c r="L1602" t="str">
        <f t="shared" ref="L1602:L1665" si="51">"Q" &amp; ROUNDUP(MONTH(J:J)/3,0) &amp; " " &amp; YEAR(J:J)</f>
        <v>Q1 2022</v>
      </c>
    </row>
    <row r="1603" spans="1:12" ht="15.75" customHeight="1" x14ac:dyDescent="0.3">
      <c r="A1603" s="2" t="s">
        <v>2467</v>
      </c>
      <c r="B1603" s="2" t="s">
        <v>11</v>
      </c>
      <c r="C1603" s="2" t="s">
        <v>12</v>
      </c>
      <c r="D1603" s="2" t="s">
        <v>2408</v>
      </c>
      <c r="E1603" s="2" t="s">
        <v>80</v>
      </c>
      <c r="F1603" s="2" t="s">
        <v>353</v>
      </c>
      <c r="G1603" s="4">
        <v>33516</v>
      </c>
      <c r="H1603" s="6">
        <v>44621</v>
      </c>
      <c r="I1603" s="4">
        <v>0</v>
      </c>
      <c r="J1603" s="6">
        <v>44594</v>
      </c>
      <c r="K1603" t="str">
        <f t="shared" si="50"/>
        <v>Q1 2022</v>
      </c>
      <c r="L1603" t="str">
        <f t="shared" si="51"/>
        <v>Q1 2022</v>
      </c>
    </row>
    <row r="1604" spans="1:12" ht="15.75" customHeight="1" x14ac:dyDescent="0.3">
      <c r="A1604" s="2" t="s">
        <v>2468</v>
      </c>
      <c r="B1604" s="2" t="s">
        <v>11</v>
      </c>
      <c r="C1604" s="2" t="s">
        <v>12</v>
      </c>
      <c r="D1604" s="2" t="s">
        <v>2408</v>
      </c>
      <c r="E1604" s="2" t="s">
        <v>80</v>
      </c>
      <c r="F1604" s="2" t="s">
        <v>2469</v>
      </c>
      <c r="G1604" s="4">
        <v>135009</v>
      </c>
      <c r="H1604" s="5" t="s">
        <v>39</v>
      </c>
      <c r="I1604" s="4">
        <v>0</v>
      </c>
      <c r="J1604" s="6">
        <v>44603</v>
      </c>
      <c r="K1604" t="str">
        <f t="shared" si="50"/>
        <v>Q1 2022</v>
      </c>
      <c r="L1604" t="str">
        <f t="shared" si="51"/>
        <v>Q1 2022</v>
      </c>
    </row>
    <row r="1605" spans="1:12" ht="15.75" customHeight="1" x14ac:dyDescent="0.3">
      <c r="A1605" s="2" t="s">
        <v>2470</v>
      </c>
      <c r="B1605" s="2" t="s">
        <v>11</v>
      </c>
      <c r="C1605" s="2" t="s">
        <v>12</v>
      </c>
      <c r="D1605" s="2" t="s">
        <v>2408</v>
      </c>
      <c r="E1605" s="2" t="s">
        <v>80</v>
      </c>
      <c r="F1605" s="2" t="s">
        <v>46</v>
      </c>
      <c r="G1605" s="4">
        <v>45780</v>
      </c>
      <c r="H1605" s="5" t="s">
        <v>82</v>
      </c>
      <c r="I1605" s="4">
        <v>0</v>
      </c>
      <c r="J1605" s="6">
        <v>44597</v>
      </c>
      <c r="K1605" t="str">
        <f t="shared" si="50"/>
        <v>Q1 2022</v>
      </c>
      <c r="L1605" t="str">
        <f t="shared" si="51"/>
        <v>Q1 2022</v>
      </c>
    </row>
    <row r="1606" spans="1:12" ht="15.75" customHeight="1" x14ac:dyDescent="0.3">
      <c r="A1606" s="2" t="s">
        <v>2471</v>
      </c>
      <c r="B1606" s="2" t="s">
        <v>11</v>
      </c>
      <c r="C1606" s="2" t="s">
        <v>12</v>
      </c>
      <c r="D1606" s="2" t="s">
        <v>2408</v>
      </c>
      <c r="E1606" s="2" t="s">
        <v>80</v>
      </c>
      <c r="F1606" s="2" t="s">
        <v>2425</v>
      </c>
      <c r="G1606" s="4">
        <v>110074</v>
      </c>
      <c r="H1606" s="5" t="s">
        <v>39</v>
      </c>
      <c r="I1606" s="4">
        <v>0</v>
      </c>
      <c r="J1606" s="6">
        <v>44603</v>
      </c>
      <c r="K1606" t="str">
        <f t="shared" si="50"/>
        <v>Q1 2022</v>
      </c>
      <c r="L1606" t="str">
        <f t="shared" si="51"/>
        <v>Q1 2022</v>
      </c>
    </row>
    <row r="1607" spans="1:12" ht="15.75" customHeight="1" x14ac:dyDescent="0.3">
      <c r="A1607" s="2" t="s">
        <v>2472</v>
      </c>
      <c r="B1607" s="2" t="s">
        <v>11</v>
      </c>
      <c r="C1607" s="2" t="s">
        <v>12</v>
      </c>
      <c r="D1607" s="2" t="s">
        <v>2408</v>
      </c>
      <c r="E1607" s="2" t="s">
        <v>80</v>
      </c>
      <c r="F1607" s="2" t="s">
        <v>2436</v>
      </c>
      <c r="G1607" s="4">
        <v>74927</v>
      </c>
      <c r="H1607" s="6">
        <v>44623</v>
      </c>
      <c r="I1607" s="4">
        <v>0</v>
      </c>
      <c r="J1607" s="6">
        <v>44597</v>
      </c>
      <c r="K1607" t="str">
        <f t="shared" si="50"/>
        <v>Q1 2022</v>
      </c>
      <c r="L1607" t="str">
        <f t="shared" si="51"/>
        <v>Q1 2022</v>
      </c>
    </row>
    <row r="1608" spans="1:12" ht="15.75" customHeight="1" x14ac:dyDescent="0.3">
      <c r="A1608" s="2" t="s">
        <v>2473</v>
      </c>
      <c r="B1608" s="2" t="s">
        <v>11</v>
      </c>
      <c r="C1608" s="2" t="s">
        <v>12</v>
      </c>
      <c r="D1608" s="2" t="s">
        <v>2408</v>
      </c>
      <c r="E1608" s="2" t="s">
        <v>80</v>
      </c>
      <c r="F1608" s="2" t="s">
        <v>2474</v>
      </c>
      <c r="G1608" s="4">
        <v>218412</v>
      </c>
      <c r="H1608" s="5" t="s">
        <v>142</v>
      </c>
      <c r="I1608" s="4">
        <v>0</v>
      </c>
      <c r="J1608" s="6">
        <v>44596</v>
      </c>
      <c r="K1608" t="str">
        <f t="shared" si="50"/>
        <v>Q1 2022</v>
      </c>
      <c r="L1608" t="str">
        <f t="shared" si="51"/>
        <v>Q1 2022</v>
      </c>
    </row>
    <row r="1609" spans="1:12" ht="15.75" customHeight="1" x14ac:dyDescent="0.3">
      <c r="A1609" s="2" t="s">
        <v>2475</v>
      </c>
      <c r="B1609" s="2" t="s">
        <v>11</v>
      </c>
      <c r="C1609" s="2" t="s">
        <v>12</v>
      </c>
      <c r="D1609" s="2" t="s">
        <v>2408</v>
      </c>
      <c r="E1609" s="2" t="s">
        <v>80</v>
      </c>
      <c r="F1609" s="2" t="s">
        <v>2476</v>
      </c>
      <c r="G1609" s="4">
        <v>105996</v>
      </c>
      <c r="H1609" s="5" t="s">
        <v>42</v>
      </c>
      <c r="I1609" s="4">
        <v>0</v>
      </c>
      <c r="J1609" s="6">
        <v>44603</v>
      </c>
      <c r="K1609" t="str">
        <f t="shared" si="50"/>
        <v>Q1 2022</v>
      </c>
      <c r="L1609" t="str">
        <f t="shared" si="51"/>
        <v>Q1 2022</v>
      </c>
    </row>
    <row r="1610" spans="1:12" ht="15.75" customHeight="1" x14ac:dyDescent="0.3">
      <c r="A1610" s="2" t="s">
        <v>2477</v>
      </c>
      <c r="B1610" s="2" t="s">
        <v>11</v>
      </c>
      <c r="C1610" s="2" t="s">
        <v>12</v>
      </c>
      <c r="D1610" s="2" t="s">
        <v>2408</v>
      </c>
      <c r="E1610" s="2" t="s">
        <v>80</v>
      </c>
      <c r="F1610" s="2" t="s">
        <v>353</v>
      </c>
      <c r="G1610" s="4">
        <v>149194</v>
      </c>
      <c r="H1610" s="5" t="s">
        <v>25</v>
      </c>
      <c r="I1610" s="4">
        <v>0</v>
      </c>
      <c r="J1610" s="6">
        <v>44603</v>
      </c>
      <c r="K1610" t="str">
        <f t="shared" si="50"/>
        <v>Q1 2022</v>
      </c>
      <c r="L1610" t="str">
        <f t="shared" si="51"/>
        <v>Q1 2022</v>
      </c>
    </row>
    <row r="1611" spans="1:12" ht="15.75" customHeight="1" x14ac:dyDescent="0.3">
      <c r="A1611" s="2" t="s">
        <v>2478</v>
      </c>
      <c r="B1611" s="2" t="s">
        <v>11</v>
      </c>
      <c r="C1611" s="2" t="s">
        <v>12</v>
      </c>
      <c r="D1611" s="2" t="s">
        <v>2408</v>
      </c>
      <c r="E1611" s="2" t="s">
        <v>80</v>
      </c>
      <c r="F1611" s="2" t="s">
        <v>2479</v>
      </c>
      <c r="G1611" s="4">
        <v>62403</v>
      </c>
      <c r="H1611" s="5" t="s">
        <v>71</v>
      </c>
      <c r="I1611" s="4">
        <v>0</v>
      </c>
      <c r="J1611" s="6">
        <v>44603</v>
      </c>
      <c r="K1611" t="str">
        <f t="shared" si="50"/>
        <v>Q1 2022</v>
      </c>
      <c r="L1611" t="str">
        <f t="shared" si="51"/>
        <v>Q1 2022</v>
      </c>
    </row>
    <row r="1612" spans="1:12" ht="15.75" customHeight="1" x14ac:dyDescent="0.3">
      <c r="A1612" s="2" t="s">
        <v>2480</v>
      </c>
      <c r="B1612" s="2" t="s">
        <v>11</v>
      </c>
      <c r="C1612" s="2" t="s">
        <v>12</v>
      </c>
      <c r="D1612" s="2" t="s">
        <v>2408</v>
      </c>
      <c r="E1612" s="2" t="s">
        <v>80</v>
      </c>
      <c r="F1612" s="2" t="s">
        <v>2481</v>
      </c>
      <c r="G1612" s="4">
        <v>40836</v>
      </c>
      <c r="H1612" s="5" t="s">
        <v>136</v>
      </c>
      <c r="I1612" s="4">
        <v>0</v>
      </c>
      <c r="J1612" s="6">
        <v>44598</v>
      </c>
      <c r="K1612" t="str">
        <f t="shared" si="50"/>
        <v>Q1 2022</v>
      </c>
      <c r="L1612" t="str">
        <f t="shared" si="51"/>
        <v>Q1 2022</v>
      </c>
    </row>
    <row r="1613" spans="1:12" ht="15.75" customHeight="1" x14ac:dyDescent="0.3">
      <c r="A1613" s="2" t="s">
        <v>2482</v>
      </c>
      <c r="B1613" s="2" t="s">
        <v>11</v>
      </c>
      <c r="C1613" s="2" t="s">
        <v>12</v>
      </c>
      <c r="D1613" s="2" t="s">
        <v>2408</v>
      </c>
      <c r="E1613" s="2" t="s">
        <v>80</v>
      </c>
      <c r="F1613" s="2" t="s">
        <v>2483</v>
      </c>
      <c r="G1613" s="4">
        <v>101487</v>
      </c>
      <c r="H1613" s="6">
        <v>44623</v>
      </c>
      <c r="I1613" s="4">
        <v>0</v>
      </c>
      <c r="J1613" s="6">
        <v>44596</v>
      </c>
      <c r="K1613" t="str">
        <f t="shared" si="50"/>
        <v>Q1 2022</v>
      </c>
      <c r="L1613" t="str">
        <f t="shared" si="51"/>
        <v>Q1 2022</v>
      </c>
    </row>
    <row r="1614" spans="1:12" ht="15.75" customHeight="1" x14ac:dyDescent="0.3">
      <c r="A1614" s="2" t="s">
        <v>2484</v>
      </c>
      <c r="B1614" s="2" t="s">
        <v>20</v>
      </c>
      <c r="C1614" s="2" t="s">
        <v>21</v>
      </c>
      <c r="D1614" s="2" t="s">
        <v>2408</v>
      </c>
      <c r="E1614" s="2" t="s">
        <v>80</v>
      </c>
      <c r="F1614" s="2" t="s">
        <v>2485</v>
      </c>
      <c r="G1614" s="4">
        <v>89778</v>
      </c>
      <c r="H1614" s="5" t="s">
        <v>397</v>
      </c>
      <c r="I1614" s="4">
        <v>44889</v>
      </c>
      <c r="J1614" s="5" t="s">
        <v>813</v>
      </c>
      <c r="K1614" t="str">
        <f t="shared" si="50"/>
        <v>Q2 2022</v>
      </c>
      <c r="L1614" t="str">
        <f t="shared" si="51"/>
        <v>Q2 2022</v>
      </c>
    </row>
    <row r="1615" spans="1:12" ht="15.75" customHeight="1" x14ac:dyDescent="0.3">
      <c r="A1615" s="2" t="s">
        <v>2486</v>
      </c>
      <c r="B1615" s="2" t="s">
        <v>20</v>
      </c>
      <c r="C1615" s="2" t="s">
        <v>57</v>
      </c>
      <c r="D1615" s="2" t="s">
        <v>2408</v>
      </c>
      <c r="E1615" s="2" t="s">
        <v>80</v>
      </c>
      <c r="F1615" s="2" t="s">
        <v>2436</v>
      </c>
      <c r="G1615" s="4">
        <v>124559</v>
      </c>
      <c r="H1615" s="6">
        <v>44753</v>
      </c>
      <c r="I1615" s="4">
        <v>31140</v>
      </c>
      <c r="J1615" s="5" t="s">
        <v>301</v>
      </c>
      <c r="K1615" t="str">
        <f t="shared" si="50"/>
        <v>Q4 2022</v>
      </c>
      <c r="L1615" t="str">
        <f t="shared" si="51"/>
        <v>Q4 2022</v>
      </c>
    </row>
    <row r="1616" spans="1:12" ht="15.75" customHeight="1" x14ac:dyDescent="0.3">
      <c r="A1616" s="2" t="s">
        <v>2487</v>
      </c>
      <c r="B1616" s="2" t="s">
        <v>20</v>
      </c>
      <c r="C1616" s="2" t="s">
        <v>57</v>
      </c>
      <c r="D1616" s="2" t="s">
        <v>2408</v>
      </c>
      <c r="E1616" s="2" t="s">
        <v>80</v>
      </c>
      <c r="F1616" s="2" t="s">
        <v>2488</v>
      </c>
      <c r="G1616" s="4">
        <v>137170</v>
      </c>
      <c r="H1616" s="5" t="s">
        <v>1132</v>
      </c>
      <c r="I1616" s="4">
        <v>15241</v>
      </c>
      <c r="J1616" s="6">
        <v>44692</v>
      </c>
      <c r="K1616" t="str">
        <f t="shared" si="50"/>
        <v>Q2 2022</v>
      </c>
      <c r="L1616" t="str">
        <f t="shared" si="51"/>
        <v>Q2 2022</v>
      </c>
    </row>
    <row r="1617" spans="1:12" ht="15.75" customHeight="1" x14ac:dyDescent="0.3">
      <c r="A1617" s="2" t="s">
        <v>2489</v>
      </c>
      <c r="B1617" s="2" t="s">
        <v>11</v>
      </c>
      <c r="C1617" s="2" t="s">
        <v>12</v>
      </c>
      <c r="D1617" s="2" t="s">
        <v>2408</v>
      </c>
      <c r="E1617" s="2" t="s">
        <v>80</v>
      </c>
      <c r="F1617" s="2" t="s">
        <v>2490</v>
      </c>
      <c r="G1617" s="4">
        <v>120069</v>
      </c>
      <c r="H1617" s="5" t="s">
        <v>39</v>
      </c>
      <c r="I1617" s="4">
        <v>0</v>
      </c>
      <c r="J1617" s="6">
        <v>44603</v>
      </c>
      <c r="K1617" t="str">
        <f t="shared" si="50"/>
        <v>Q1 2022</v>
      </c>
      <c r="L1617" t="str">
        <f t="shared" si="51"/>
        <v>Q1 2022</v>
      </c>
    </row>
    <row r="1618" spans="1:12" ht="15.75" customHeight="1" x14ac:dyDescent="0.3">
      <c r="A1618" s="2" t="s">
        <v>2491</v>
      </c>
      <c r="B1618" s="2" t="s">
        <v>11</v>
      </c>
      <c r="C1618" s="2" t="s">
        <v>12</v>
      </c>
      <c r="D1618" s="2" t="s">
        <v>2408</v>
      </c>
      <c r="E1618" s="2" t="s">
        <v>1118</v>
      </c>
      <c r="F1618" s="2" t="s">
        <v>2492</v>
      </c>
      <c r="G1618" s="4">
        <v>127432</v>
      </c>
      <c r="H1618" s="5" t="s">
        <v>189</v>
      </c>
      <c r="I1618" s="4">
        <v>0</v>
      </c>
      <c r="J1618" s="6">
        <v>44601</v>
      </c>
      <c r="K1618" t="str">
        <f t="shared" si="50"/>
        <v>Q1 2022</v>
      </c>
      <c r="L1618" t="str">
        <f t="shared" si="51"/>
        <v>Q1 2022</v>
      </c>
    </row>
    <row r="1619" spans="1:12" ht="15.75" customHeight="1" x14ac:dyDescent="0.3">
      <c r="A1619" s="2" t="s">
        <v>2493</v>
      </c>
      <c r="B1619" s="2" t="s">
        <v>11</v>
      </c>
      <c r="C1619" s="2" t="s">
        <v>12</v>
      </c>
      <c r="D1619" s="2" t="s">
        <v>2408</v>
      </c>
      <c r="E1619" s="2" t="s">
        <v>80</v>
      </c>
      <c r="F1619" s="2" t="s">
        <v>2436</v>
      </c>
      <c r="G1619" s="4">
        <v>121682</v>
      </c>
      <c r="H1619" s="6">
        <v>44625</v>
      </c>
      <c r="I1619" s="4">
        <v>0</v>
      </c>
      <c r="J1619" s="6">
        <v>44598</v>
      </c>
      <c r="K1619" t="str">
        <f t="shared" si="50"/>
        <v>Q1 2022</v>
      </c>
      <c r="L1619" t="str">
        <f t="shared" si="51"/>
        <v>Q1 2022</v>
      </c>
    </row>
    <row r="1620" spans="1:12" ht="15.75" customHeight="1" x14ac:dyDescent="0.3">
      <c r="A1620" s="2" t="s">
        <v>2494</v>
      </c>
      <c r="B1620" s="2" t="s">
        <v>11</v>
      </c>
      <c r="C1620" s="2" t="s">
        <v>12</v>
      </c>
      <c r="D1620" s="2" t="s">
        <v>2408</v>
      </c>
      <c r="E1620" s="2" t="s">
        <v>80</v>
      </c>
      <c r="F1620" s="2" t="s">
        <v>2495</v>
      </c>
      <c r="G1620" s="4">
        <v>122786</v>
      </c>
      <c r="H1620" s="5" t="s">
        <v>30</v>
      </c>
      <c r="I1620" s="4">
        <v>0</v>
      </c>
      <c r="J1620" s="6">
        <v>44603</v>
      </c>
      <c r="K1620" t="str">
        <f t="shared" si="50"/>
        <v>Q1 2022</v>
      </c>
      <c r="L1620" t="str">
        <f t="shared" si="51"/>
        <v>Q1 2022</v>
      </c>
    </row>
    <row r="1621" spans="1:12" ht="15.75" customHeight="1" x14ac:dyDescent="0.3">
      <c r="A1621" s="2" t="s">
        <v>2496</v>
      </c>
      <c r="B1621" s="2" t="s">
        <v>11</v>
      </c>
      <c r="C1621" s="2" t="s">
        <v>12</v>
      </c>
      <c r="D1621" s="2" t="s">
        <v>2408</v>
      </c>
      <c r="E1621" s="2" t="s">
        <v>80</v>
      </c>
      <c r="F1621" s="2" t="s">
        <v>2497</v>
      </c>
      <c r="G1621" s="4">
        <v>100596</v>
      </c>
      <c r="H1621" s="5" t="s">
        <v>71</v>
      </c>
      <c r="I1621" s="4">
        <v>0</v>
      </c>
      <c r="J1621" s="6">
        <v>44603</v>
      </c>
      <c r="K1621" t="str">
        <f t="shared" si="50"/>
        <v>Q1 2022</v>
      </c>
      <c r="L1621" t="str">
        <f t="shared" si="51"/>
        <v>Q1 2022</v>
      </c>
    </row>
    <row r="1622" spans="1:12" ht="15.75" customHeight="1" x14ac:dyDescent="0.3">
      <c r="A1622" s="2" t="s">
        <v>2498</v>
      </c>
      <c r="B1622" s="2" t="s">
        <v>11</v>
      </c>
      <c r="C1622" s="2" t="s">
        <v>12</v>
      </c>
      <c r="D1622" s="2" t="s">
        <v>2408</v>
      </c>
      <c r="E1622" s="2" t="s">
        <v>80</v>
      </c>
      <c r="F1622" s="2" t="s">
        <v>2436</v>
      </c>
      <c r="G1622" s="4">
        <v>132274</v>
      </c>
      <c r="H1622" s="6">
        <v>44867</v>
      </c>
      <c r="I1622" s="4">
        <v>0</v>
      </c>
      <c r="J1622" s="6">
        <v>44596</v>
      </c>
      <c r="K1622" t="str">
        <f t="shared" si="50"/>
        <v>Q1 2022</v>
      </c>
      <c r="L1622" t="str">
        <f t="shared" si="51"/>
        <v>Q1 2022</v>
      </c>
    </row>
    <row r="1623" spans="1:12" ht="15.75" customHeight="1" x14ac:dyDescent="0.3">
      <c r="A1623" s="2" t="s">
        <v>2499</v>
      </c>
      <c r="B1623" s="2" t="s">
        <v>11</v>
      </c>
      <c r="C1623" s="2" t="s">
        <v>12</v>
      </c>
      <c r="D1623" s="2" t="s">
        <v>2408</v>
      </c>
      <c r="E1623" s="2" t="s">
        <v>80</v>
      </c>
      <c r="F1623" s="2" t="s">
        <v>2500</v>
      </c>
      <c r="G1623" s="4">
        <v>118908</v>
      </c>
      <c r="H1623" s="5" t="s">
        <v>71</v>
      </c>
      <c r="I1623" s="4">
        <v>0</v>
      </c>
      <c r="J1623" s="6">
        <v>44603</v>
      </c>
      <c r="K1623" t="str">
        <f t="shared" si="50"/>
        <v>Q1 2022</v>
      </c>
      <c r="L1623" t="str">
        <f t="shared" si="51"/>
        <v>Q1 2022</v>
      </c>
    </row>
    <row r="1624" spans="1:12" ht="15.75" customHeight="1" x14ac:dyDescent="0.3">
      <c r="A1624" s="2" t="s">
        <v>2501</v>
      </c>
      <c r="B1624" s="2" t="s">
        <v>11</v>
      </c>
      <c r="C1624" s="2" t="s">
        <v>12</v>
      </c>
      <c r="D1624" s="2" t="s">
        <v>2408</v>
      </c>
      <c r="E1624" s="2" t="s">
        <v>80</v>
      </c>
      <c r="F1624" s="5">
        <v>36100</v>
      </c>
      <c r="G1624" s="4">
        <v>99211</v>
      </c>
      <c r="H1624" s="6">
        <v>44623</v>
      </c>
      <c r="I1624" s="4">
        <v>0</v>
      </c>
      <c r="J1624" s="6">
        <v>44596</v>
      </c>
      <c r="K1624" t="str">
        <f t="shared" si="50"/>
        <v>Q1 2022</v>
      </c>
      <c r="L1624" t="str">
        <f t="shared" si="51"/>
        <v>Q1 2022</v>
      </c>
    </row>
    <row r="1625" spans="1:12" ht="15.75" customHeight="1" x14ac:dyDescent="0.3">
      <c r="A1625" s="2" t="s">
        <v>2502</v>
      </c>
      <c r="B1625" s="2" t="s">
        <v>20</v>
      </c>
      <c r="C1625" s="2" t="s">
        <v>21</v>
      </c>
      <c r="D1625" s="2" t="s">
        <v>2408</v>
      </c>
      <c r="E1625" s="2" t="s">
        <v>80</v>
      </c>
      <c r="F1625" s="2" t="s">
        <v>2503</v>
      </c>
      <c r="G1625" s="4">
        <v>29757</v>
      </c>
      <c r="H1625" s="5" t="s">
        <v>2504</v>
      </c>
      <c r="I1625" s="4">
        <v>29757</v>
      </c>
      <c r="J1625" s="6">
        <v>44778</v>
      </c>
      <c r="K1625" t="str">
        <f t="shared" si="50"/>
        <v>Q3 2022</v>
      </c>
      <c r="L1625" t="str">
        <f t="shared" si="51"/>
        <v>Q3 2022</v>
      </c>
    </row>
    <row r="1626" spans="1:12" ht="15.75" customHeight="1" x14ac:dyDescent="0.3">
      <c r="A1626" s="2" t="s">
        <v>2505</v>
      </c>
      <c r="B1626" s="2" t="s">
        <v>11</v>
      </c>
      <c r="C1626" s="2" t="s">
        <v>12</v>
      </c>
      <c r="D1626" s="2" t="s">
        <v>2408</v>
      </c>
      <c r="E1626" s="2" t="s">
        <v>80</v>
      </c>
      <c r="F1626" s="2" t="s">
        <v>2506</v>
      </c>
      <c r="G1626" s="4">
        <v>30902</v>
      </c>
      <c r="H1626" s="5" t="s">
        <v>71</v>
      </c>
      <c r="I1626" s="4">
        <v>0</v>
      </c>
      <c r="J1626" s="6">
        <v>44603</v>
      </c>
      <c r="K1626" t="str">
        <f t="shared" si="50"/>
        <v>Q1 2022</v>
      </c>
      <c r="L1626" t="str">
        <f t="shared" si="51"/>
        <v>Q1 2022</v>
      </c>
    </row>
    <row r="1627" spans="1:12" ht="15.75" customHeight="1" x14ac:dyDescent="0.3">
      <c r="A1627" s="2" t="s">
        <v>2507</v>
      </c>
      <c r="B1627" s="2" t="s">
        <v>11</v>
      </c>
      <c r="C1627" s="2" t="s">
        <v>12</v>
      </c>
      <c r="D1627" s="2" t="s">
        <v>2408</v>
      </c>
      <c r="E1627" s="2" t="s">
        <v>80</v>
      </c>
      <c r="F1627" s="2" t="s">
        <v>2508</v>
      </c>
      <c r="G1627" s="4">
        <v>120914</v>
      </c>
      <c r="H1627" s="6">
        <v>44562</v>
      </c>
      <c r="I1627" s="4">
        <v>0</v>
      </c>
      <c r="J1627" s="6">
        <v>44595</v>
      </c>
      <c r="K1627" t="str">
        <f t="shared" si="50"/>
        <v>Q1 2022</v>
      </c>
      <c r="L1627" t="str">
        <f t="shared" si="51"/>
        <v>Q1 2022</v>
      </c>
    </row>
    <row r="1628" spans="1:12" ht="15.75" customHeight="1" x14ac:dyDescent="0.3">
      <c r="A1628" s="2" t="s">
        <v>2509</v>
      </c>
      <c r="B1628" s="2" t="s">
        <v>11</v>
      </c>
      <c r="C1628" s="2" t="s">
        <v>12</v>
      </c>
      <c r="D1628" s="2" t="s">
        <v>2408</v>
      </c>
      <c r="E1628" s="2" t="s">
        <v>80</v>
      </c>
      <c r="F1628" s="2" t="s">
        <v>2510</v>
      </c>
      <c r="G1628" s="4">
        <v>150636</v>
      </c>
      <c r="H1628" s="6">
        <v>44629</v>
      </c>
      <c r="I1628" s="4">
        <v>0</v>
      </c>
      <c r="J1628" s="6">
        <v>44603</v>
      </c>
      <c r="K1628" t="str">
        <f t="shared" si="50"/>
        <v>Q1 2022</v>
      </c>
      <c r="L1628" t="str">
        <f t="shared" si="51"/>
        <v>Q1 2022</v>
      </c>
    </row>
    <row r="1629" spans="1:12" ht="15.75" customHeight="1" x14ac:dyDescent="0.3">
      <c r="A1629" s="2" t="s">
        <v>2511</v>
      </c>
      <c r="B1629" s="2" t="s">
        <v>11</v>
      </c>
      <c r="C1629" s="2" t="s">
        <v>12</v>
      </c>
      <c r="D1629" s="2" t="s">
        <v>2408</v>
      </c>
      <c r="E1629" s="2" t="s">
        <v>80</v>
      </c>
      <c r="F1629" s="2" t="s">
        <v>2512</v>
      </c>
      <c r="G1629" s="4">
        <v>110866</v>
      </c>
      <c r="H1629" s="6">
        <v>44629</v>
      </c>
      <c r="I1629" s="4">
        <v>0</v>
      </c>
      <c r="J1629" s="6">
        <v>44603</v>
      </c>
      <c r="K1629" t="str">
        <f t="shared" si="50"/>
        <v>Q1 2022</v>
      </c>
      <c r="L1629" t="str">
        <f t="shared" si="51"/>
        <v>Q1 2022</v>
      </c>
    </row>
    <row r="1630" spans="1:12" ht="15.75" customHeight="1" x14ac:dyDescent="0.3">
      <c r="A1630" s="2" t="s">
        <v>2513</v>
      </c>
      <c r="B1630" s="2" t="s">
        <v>11</v>
      </c>
      <c r="C1630" s="2" t="s">
        <v>12</v>
      </c>
      <c r="D1630" s="2" t="s">
        <v>2408</v>
      </c>
      <c r="E1630" s="2" t="s">
        <v>80</v>
      </c>
      <c r="F1630" s="2" t="s">
        <v>2514</v>
      </c>
      <c r="G1630" s="2"/>
      <c r="H1630" s="6">
        <v>44562</v>
      </c>
      <c r="I1630" s="4">
        <v>0</v>
      </c>
      <c r="J1630" s="6">
        <v>44595</v>
      </c>
      <c r="K1630" t="str">
        <f t="shared" si="50"/>
        <v>Q1 2022</v>
      </c>
      <c r="L1630" t="str">
        <f t="shared" si="51"/>
        <v>Q1 2022</v>
      </c>
    </row>
    <row r="1631" spans="1:12" ht="15.75" customHeight="1" x14ac:dyDescent="0.3">
      <c r="A1631" s="2" t="s">
        <v>2515</v>
      </c>
      <c r="B1631" s="2" t="s">
        <v>11</v>
      </c>
      <c r="C1631" s="2" t="s">
        <v>12</v>
      </c>
      <c r="D1631" s="2" t="s">
        <v>2408</v>
      </c>
      <c r="E1631" s="2" t="s">
        <v>80</v>
      </c>
      <c r="F1631" s="2" t="s">
        <v>2516</v>
      </c>
      <c r="G1631" s="4">
        <v>203794</v>
      </c>
      <c r="H1631" s="5" t="s">
        <v>71</v>
      </c>
      <c r="I1631" s="4">
        <v>0</v>
      </c>
      <c r="J1631" s="6">
        <v>44603</v>
      </c>
      <c r="K1631" t="str">
        <f t="shared" si="50"/>
        <v>Q1 2022</v>
      </c>
      <c r="L1631" t="str">
        <f t="shared" si="51"/>
        <v>Q1 2022</v>
      </c>
    </row>
    <row r="1632" spans="1:12" ht="15.75" customHeight="1" x14ac:dyDescent="0.3">
      <c r="A1632" s="2" t="s">
        <v>2517</v>
      </c>
      <c r="B1632" s="2" t="s">
        <v>20</v>
      </c>
      <c r="C1632" s="2" t="s">
        <v>57</v>
      </c>
      <c r="D1632" s="2" t="s">
        <v>2408</v>
      </c>
      <c r="E1632" s="2" t="s">
        <v>80</v>
      </c>
      <c r="F1632" s="2" t="s">
        <v>2518</v>
      </c>
      <c r="G1632" s="4">
        <v>121681</v>
      </c>
      <c r="H1632" s="6">
        <v>44478</v>
      </c>
      <c r="I1632" s="4">
        <v>9360</v>
      </c>
      <c r="J1632" s="5" t="s">
        <v>2519</v>
      </c>
      <c r="K1632" t="str">
        <f t="shared" si="50"/>
        <v>Q4 2021</v>
      </c>
      <c r="L1632" t="str">
        <f t="shared" si="51"/>
        <v>Q4 2021</v>
      </c>
    </row>
    <row r="1633" spans="1:12" ht="15.75" customHeight="1" x14ac:dyDescent="0.3">
      <c r="A1633" s="2" t="s">
        <v>2520</v>
      </c>
      <c r="B1633" s="2" t="s">
        <v>11</v>
      </c>
      <c r="C1633" s="2" t="s">
        <v>12</v>
      </c>
      <c r="D1633" s="2" t="s">
        <v>2408</v>
      </c>
      <c r="E1633" s="2" t="s">
        <v>80</v>
      </c>
      <c r="F1633" s="2" t="s">
        <v>2521</v>
      </c>
      <c r="G1633" s="4">
        <v>228908</v>
      </c>
      <c r="H1633" s="5" t="s">
        <v>82</v>
      </c>
      <c r="I1633" s="4">
        <v>0</v>
      </c>
      <c r="J1633" s="6">
        <v>44597</v>
      </c>
      <c r="K1633" t="str">
        <f t="shared" si="50"/>
        <v>Q1 2022</v>
      </c>
      <c r="L1633" t="str">
        <f t="shared" si="51"/>
        <v>Q1 2022</v>
      </c>
    </row>
    <row r="1634" spans="1:12" ht="15.75" customHeight="1" x14ac:dyDescent="0.3">
      <c r="A1634" s="2" t="s">
        <v>2522</v>
      </c>
      <c r="B1634" s="2" t="s">
        <v>11</v>
      </c>
      <c r="C1634" s="2" t="s">
        <v>12</v>
      </c>
      <c r="D1634" s="2" t="s">
        <v>2408</v>
      </c>
      <c r="E1634" s="2" t="s">
        <v>80</v>
      </c>
      <c r="F1634" s="2" t="s">
        <v>2523</v>
      </c>
      <c r="G1634" s="4">
        <v>100385</v>
      </c>
      <c r="H1634" s="5" t="s">
        <v>232</v>
      </c>
      <c r="I1634" s="4">
        <v>0</v>
      </c>
      <c r="J1634" s="6">
        <v>44594</v>
      </c>
      <c r="K1634" t="str">
        <f t="shared" si="50"/>
        <v>Q1 2022</v>
      </c>
      <c r="L1634" t="str">
        <f t="shared" si="51"/>
        <v>Q1 2022</v>
      </c>
    </row>
    <row r="1635" spans="1:12" ht="15.75" customHeight="1" x14ac:dyDescent="0.3">
      <c r="A1635" s="2" t="s">
        <v>2524</v>
      </c>
      <c r="B1635" s="2" t="s">
        <v>20</v>
      </c>
      <c r="C1635" s="2" t="s">
        <v>57</v>
      </c>
      <c r="D1635" s="2" t="s">
        <v>2408</v>
      </c>
      <c r="E1635" s="2" t="s">
        <v>80</v>
      </c>
      <c r="F1635" s="2" t="s">
        <v>2436</v>
      </c>
      <c r="G1635" s="4">
        <v>217607</v>
      </c>
      <c r="H1635" s="5" t="s">
        <v>1562</v>
      </c>
      <c r="I1635" s="4">
        <v>108804</v>
      </c>
      <c r="J1635" s="5" t="s">
        <v>301</v>
      </c>
      <c r="K1635" t="str">
        <f t="shared" si="50"/>
        <v>Q4 2022</v>
      </c>
      <c r="L1635" t="str">
        <f t="shared" si="51"/>
        <v>Q4 2022</v>
      </c>
    </row>
    <row r="1636" spans="1:12" ht="15.75" customHeight="1" x14ac:dyDescent="0.3">
      <c r="A1636" s="2" t="s">
        <v>2525</v>
      </c>
      <c r="B1636" s="2" t="s">
        <v>11</v>
      </c>
      <c r="C1636" s="2" t="s">
        <v>12</v>
      </c>
      <c r="D1636" s="2" t="s">
        <v>2408</v>
      </c>
      <c r="E1636" s="2" t="s">
        <v>80</v>
      </c>
      <c r="F1636" s="2" t="s">
        <v>2526</v>
      </c>
      <c r="G1636" s="4">
        <v>89487</v>
      </c>
      <c r="H1636" s="6">
        <v>44630</v>
      </c>
      <c r="I1636" s="4">
        <v>0</v>
      </c>
      <c r="J1636" s="6">
        <v>44603</v>
      </c>
      <c r="K1636" t="str">
        <f t="shared" si="50"/>
        <v>Q1 2022</v>
      </c>
      <c r="L1636" t="str">
        <f t="shared" si="51"/>
        <v>Q1 2022</v>
      </c>
    </row>
    <row r="1637" spans="1:12" ht="15.75" customHeight="1" x14ac:dyDescent="0.3">
      <c r="A1637" s="2" t="s">
        <v>2527</v>
      </c>
      <c r="B1637" s="2" t="s">
        <v>11</v>
      </c>
      <c r="C1637" s="2" t="s">
        <v>12</v>
      </c>
      <c r="D1637" s="2" t="s">
        <v>2408</v>
      </c>
      <c r="E1637" s="2" t="s">
        <v>80</v>
      </c>
      <c r="F1637" s="2" t="s">
        <v>2436</v>
      </c>
      <c r="G1637" s="4">
        <v>334933</v>
      </c>
      <c r="H1637" s="5" t="s">
        <v>30</v>
      </c>
      <c r="I1637" s="4">
        <v>0</v>
      </c>
      <c r="J1637" s="6">
        <v>44603</v>
      </c>
      <c r="K1637" t="str">
        <f t="shared" si="50"/>
        <v>Q1 2022</v>
      </c>
      <c r="L1637" t="str">
        <f t="shared" si="51"/>
        <v>Q1 2022</v>
      </c>
    </row>
    <row r="1638" spans="1:12" ht="15.75" customHeight="1" x14ac:dyDescent="0.3">
      <c r="A1638" s="2" t="s">
        <v>2528</v>
      </c>
      <c r="B1638" s="2" t="s">
        <v>11</v>
      </c>
      <c r="C1638" s="2" t="s">
        <v>12</v>
      </c>
      <c r="D1638" s="2" t="s">
        <v>2408</v>
      </c>
      <c r="E1638" s="2" t="s">
        <v>80</v>
      </c>
      <c r="F1638" s="2" t="s">
        <v>2529</v>
      </c>
      <c r="G1638" s="4">
        <v>143643</v>
      </c>
      <c r="H1638" s="5" t="s">
        <v>322</v>
      </c>
      <c r="I1638" s="4">
        <v>0</v>
      </c>
      <c r="J1638" s="6">
        <v>44594</v>
      </c>
      <c r="K1638" t="str">
        <f t="shared" si="50"/>
        <v>Q1 2022</v>
      </c>
      <c r="L1638" t="str">
        <f t="shared" si="51"/>
        <v>Q1 2022</v>
      </c>
    </row>
    <row r="1639" spans="1:12" ht="15.75" customHeight="1" x14ac:dyDescent="0.3">
      <c r="A1639" s="2" t="s">
        <v>2530</v>
      </c>
      <c r="B1639" s="2" t="s">
        <v>11</v>
      </c>
      <c r="C1639" s="2" t="s">
        <v>12</v>
      </c>
      <c r="D1639" s="2" t="s">
        <v>2408</v>
      </c>
      <c r="E1639" s="2" t="s">
        <v>80</v>
      </c>
      <c r="F1639" s="2" t="s">
        <v>2531</v>
      </c>
      <c r="G1639" s="4">
        <v>171823</v>
      </c>
      <c r="H1639" s="5" t="s">
        <v>189</v>
      </c>
      <c r="I1639" s="4">
        <v>0</v>
      </c>
      <c r="J1639" s="6">
        <v>44601</v>
      </c>
      <c r="K1639" t="str">
        <f t="shared" si="50"/>
        <v>Q1 2022</v>
      </c>
      <c r="L1639" t="str">
        <f t="shared" si="51"/>
        <v>Q1 2022</v>
      </c>
    </row>
    <row r="1640" spans="1:12" ht="15.75" customHeight="1" x14ac:dyDescent="0.3">
      <c r="A1640" s="2" t="s">
        <v>2532</v>
      </c>
      <c r="B1640" s="2" t="s">
        <v>11</v>
      </c>
      <c r="C1640" s="2" t="s">
        <v>12</v>
      </c>
      <c r="D1640" s="2" t="s">
        <v>2408</v>
      </c>
      <c r="E1640" s="2" t="s">
        <v>80</v>
      </c>
      <c r="F1640" s="2" t="s">
        <v>641</v>
      </c>
      <c r="G1640" s="4">
        <v>107213</v>
      </c>
      <c r="H1640" s="6">
        <v>44630</v>
      </c>
      <c r="I1640" s="4">
        <v>0</v>
      </c>
      <c r="J1640" s="6">
        <v>44603</v>
      </c>
      <c r="K1640" t="str">
        <f t="shared" si="50"/>
        <v>Q1 2022</v>
      </c>
      <c r="L1640" t="str">
        <f t="shared" si="51"/>
        <v>Q1 2022</v>
      </c>
    </row>
    <row r="1641" spans="1:12" ht="15.75" customHeight="1" x14ac:dyDescent="0.3">
      <c r="A1641" s="2" t="s">
        <v>2533</v>
      </c>
      <c r="B1641" s="2" t="s">
        <v>11</v>
      </c>
      <c r="C1641" s="2" t="s">
        <v>12</v>
      </c>
      <c r="D1641" s="2" t="s">
        <v>2408</v>
      </c>
      <c r="E1641" s="2" t="s">
        <v>80</v>
      </c>
      <c r="F1641" s="2" t="s">
        <v>2534</v>
      </c>
      <c r="G1641" s="2"/>
      <c r="H1641" s="5" t="s">
        <v>179</v>
      </c>
      <c r="I1641" s="4">
        <v>0</v>
      </c>
      <c r="J1641" s="6">
        <v>44594</v>
      </c>
      <c r="K1641" t="str">
        <f t="shared" si="50"/>
        <v>Q1 2022</v>
      </c>
      <c r="L1641" t="str">
        <f t="shared" si="51"/>
        <v>Q1 2022</v>
      </c>
    </row>
    <row r="1642" spans="1:12" ht="15.75" customHeight="1" x14ac:dyDescent="0.3">
      <c r="A1642" s="2" t="s">
        <v>2535</v>
      </c>
      <c r="B1642" s="2" t="s">
        <v>11</v>
      </c>
      <c r="C1642" s="2" t="s">
        <v>12</v>
      </c>
      <c r="D1642" s="2" t="s">
        <v>2408</v>
      </c>
      <c r="E1642" s="2" t="s">
        <v>80</v>
      </c>
      <c r="F1642" s="2" t="s">
        <v>2536</v>
      </c>
      <c r="G1642" s="4">
        <v>197474</v>
      </c>
      <c r="H1642" s="5" t="s">
        <v>39</v>
      </c>
      <c r="I1642" s="4">
        <v>0</v>
      </c>
      <c r="J1642" s="6">
        <v>44603</v>
      </c>
      <c r="K1642" t="str">
        <f t="shared" si="50"/>
        <v>Q1 2022</v>
      </c>
      <c r="L1642" t="str">
        <f t="shared" si="51"/>
        <v>Q1 2022</v>
      </c>
    </row>
    <row r="1643" spans="1:12" ht="15.75" customHeight="1" x14ac:dyDescent="0.3">
      <c r="A1643" s="2" t="s">
        <v>2537</v>
      </c>
      <c r="B1643" s="2" t="s">
        <v>11</v>
      </c>
      <c r="C1643" s="2" t="s">
        <v>12</v>
      </c>
      <c r="D1643" s="2" t="s">
        <v>2408</v>
      </c>
      <c r="E1643" s="2" t="s">
        <v>80</v>
      </c>
      <c r="F1643" s="2" t="s">
        <v>2538</v>
      </c>
      <c r="G1643" s="4">
        <v>76838</v>
      </c>
      <c r="H1643" s="6">
        <v>44630</v>
      </c>
      <c r="I1643" s="4">
        <v>0</v>
      </c>
      <c r="J1643" s="6">
        <v>44603</v>
      </c>
      <c r="K1643" t="str">
        <f t="shared" si="50"/>
        <v>Q1 2022</v>
      </c>
      <c r="L1643" t="str">
        <f t="shared" si="51"/>
        <v>Q1 2022</v>
      </c>
    </row>
    <row r="1644" spans="1:12" ht="15.75" customHeight="1" x14ac:dyDescent="0.3">
      <c r="A1644" s="2" t="s">
        <v>2539</v>
      </c>
      <c r="B1644" s="2" t="s">
        <v>11</v>
      </c>
      <c r="C1644" s="2" t="s">
        <v>12</v>
      </c>
      <c r="D1644" s="2" t="s">
        <v>2408</v>
      </c>
      <c r="E1644" s="2" t="s">
        <v>80</v>
      </c>
      <c r="F1644" s="2" t="s">
        <v>2540</v>
      </c>
      <c r="G1644" s="4">
        <v>130506</v>
      </c>
      <c r="H1644" s="5" t="s">
        <v>309</v>
      </c>
      <c r="I1644" s="4">
        <v>0</v>
      </c>
      <c r="J1644" s="6">
        <v>44594</v>
      </c>
      <c r="K1644" t="str">
        <f t="shared" si="50"/>
        <v>Q1 2022</v>
      </c>
      <c r="L1644" t="str">
        <f t="shared" si="51"/>
        <v>Q1 2022</v>
      </c>
    </row>
    <row r="1645" spans="1:12" ht="15.75" customHeight="1" x14ac:dyDescent="0.3">
      <c r="A1645" s="2" t="s">
        <v>2541</v>
      </c>
      <c r="B1645" s="2" t="s">
        <v>20</v>
      </c>
      <c r="C1645" s="2" t="s">
        <v>57</v>
      </c>
      <c r="D1645" s="2" t="s">
        <v>2408</v>
      </c>
      <c r="E1645" s="2" t="s">
        <v>80</v>
      </c>
      <c r="F1645" s="2" t="s">
        <v>2542</v>
      </c>
      <c r="G1645" s="4">
        <v>118892</v>
      </c>
      <c r="H1645" s="5" t="s">
        <v>1153</v>
      </c>
      <c r="I1645" s="4">
        <v>9146</v>
      </c>
      <c r="J1645" s="5" t="s">
        <v>1154</v>
      </c>
      <c r="K1645" t="str">
        <f t="shared" si="50"/>
        <v>Q2 2022</v>
      </c>
      <c r="L1645" t="str">
        <f t="shared" si="51"/>
        <v>Q2 2022</v>
      </c>
    </row>
    <row r="1646" spans="1:12" ht="15.75" customHeight="1" x14ac:dyDescent="0.3">
      <c r="A1646" s="2" t="s">
        <v>2543</v>
      </c>
      <c r="B1646" s="2" t="s">
        <v>11</v>
      </c>
      <c r="C1646" s="2" t="s">
        <v>12</v>
      </c>
      <c r="D1646" s="2" t="s">
        <v>2408</v>
      </c>
      <c r="E1646" s="2" t="s">
        <v>80</v>
      </c>
      <c r="F1646" s="2" t="s">
        <v>2516</v>
      </c>
      <c r="G1646" s="4">
        <v>81629</v>
      </c>
      <c r="H1646" s="5" t="s">
        <v>25</v>
      </c>
      <c r="I1646" s="4">
        <v>0</v>
      </c>
      <c r="J1646" s="6">
        <v>44603</v>
      </c>
      <c r="K1646" t="str">
        <f t="shared" si="50"/>
        <v>Q1 2022</v>
      </c>
      <c r="L1646" t="str">
        <f t="shared" si="51"/>
        <v>Q1 2022</v>
      </c>
    </row>
    <row r="1647" spans="1:12" ht="15.75" customHeight="1" x14ac:dyDescent="0.3">
      <c r="A1647" s="2" t="s">
        <v>2544</v>
      </c>
      <c r="B1647" s="2" t="s">
        <v>11</v>
      </c>
      <c r="C1647" s="2" t="s">
        <v>12</v>
      </c>
      <c r="D1647" s="2" t="s">
        <v>2408</v>
      </c>
      <c r="E1647" s="2" t="s">
        <v>80</v>
      </c>
      <c r="F1647" s="2" t="s">
        <v>2545</v>
      </c>
      <c r="G1647" s="4">
        <v>423004</v>
      </c>
      <c r="H1647" s="6">
        <v>44629</v>
      </c>
      <c r="I1647" s="4">
        <v>0</v>
      </c>
      <c r="J1647" s="6">
        <v>44603</v>
      </c>
      <c r="K1647" t="str">
        <f t="shared" si="50"/>
        <v>Q1 2022</v>
      </c>
      <c r="L1647" t="str">
        <f t="shared" si="51"/>
        <v>Q1 2022</v>
      </c>
    </row>
    <row r="1648" spans="1:12" ht="15.75" customHeight="1" x14ac:dyDescent="0.3">
      <c r="A1648" s="2" t="s">
        <v>2546</v>
      </c>
      <c r="B1648" s="2" t="s">
        <v>11</v>
      </c>
      <c r="C1648" s="2" t="s">
        <v>12</v>
      </c>
      <c r="D1648" s="2" t="s">
        <v>2408</v>
      </c>
      <c r="E1648" s="2" t="s">
        <v>80</v>
      </c>
      <c r="F1648" s="2" t="s">
        <v>2547</v>
      </c>
      <c r="G1648" s="4">
        <v>115022</v>
      </c>
      <c r="H1648" s="5" t="s">
        <v>25</v>
      </c>
      <c r="I1648" s="4">
        <v>0</v>
      </c>
      <c r="J1648" s="6">
        <v>44603</v>
      </c>
      <c r="K1648" t="str">
        <f t="shared" si="50"/>
        <v>Q1 2022</v>
      </c>
      <c r="L1648" t="str">
        <f t="shared" si="51"/>
        <v>Q1 2022</v>
      </c>
    </row>
    <row r="1649" spans="1:12" ht="15.75" customHeight="1" x14ac:dyDescent="0.3">
      <c r="A1649" s="2" t="s">
        <v>2548</v>
      </c>
      <c r="B1649" s="2" t="s">
        <v>11</v>
      </c>
      <c r="C1649" s="2" t="s">
        <v>12</v>
      </c>
      <c r="D1649" s="2" t="s">
        <v>2408</v>
      </c>
      <c r="E1649" s="2" t="s">
        <v>80</v>
      </c>
      <c r="F1649" s="2" t="s">
        <v>2549</v>
      </c>
      <c r="G1649" s="4">
        <v>28800</v>
      </c>
      <c r="H1649" s="6">
        <v>44988</v>
      </c>
      <c r="I1649" s="4">
        <v>0</v>
      </c>
      <c r="J1649" s="6">
        <v>44961</v>
      </c>
      <c r="K1649" t="str">
        <f t="shared" si="50"/>
        <v>Q1 2023</v>
      </c>
      <c r="L1649" t="str">
        <f t="shared" si="51"/>
        <v>Q1 2023</v>
      </c>
    </row>
    <row r="1650" spans="1:12" ht="15.75" customHeight="1" x14ac:dyDescent="0.3">
      <c r="A1650" s="2" t="s">
        <v>2550</v>
      </c>
      <c r="B1650" s="2" t="s">
        <v>11</v>
      </c>
      <c r="C1650" s="2" t="s">
        <v>12</v>
      </c>
      <c r="D1650" s="2" t="s">
        <v>2408</v>
      </c>
      <c r="E1650" s="2" t="s">
        <v>80</v>
      </c>
      <c r="F1650" s="2" t="s">
        <v>2551</v>
      </c>
      <c r="G1650" s="4">
        <v>119114</v>
      </c>
      <c r="H1650" s="5" t="s">
        <v>39</v>
      </c>
      <c r="I1650" s="4">
        <v>0</v>
      </c>
      <c r="J1650" s="6">
        <v>44603</v>
      </c>
      <c r="K1650" t="str">
        <f t="shared" si="50"/>
        <v>Q1 2022</v>
      </c>
      <c r="L1650" t="str">
        <f t="shared" si="51"/>
        <v>Q1 2022</v>
      </c>
    </row>
    <row r="1651" spans="1:12" ht="15.75" customHeight="1" x14ac:dyDescent="0.3">
      <c r="A1651" s="2" t="s">
        <v>2552</v>
      </c>
      <c r="B1651" s="2" t="s">
        <v>20</v>
      </c>
      <c r="C1651" s="2" t="s">
        <v>21</v>
      </c>
      <c r="D1651" s="2" t="s">
        <v>2408</v>
      </c>
      <c r="E1651" s="2" t="s">
        <v>80</v>
      </c>
      <c r="F1651" s="2" t="s">
        <v>2436</v>
      </c>
      <c r="G1651" s="4">
        <v>123313</v>
      </c>
      <c r="H1651" s="6">
        <v>44690</v>
      </c>
      <c r="I1651" s="4">
        <v>30828</v>
      </c>
      <c r="J1651" s="5" t="s">
        <v>210</v>
      </c>
      <c r="K1651" t="str">
        <f t="shared" si="50"/>
        <v>Q4 2022</v>
      </c>
      <c r="L1651" t="str">
        <f t="shared" si="51"/>
        <v>Q4 2022</v>
      </c>
    </row>
    <row r="1652" spans="1:12" ht="15.75" customHeight="1" x14ac:dyDescent="0.3">
      <c r="A1652" s="2" t="s">
        <v>2553</v>
      </c>
      <c r="B1652" s="2" t="s">
        <v>11</v>
      </c>
      <c r="C1652" s="2" t="s">
        <v>12</v>
      </c>
      <c r="D1652" s="2" t="s">
        <v>2408</v>
      </c>
      <c r="E1652" s="2" t="s">
        <v>80</v>
      </c>
      <c r="F1652" s="2" t="s">
        <v>2554</v>
      </c>
      <c r="G1652" s="4">
        <v>107242</v>
      </c>
      <c r="H1652" s="5" t="s">
        <v>30</v>
      </c>
      <c r="I1652" s="4">
        <v>0</v>
      </c>
      <c r="J1652" s="6">
        <v>44603</v>
      </c>
      <c r="K1652" t="str">
        <f t="shared" si="50"/>
        <v>Q1 2022</v>
      </c>
      <c r="L1652" t="str">
        <f t="shared" si="51"/>
        <v>Q1 2022</v>
      </c>
    </row>
    <row r="1653" spans="1:12" ht="15.75" customHeight="1" x14ac:dyDescent="0.3">
      <c r="A1653" s="2" t="s">
        <v>2555</v>
      </c>
      <c r="B1653" s="2" t="s">
        <v>11</v>
      </c>
      <c r="C1653" s="2" t="s">
        <v>12</v>
      </c>
      <c r="D1653" s="2" t="s">
        <v>2408</v>
      </c>
      <c r="E1653" s="2" t="s">
        <v>80</v>
      </c>
      <c r="F1653" s="2" t="s">
        <v>2556</v>
      </c>
      <c r="G1653" s="4">
        <v>101487</v>
      </c>
      <c r="H1653" s="5" t="s">
        <v>39</v>
      </c>
      <c r="I1653" s="4">
        <v>0</v>
      </c>
      <c r="J1653" s="6">
        <v>44603</v>
      </c>
      <c r="K1653" t="str">
        <f t="shared" si="50"/>
        <v>Q1 2022</v>
      </c>
      <c r="L1653" t="str">
        <f t="shared" si="51"/>
        <v>Q1 2022</v>
      </c>
    </row>
    <row r="1654" spans="1:12" ht="15.75" customHeight="1" x14ac:dyDescent="0.3">
      <c r="A1654" s="2" t="s">
        <v>2557</v>
      </c>
      <c r="B1654" s="2" t="s">
        <v>11</v>
      </c>
      <c r="C1654" s="2" t="s">
        <v>12</v>
      </c>
      <c r="D1654" s="2" t="s">
        <v>2408</v>
      </c>
      <c r="E1654" s="2" t="s">
        <v>80</v>
      </c>
      <c r="F1654" s="2" t="s">
        <v>2558</v>
      </c>
      <c r="G1654" s="4">
        <v>69907</v>
      </c>
      <c r="H1654" s="6">
        <v>44899</v>
      </c>
      <c r="I1654" s="4">
        <v>0</v>
      </c>
      <c r="J1654" s="6">
        <v>44597</v>
      </c>
      <c r="K1654" t="str">
        <f t="shared" si="50"/>
        <v>Q1 2022</v>
      </c>
      <c r="L1654" t="str">
        <f t="shared" si="51"/>
        <v>Q1 2022</v>
      </c>
    </row>
    <row r="1655" spans="1:12" ht="15.75" customHeight="1" x14ac:dyDescent="0.3">
      <c r="A1655" s="2" t="s">
        <v>2559</v>
      </c>
      <c r="B1655" s="2" t="s">
        <v>11</v>
      </c>
      <c r="C1655" s="2" t="s">
        <v>12</v>
      </c>
      <c r="D1655" s="2" t="s">
        <v>2408</v>
      </c>
      <c r="E1655" s="2" t="s">
        <v>80</v>
      </c>
      <c r="F1655" s="2" t="s">
        <v>2560</v>
      </c>
      <c r="G1655" s="2"/>
      <c r="H1655" s="6">
        <v>44298</v>
      </c>
      <c r="I1655" s="4">
        <v>0</v>
      </c>
      <c r="J1655" s="6">
        <v>44594</v>
      </c>
      <c r="K1655" t="str">
        <f t="shared" si="50"/>
        <v>Q1 2022</v>
      </c>
      <c r="L1655" t="str">
        <f t="shared" si="51"/>
        <v>Q1 2022</v>
      </c>
    </row>
    <row r="1656" spans="1:12" ht="15.75" customHeight="1" x14ac:dyDescent="0.3">
      <c r="A1656" s="2" t="s">
        <v>2561</v>
      </c>
      <c r="B1656" s="2" t="s">
        <v>11</v>
      </c>
      <c r="C1656" s="2" t="s">
        <v>12</v>
      </c>
      <c r="D1656" s="2" t="s">
        <v>2408</v>
      </c>
      <c r="E1656" s="2" t="s">
        <v>80</v>
      </c>
      <c r="F1656" s="2" t="s">
        <v>2562</v>
      </c>
      <c r="G1656" s="4">
        <v>73022</v>
      </c>
      <c r="H1656" s="5" t="s">
        <v>25</v>
      </c>
      <c r="I1656" s="4">
        <v>0</v>
      </c>
      <c r="J1656" s="6">
        <v>44603</v>
      </c>
      <c r="K1656" t="str">
        <f t="shared" si="50"/>
        <v>Q1 2022</v>
      </c>
      <c r="L1656" t="str">
        <f t="shared" si="51"/>
        <v>Q1 2022</v>
      </c>
    </row>
    <row r="1657" spans="1:12" ht="15.75" customHeight="1" x14ac:dyDescent="0.3">
      <c r="A1657" s="2" t="s">
        <v>2563</v>
      </c>
      <c r="B1657" s="2" t="s">
        <v>20</v>
      </c>
      <c r="C1657" s="2" t="s">
        <v>21</v>
      </c>
      <c r="D1657" s="2" t="s">
        <v>2408</v>
      </c>
      <c r="E1657" s="2" t="s">
        <v>80</v>
      </c>
      <c r="F1657" s="2" t="s">
        <v>329</v>
      </c>
      <c r="G1657" s="4">
        <v>109147</v>
      </c>
      <c r="H1657" s="6">
        <v>44661</v>
      </c>
      <c r="I1657" s="4">
        <v>3521</v>
      </c>
      <c r="J1657" s="5" t="s">
        <v>97</v>
      </c>
      <c r="K1657" t="str">
        <f t="shared" si="50"/>
        <v>Q4 2022</v>
      </c>
      <c r="L1657" t="str">
        <f t="shared" si="51"/>
        <v>Q4 2022</v>
      </c>
    </row>
    <row r="1658" spans="1:12" ht="15.75" customHeight="1" x14ac:dyDescent="0.3">
      <c r="A1658" s="2" t="s">
        <v>2564</v>
      </c>
      <c r="B1658" s="2" t="s">
        <v>11</v>
      </c>
      <c r="C1658" s="2" t="s">
        <v>12</v>
      </c>
      <c r="D1658" s="2" t="s">
        <v>2408</v>
      </c>
      <c r="E1658" s="2" t="s">
        <v>80</v>
      </c>
      <c r="F1658" s="2" t="s">
        <v>2565</v>
      </c>
      <c r="G1658" s="4">
        <v>74420</v>
      </c>
      <c r="H1658" s="5" t="s">
        <v>1016</v>
      </c>
      <c r="I1658" s="4">
        <v>0</v>
      </c>
      <c r="J1658" s="6">
        <v>44595</v>
      </c>
      <c r="K1658" t="str">
        <f t="shared" si="50"/>
        <v>Q1 2022</v>
      </c>
      <c r="L1658" t="str">
        <f t="shared" si="51"/>
        <v>Q1 2022</v>
      </c>
    </row>
    <row r="1659" spans="1:12" ht="15.75" customHeight="1" x14ac:dyDescent="0.3">
      <c r="A1659" s="2" t="s">
        <v>2566</v>
      </c>
      <c r="B1659" s="2" t="s">
        <v>20</v>
      </c>
      <c r="C1659" s="2" t="s">
        <v>21</v>
      </c>
      <c r="D1659" s="2" t="s">
        <v>2408</v>
      </c>
      <c r="E1659" s="2" t="s">
        <v>80</v>
      </c>
      <c r="F1659" s="2" t="s">
        <v>2567</v>
      </c>
      <c r="G1659" s="4">
        <v>65114</v>
      </c>
      <c r="H1659" s="6">
        <v>44874</v>
      </c>
      <c r="I1659" s="4">
        <v>32557</v>
      </c>
      <c r="J1659" s="5" t="s">
        <v>36</v>
      </c>
      <c r="K1659" t="str">
        <f t="shared" si="50"/>
        <v>Q4 2022</v>
      </c>
      <c r="L1659" t="str">
        <f t="shared" si="51"/>
        <v>Q4 2022</v>
      </c>
    </row>
    <row r="1660" spans="1:12" ht="15.75" customHeight="1" x14ac:dyDescent="0.3">
      <c r="A1660" s="2" t="s">
        <v>2568</v>
      </c>
      <c r="B1660" s="2" t="s">
        <v>11</v>
      </c>
      <c r="C1660" s="2" t="s">
        <v>12</v>
      </c>
      <c r="D1660" s="2" t="s">
        <v>2408</v>
      </c>
      <c r="E1660" s="2" t="s">
        <v>80</v>
      </c>
      <c r="F1660" s="2" t="s">
        <v>46</v>
      </c>
      <c r="G1660" s="4">
        <v>107226</v>
      </c>
      <c r="H1660" s="6">
        <v>44563</v>
      </c>
      <c r="I1660" s="4">
        <v>0</v>
      </c>
      <c r="J1660" s="6">
        <v>44596</v>
      </c>
      <c r="K1660" t="str">
        <f t="shared" si="50"/>
        <v>Q1 2022</v>
      </c>
      <c r="L1660" t="str">
        <f t="shared" si="51"/>
        <v>Q1 2022</v>
      </c>
    </row>
    <row r="1661" spans="1:12" ht="15.75" customHeight="1" x14ac:dyDescent="0.3">
      <c r="A1661" s="2" t="s">
        <v>2569</v>
      </c>
      <c r="B1661" s="2" t="s">
        <v>11</v>
      </c>
      <c r="C1661" s="2" t="s">
        <v>12</v>
      </c>
      <c r="D1661" s="2" t="s">
        <v>2408</v>
      </c>
      <c r="E1661" s="2" t="s">
        <v>80</v>
      </c>
      <c r="F1661" s="2" t="s">
        <v>2570</v>
      </c>
      <c r="G1661" s="4">
        <v>404266</v>
      </c>
      <c r="H1661" s="5" t="s">
        <v>463</v>
      </c>
      <c r="I1661" s="4">
        <v>0</v>
      </c>
      <c r="J1661" s="6">
        <v>44598</v>
      </c>
      <c r="K1661" t="str">
        <f t="shared" si="50"/>
        <v>Q1 2022</v>
      </c>
      <c r="L1661" t="str">
        <f t="shared" si="51"/>
        <v>Q1 2022</v>
      </c>
    </row>
    <row r="1662" spans="1:12" ht="15.75" customHeight="1" x14ac:dyDescent="0.3">
      <c r="A1662" s="2" t="s">
        <v>2571</v>
      </c>
      <c r="B1662" s="2" t="s">
        <v>11</v>
      </c>
      <c r="C1662" s="2" t="s">
        <v>12</v>
      </c>
      <c r="D1662" s="2" t="s">
        <v>2408</v>
      </c>
      <c r="E1662" s="2" t="s">
        <v>80</v>
      </c>
      <c r="F1662" s="2" t="s">
        <v>2572</v>
      </c>
      <c r="G1662" s="4">
        <v>178945</v>
      </c>
      <c r="H1662" s="5" t="s">
        <v>71</v>
      </c>
      <c r="I1662" s="4">
        <v>0</v>
      </c>
      <c r="J1662" s="6">
        <v>44603</v>
      </c>
      <c r="K1662" t="str">
        <f t="shared" si="50"/>
        <v>Q1 2022</v>
      </c>
      <c r="L1662" t="str">
        <f t="shared" si="51"/>
        <v>Q1 2022</v>
      </c>
    </row>
    <row r="1663" spans="1:12" ht="15.75" customHeight="1" x14ac:dyDescent="0.3">
      <c r="A1663" s="2" t="s">
        <v>2573</v>
      </c>
      <c r="B1663" s="2" t="s">
        <v>11</v>
      </c>
      <c r="C1663" s="2" t="s">
        <v>12</v>
      </c>
      <c r="D1663" s="2" t="s">
        <v>2408</v>
      </c>
      <c r="E1663" s="2" t="s">
        <v>80</v>
      </c>
      <c r="F1663" s="2" t="s">
        <v>2574</v>
      </c>
      <c r="G1663" s="4">
        <v>132245</v>
      </c>
      <c r="H1663" s="5" t="s">
        <v>282</v>
      </c>
      <c r="I1663" s="4">
        <v>0</v>
      </c>
      <c r="J1663" s="6">
        <v>44599</v>
      </c>
      <c r="K1663" t="str">
        <f t="shared" si="50"/>
        <v>Q1 2022</v>
      </c>
      <c r="L1663" t="str">
        <f t="shared" si="51"/>
        <v>Q1 2022</v>
      </c>
    </row>
    <row r="1664" spans="1:12" ht="15.75" customHeight="1" x14ac:dyDescent="0.3">
      <c r="A1664" s="2" t="s">
        <v>2575</v>
      </c>
      <c r="B1664" s="2" t="s">
        <v>11</v>
      </c>
      <c r="C1664" s="2" t="s">
        <v>12</v>
      </c>
      <c r="D1664" s="2" t="s">
        <v>2408</v>
      </c>
      <c r="E1664" s="2" t="s">
        <v>80</v>
      </c>
      <c r="F1664" s="2" t="s">
        <v>2576</v>
      </c>
      <c r="G1664" s="4">
        <v>126158</v>
      </c>
      <c r="H1664" s="5" t="s">
        <v>439</v>
      </c>
      <c r="I1664" s="4">
        <v>0</v>
      </c>
      <c r="J1664" s="6">
        <v>44598</v>
      </c>
      <c r="K1664" t="str">
        <f t="shared" si="50"/>
        <v>Q1 2022</v>
      </c>
      <c r="L1664" t="str">
        <f t="shared" si="51"/>
        <v>Q1 2022</v>
      </c>
    </row>
    <row r="1665" spans="1:12" ht="15.75" customHeight="1" x14ac:dyDescent="0.3">
      <c r="A1665" s="2" t="s">
        <v>2577</v>
      </c>
      <c r="B1665" s="2" t="s">
        <v>11</v>
      </c>
      <c r="C1665" s="2" t="s">
        <v>12</v>
      </c>
      <c r="D1665" s="2" t="s">
        <v>2408</v>
      </c>
      <c r="E1665" s="2" t="s">
        <v>80</v>
      </c>
      <c r="F1665" s="2" t="s">
        <v>2436</v>
      </c>
      <c r="G1665" s="4">
        <v>72929</v>
      </c>
      <c r="H1665" s="6">
        <v>44598</v>
      </c>
      <c r="I1665" s="4">
        <v>0</v>
      </c>
      <c r="J1665" s="6">
        <v>44599</v>
      </c>
      <c r="K1665" t="str">
        <f t="shared" si="50"/>
        <v>Q1 2022</v>
      </c>
      <c r="L1665" t="str">
        <f t="shared" si="51"/>
        <v>Q1 2022</v>
      </c>
    </row>
    <row r="1666" spans="1:12" ht="15.75" customHeight="1" x14ac:dyDescent="0.3">
      <c r="A1666" s="2" t="s">
        <v>2578</v>
      </c>
      <c r="B1666" s="2" t="s">
        <v>11</v>
      </c>
      <c r="C1666" s="2" t="s">
        <v>12</v>
      </c>
      <c r="D1666" s="2" t="s">
        <v>2408</v>
      </c>
      <c r="E1666" s="2" t="s">
        <v>22</v>
      </c>
      <c r="F1666" s="2" t="s">
        <v>275</v>
      </c>
      <c r="G1666" s="2"/>
      <c r="H1666" s="6">
        <v>44536</v>
      </c>
      <c r="I1666" s="4">
        <v>0</v>
      </c>
      <c r="J1666" s="6">
        <v>44204</v>
      </c>
      <c r="K1666" t="str">
        <f t="shared" ref="K1666:K1729" si="52">"Q" &amp; ROUNDUP(MONTH(J:J)/3,0) &amp; " " &amp; YEAR(J:J)</f>
        <v>Q1 2021</v>
      </c>
      <c r="L1666" t="str">
        <f t="shared" ref="L1666:L1729" si="53">"Q" &amp; ROUNDUP(MONTH(J:J)/3,0) &amp; " " &amp; YEAR(J:J)</f>
        <v>Q1 2021</v>
      </c>
    </row>
    <row r="1667" spans="1:12" ht="15.75" customHeight="1" x14ac:dyDescent="0.3">
      <c r="A1667" s="2" t="s">
        <v>2579</v>
      </c>
      <c r="B1667" s="2" t="s">
        <v>11</v>
      </c>
      <c r="C1667" s="2" t="s">
        <v>12</v>
      </c>
      <c r="D1667" s="2" t="s">
        <v>2408</v>
      </c>
      <c r="E1667" s="2" t="s">
        <v>80</v>
      </c>
      <c r="F1667" s="2" t="s">
        <v>2580</v>
      </c>
      <c r="G1667" s="4">
        <v>77515</v>
      </c>
      <c r="H1667" s="5" t="s">
        <v>322</v>
      </c>
      <c r="I1667" s="4">
        <v>0</v>
      </c>
      <c r="J1667" s="6">
        <v>44594</v>
      </c>
      <c r="K1667" t="str">
        <f t="shared" si="52"/>
        <v>Q1 2022</v>
      </c>
      <c r="L1667" t="str">
        <f t="shared" si="53"/>
        <v>Q1 2022</v>
      </c>
    </row>
    <row r="1668" spans="1:12" ht="15.75" customHeight="1" x14ac:dyDescent="0.3">
      <c r="A1668" s="2" t="s">
        <v>2581</v>
      </c>
      <c r="B1668" s="2" t="s">
        <v>11</v>
      </c>
      <c r="C1668" s="2" t="s">
        <v>12</v>
      </c>
      <c r="D1668" s="2" t="s">
        <v>2408</v>
      </c>
      <c r="E1668" s="2" t="s">
        <v>80</v>
      </c>
      <c r="F1668" s="2" t="s">
        <v>2582</v>
      </c>
      <c r="G1668" s="4">
        <v>52300</v>
      </c>
      <c r="H1668" s="5" t="s">
        <v>39</v>
      </c>
      <c r="I1668" s="4">
        <v>0</v>
      </c>
      <c r="J1668" s="6">
        <v>44603</v>
      </c>
      <c r="K1668" t="str">
        <f t="shared" si="52"/>
        <v>Q1 2022</v>
      </c>
      <c r="L1668" t="str">
        <f t="shared" si="53"/>
        <v>Q1 2022</v>
      </c>
    </row>
    <row r="1669" spans="1:12" ht="15.75" customHeight="1" x14ac:dyDescent="0.3">
      <c r="A1669" s="2" t="s">
        <v>2583</v>
      </c>
      <c r="B1669" s="2" t="s">
        <v>11</v>
      </c>
      <c r="C1669" s="2" t="s">
        <v>12</v>
      </c>
      <c r="D1669" s="2" t="s">
        <v>2408</v>
      </c>
      <c r="E1669" s="2" t="s">
        <v>80</v>
      </c>
      <c r="F1669" s="2" t="s">
        <v>2584</v>
      </c>
      <c r="G1669" s="4">
        <v>98751</v>
      </c>
      <c r="H1669" s="6">
        <v>44866</v>
      </c>
      <c r="I1669" s="4">
        <v>0</v>
      </c>
      <c r="J1669" s="6">
        <v>44595</v>
      </c>
      <c r="K1669" t="str">
        <f t="shared" si="52"/>
        <v>Q1 2022</v>
      </c>
      <c r="L1669" t="str">
        <f t="shared" si="53"/>
        <v>Q1 2022</v>
      </c>
    </row>
    <row r="1670" spans="1:12" ht="15.75" customHeight="1" x14ac:dyDescent="0.3">
      <c r="A1670" s="2" t="s">
        <v>2585</v>
      </c>
      <c r="B1670" s="2" t="s">
        <v>11</v>
      </c>
      <c r="C1670" s="2" t="s">
        <v>12</v>
      </c>
      <c r="D1670" s="2" t="s">
        <v>2408</v>
      </c>
      <c r="E1670" s="2" t="s">
        <v>80</v>
      </c>
      <c r="F1670" s="2" t="s">
        <v>2436</v>
      </c>
      <c r="G1670" s="4">
        <v>115743</v>
      </c>
      <c r="H1670" s="5" t="s">
        <v>419</v>
      </c>
      <c r="I1670" s="4">
        <v>0</v>
      </c>
      <c r="J1670" s="6">
        <v>44961</v>
      </c>
      <c r="K1670" t="str">
        <f t="shared" si="52"/>
        <v>Q1 2023</v>
      </c>
      <c r="L1670" t="str">
        <f t="shared" si="53"/>
        <v>Q1 2023</v>
      </c>
    </row>
    <row r="1671" spans="1:12" ht="15.75" customHeight="1" x14ac:dyDescent="0.3">
      <c r="A1671" s="2" t="s">
        <v>2586</v>
      </c>
      <c r="B1671" s="2" t="s">
        <v>11</v>
      </c>
      <c r="C1671" s="2" t="s">
        <v>12</v>
      </c>
      <c r="D1671" s="2" t="s">
        <v>2408</v>
      </c>
      <c r="E1671" s="2" t="s">
        <v>80</v>
      </c>
      <c r="F1671" s="2" t="s">
        <v>2587</v>
      </c>
      <c r="G1671" s="4">
        <v>197488</v>
      </c>
      <c r="H1671" s="6">
        <v>44625</v>
      </c>
      <c r="I1671" s="4">
        <v>0</v>
      </c>
      <c r="J1671" s="6">
        <v>44599</v>
      </c>
      <c r="K1671" t="str">
        <f t="shared" si="52"/>
        <v>Q1 2022</v>
      </c>
      <c r="L1671" t="str">
        <f t="shared" si="53"/>
        <v>Q1 2022</v>
      </c>
    </row>
    <row r="1672" spans="1:12" ht="15.75" customHeight="1" x14ac:dyDescent="0.3">
      <c r="A1672" s="2" t="s">
        <v>2588</v>
      </c>
      <c r="B1672" s="2" t="s">
        <v>11</v>
      </c>
      <c r="C1672" s="2" t="s">
        <v>12</v>
      </c>
      <c r="D1672" s="2" t="s">
        <v>2408</v>
      </c>
      <c r="E1672" s="2" t="s">
        <v>80</v>
      </c>
      <c r="F1672" s="2" t="s">
        <v>2589</v>
      </c>
      <c r="G1672" s="4">
        <v>112720</v>
      </c>
      <c r="H1672" s="6">
        <v>44630</v>
      </c>
      <c r="I1672" s="4">
        <v>0</v>
      </c>
      <c r="J1672" s="6">
        <v>44603</v>
      </c>
      <c r="K1672" t="str">
        <f t="shared" si="52"/>
        <v>Q1 2022</v>
      </c>
      <c r="L1672" t="str">
        <f t="shared" si="53"/>
        <v>Q1 2022</v>
      </c>
    </row>
    <row r="1673" spans="1:12" ht="15.75" customHeight="1" x14ac:dyDescent="0.3">
      <c r="A1673" s="2" t="s">
        <v>2590</v>
      </c>
      <c r="B1673" s="2" t="s">
        <v>11</v>
      </c>
      <c r="C1673" s="2" t="s">
        <v>12</v>
      </c>
      <c r="D1673" s="2" t="s">
        <v>2408</v>
      </c>
      <c r="E1673" s="2" t="s">
        <v>80</v>
      </c>
      <c r="F1673" s="2" t="s">
        <v>2591</v>
      </c>
      <c r="G1673" s="4">
        <v>127620</v>
      </c>
      <c r="H1673" s="5" t="s">
        <v>142</v>
      </c>
      <c r="I1673" s="4">
        <v>0</v>
      </c>
      <c r="J1673" s="6">
        <v>44596</v>
      </c>
      <c r="K1673" t="str">
        <f t="shared" si="52"/>
        <v>Q1 2022</v>
      </c>
      <c r="L1673" t="str">
        <f t="shared" si="53"/>
        <v>Q1 2022</v>
      </c>
    </row>
    <row r="1674" spans="1:12" ht="15.75" customHeight="1" x14ac:dyDescent="0.3">
      <c r="A1674" s="2" t="s">
        <v>2592</v>
      </c>
      <c r="B1674" s="2" t="s">
        <v>11</v>
      </c>
      <c r="C1674" s="2" t="s">
        <v>12</v>
      </c>
      <c r="D1674" s="2" t="s">
        <v>2408</v>
      </c>
      <c r="E1674" s="2" t="s">
        <v>80</v>
      </c>
      <c r="F1674" s="2" t="s">
        <v>2593</v>
      </c>
      <c r="G1674" s="4">
        <v>72246</v>
      </c>
      <c r="H1674" s="6">
        <v>44629</v>
      </c>
      <c r="I1674" s="4">
        <v>0</v>
      </c>
      <c r="J1674" s="6">
        <v>44603</v>
      </c>
      <c r="K1674" t="str">
        <f t="shared" si="52"/>
        <v>Q1 2022</v>
      </c>
      <c r="L1674" t="str">
        <f t="shared" si="53"/>
        <v>Q1 2022</v>
      </c>
    </row>
    <row r="1675" spans="1:12" ht="15.75" customHeight="1" x14ac:dyDescent="0.3">
      <c r="A1675" s="2" t="s">
        <v>2594</v>
      </c>
      <c r="B1675" s="2" t="s">
        <v>11</v>
      </c>
      <c r="C1675" s="2" t="s">
        <v>12</v>
      </c>
      <c r="D1675" s="2" t="s">
        <v>2408</v>
      </c>
      <c r="E1675" s="2" t="s">
        <v>80</v>
      </c>
      <c r="F1675" s="2" t="s">
        <v>2436</v>
      </c>
      <c r="G1675" s="4">
        <v>101451</v>
      </c>
      <c r="H1675" s="5" t="s">
        <v>82</v>
      </c>
      <c r="I1675" s="4">
        <v>0</v>
      </c>
      <c r="J1675" s="6">
        <v>44596</v>
      </c>
      <c r="K1675" t="str">
        <f t="shared" si="52"/>
        <v>Q1 2022</v>
      </c>
      <c r="L1675" t="str">
        <f t="shared" si="53"/>
        <v>Q1 2022</v>
      </c>
    </row>
    <row r="1676" spans="1:12" ht="15.75" customHeight="1" x14ac:dyDescent="0.3">
      <c r="A1676" s="2" t="s">
        <v>2595</v>
      </c>
      <c r="B1676" s="2" t="s">
        <v>11</v>
      </c>
      <c r="C1676" s="2" t="s">
        <v>12</v>
      </c>
      <c r="D1676" s="2" t="s">
        <v>2408</v>
      </c>
      <c r="E1676" s="2" t="s">
        <v>2596</v>
      </c>
      <c r="F1676" s="2" t="s">
        <v>2597</v>
      </c>
      <c r="G1676" s="4">
        <v>55015</v>
      </c>
      <c r="H1676" s="5" t="s">
        <v>25</v>
      </c>
      <c r="I1676" s="4">
        <v>0</v>
      </c>
      <c r="J1676" s="6">
        <v>44603</v>
      </c>
      <c r="K1676" t="str">
        <f t="shared" si="52"/>
        <v>Q1 2022</v>
      </c>
      <c r="L1676" t="str">
        <f t="shared" si="53"/>
        <v>Q1 2022</v>
      </c>
    </row>
    <row r="1677" spans="1:12" ht="15.75" customHeight="1" x14ac:dyDescent="0.3">
      <c r="A1677" s="2" t="s">
        <v>2598</v>
      </c>
      <c r="B1677" s="2" t="s">
        <v>11</v>
      </c>
      <c r="C1677" s="2" t="s">
        <v>12</v>
      </c>
      <c r="D1677" s="2" t="s">
        <v>2408</v>
      </c>
      <c r="E1677" s="2" t="s">
        <v>80</v>
      </c>
      <c r="F1677" s="2" t="s">
        <v>2599</v>
      </c>
      <c r="G1677" s="4">
        <v>136958</v>
      </c>
      <c r="H1677" s="5" t="s">
        <v>314</v>
      </c>
      <c r="I1677" s="4">
        <v>0</v>
      </c>
      <c r="J1677" s="6">
        <v>44962</v>
      </c>
      <c r="K1677" t="str">
        <f t="shared" si="52"/>
        <v>Q1 2023</v>
      </c>
      <c r="L1677" t="str">
        <f t="shared" si="53"/>
        <v>Q1 2023</v>
      </c>
    </row>
    <row r="1678" spans="1:12" ht="15.75" customHeight="1" x14ac:dyDescent="0.3">
      <c r="A1678" s="2" t="s">
        <v>2600</v>
      </c>
      <c r="B1678" s="2" t="s">
        <v>11</v>
      </c>
      <c r="C1678" s="2" t="s">
        <v>12</v>
      </c>
      <c r="D1678" s="2" t="s">
        <v>2408</v>
      </c>
      <c r="E1678" s="2" t="s">
        <v>80</v>
      </c>
      <c r="F1678" s="2" t="s">
        <v>2601</v>
      </c>
      <c r="G1678" s="4">
        <v>107493</v>
      </c>
      <c r="H1678" s="5" t="s">
        <v>434</v>
      </c>
      <c r="I1678" s="4">
        <v>0</v>
      </c>
      <c r="J1678" s="6">
        <v>44963</v>
      </c>
      <c r="K1678" t="str">
        <f t="shared" si="52"/>
        <v>Q1 2023</v>
      </c>
      <c r="L1678" t="str">
        <f t="shared" si="53"/>
        <v>Q1 2023</v>
      </c>
    </row>
    <row r="1679" spans="1:12" ht="15.75" customHeight="1" x14ac:dyDescent="0.3">
      <c r="A1679" s="2" t="s">
        <v>2602</v>
      </c>
      <c r="B1679" s="2" t="s">
        <v>11</v>
      </c>
      <c r="C1679" s="2" t="s">
        <v>12</v>
      </c>
      <c r="D1679" s="2" t="s">
        <v>2408</v>
      </c>
      <c r="E1679" s="2" t="s">
        <v>80</v>
      </c>
      <c r="F1679" s="2" t="s">
        <v>2603</v>
      </c>
      <c r="G1679" s="4">
        <v>80106</v>
      </c>
      <c r="H1679" s="5" t="s">
        <v>179</v>
      </c>
      <c r="I1679" s="4">
        <v>0</v>
      </c>
      <c r="J1679" s="6">
        <v>44594</v>
      </c>
      <c r="K1679" t="str">
        <f t="shared" si="52"/>
        <v>Q1 2022</v>
      </c>
      <c r="L1679" t="str">
        <f t="shared" si="53"/>
        <v>Q1 2022</v>
      </c>
    </row>
    <row r="1680" spans="1:12" ht="15.75" customHeight="1" x14ac:dyDescent="0.3">
      <c r="A1680" s="2" t="s">
        <v>2604</v>
      </c>
      <c r="B1680" s="2" t="s">
        <v>11</v>
      </c>
      <c r="C1680" s="2" t="s">
        <v>12</v>
      </c>
      <c r="D1680" s="2" t="s">
        <v>2408</v>
      </c>
      <c r="E1680" s="2" t="s">
        <v>80</v>
      </c>
      <c r="F1680" s="2" t="s">
        <v>2605</v>
      </c>
      <c r="G1680" s="4">
        <v>92947</v>
      </c>
      <c r="H1680" s="5" t="s">
        <v>192</v>
      </c>
      <c r="I1680" s="4">
        <v>0</v>
      </c>
      <c r="J1680" s="6">
        <v>44595</v>
      </c>
      <c r="K1680" t="str">
        <f t="shared" si="52"/>
        <v>Q1 2022</v>
      </c>
      <c r="L1680" t="str">
        <f t="shared" si="53"/>
        <v>Q1 2022</v>
      </c>
    </row>
    <row r="1681" spans="1:12" ht="15.75" customHeight="1" x14ac:dyDescent="0.3">
      <c r="A1681" s="2" t="s">
        <v>2606</v>
      </c>
      <c r="B1681" s="2" t="s">
        <v>11</v>
      </c>
      <c r="C1681" s="2" t="s">
        <v>12</v>
      </c>
      <c r="D1681" s="2" t="s">
        <v>2408</v>
      </c>
      <c r="E1681" s="2" t="s">
        <v>80</v>
      </c>
      <c r="F1681" s="2" t="s">
        <v>679</v>
      </c>
      <c r="G1681" s="4">
        <v>70097</v>
      </c>
      <c r="H1681" s="5" t="s">
        <v>232</v>
      </c>
      <c r="I1681" s="4">
        <v>0</v>
      </c>
      <c r="J1681" s="6">
        <v>44594</v>
      </c>
      <c r="K1681" t="str">
        <f t="shared" si="52"/>
        <v>Q1 2022</v>
      </c>
      <c r="L1681" t="str">
        <f t="shared" si="53"/>
        <v>Q1 2022</v>
      </c>
    </row>
    <row r="1682" spans="1:12" ht="15.75" customHeight="1" x14ac:dyDescent="0.3">
      <c r="A1682" s="2" t="s">
        <v>2607</v>
      </c>
      <c r="B1682" s="2" t="s">
        <v>11</v>
      </c>
      <c r="C1682" s="2" t="s">
        <v>12</v>
      </c>
      <c r="D1682" s="2" t="s">
        <v>2408</v>
      </c>
      <c r="E1682" s="2" t="s">
        <v>80</v>
      </c>
      <c r="F1682" s="2" t="s">
        <v>2608</v>
      </c>
      <c r="G1682" s="4">
        <v>281760</v>
      </c>
      <c r="H1682" s="6">
        <v>44629</v>
      </c>
      <c r="I1682" s="4">
        <v>0</v>
      </c>
      <c r="J1682" s="6">
        <v>44603</v>
      </c>
      <c r="K1682" t="str">
        <f t="shared" si="52"/>
        <v>Q1 2022</v>
      </c>
      <c r="L1682" t="str">
        <f t="shared" si="53"/>
        <v>Q1 2022</v>
      </c>
    </row>
    <row r="1683" spans="1:12" ht="15.75" customHeight="1" x14ac:dyDescent="0.3">
      <c r="A1683" s="2" t="s">
        <v>2609</v>
      </c>
      <c r="B1683" s="2" t="s">
        <v>11</v>
      </c>
      <c r="C1683" s="2" t="s">
        <v>12</v>
      </c>
      <c r="D1683" s="2" t="s">
        <v>2408</v>
      </c>
      <c r="E1683" s="2" t="s">
        <v>80</v>
      </c>
      <c r="F1683" s="2" t="s">
        <v>2610</v>
      </c>
      <c r="G1683" s="4">
        <v>139026</v>
      </c>
      <c r="H1683" s="6">
        <v>44629</v>
      </c>
      <c r="I1683" s="4">
        <v>0</v>
      </c>
      <c r="J1683" s="6">
        <v>44603</v>
      </c>
      <c r="K1683" t="str">
        <f t="shared" si="52"/>
        <v>Q1 2022</v>
      </c>
      <c r="L1683" t="str">
        <f t="shared" si="53"/>
        <v>Q1 2022</v>
      </c>
    </row>
    <row r="1684" spans="1:12" ht="15.75" customHeight="1" x14ac:dyDescent="0.3">
      <c r="A1684" s="2" t="s">
        <v>2611</v>
      </c>
      <c r="B1684" s="2" t="s">
        <v>11</v>
      </c>
      <c r="C1684" s="2" t="s">
        <v>12</v>
      </c>
      <c r="D1684" s="2" t="s">
        <v>2408</v>
      </c>
      <c r="E1684" s="2" t="s">
        <v>80</v>
      </c>
      <c r="F1684" s="2" t="s">
        <v>2612</v>
      </c>
      <c r="G1684" s="4">
        <v>190705</v>
      </c>
      <c r="H1684" s="5" t="s">
        <v>82</v>
      </c>
      <c r="I1684" s="4">
        <v>0</v>
      </c>
      <c r="J1684" s="6">
        <v>44597</v>
      </c>
      <c r="K1684" t="str">
        <f t="shared" si="52"/>
        <v>Q1 2022</v>
      </c>
      <c r="L1684" t="str">
        <f t="shared" si="53"/>
        <v>Q1 2022</v>
      </c>
    </row>
    <row r="1685" spans="1:12" ht="15.75" customHeight="1" x14ac:dyDescent="0.3">
      <c r="A1685" s="2" t="s">
        <v>2613</v>
      </c>
      <c r="B1685" s="2" t="s">
        <v>11</v>
      </c>
      <c r="C1685" s="2" t="s">
        <v>12</v>
      </c>
      <c r="D1685" s="2" t="s">
        <v>2408</v>
      </c>
      <c r="E1685" s="2" t="s">
        <v>80</v>
      </c>
      <c r="F1685" s="2" t="s">
        <v>2436</v>
      </c>
      <c r="G1685" s="4">
        <v>114554</v>
      </c>
      <c r="H1685" s="6">
        <v>44598</v>
      </c>
      <c r="I1685" s="4">
        <v>0</v>
      </c>
      <c r="J1685" s="6">
        <v>44599</v>
      </c>
      <c r="K1685" t="str">
        <f t="shared" si="52"/>
        <v>Q1 2022</v>
      </c>
      <c r="L1685" t="str">
        <f t="shared" si="53"/>
        <v>Q1 2022</v>
      </c>
    </row>
    <row r="1686" spans="1:12" ht="15.75" customHeight="1" x14ac:dyDescent="0.3">
      <c r="A1686" s="2" t="s">
        <v>2614</v>
      </c>
      <c r="B1686" s="2" t="s">
        <v>11</v>
      </c>
      <c r="C1686" s="2" t="s">
        <v>12</v>
      </c>
      <c r="D1686" s="2" t="s">
        <v>2408</v>
      </c>
      <c r="E1686" s="2" t="s">
        <v>80</v>
      </c>
      <c r="F1686" s="2" t="s">
        <v>353</v>
      </c>
      <c r="G1686" s="4">
        <v>173041</v>
      </c>
      <c r="H1686" s="6">
        <v>44629</v>
      </c>
      <c r="I1686" s="4">
        <v>0</v>
      </c>
      <c r="J1686" s="6">
        <v>44603</v>
      </c>
      <c r="K1686" t="str">
        <f t="shared" si="52"/>
        <v>Q1 2022</v>
      </c>
      <c r="L1686" t="str">
        <f t="shared" si="53"/>
        <v>Q1 2022</v>
      </c>
    </row>
    <row r="1687" spans="1:12" ht="15.75" customHeight="1" x14ac:dyDescent="0.3">
      <c r="A1687" s="2" t="s">
        <v>2615</v>
      </c>
      <c r="B1687" s="2" t="s">
        <v>11</v>
      </c>
      <c r="C1687" s="2" t="s">
        <v>12</v>
      </c>
      <c r="D1687" s="2" t="s">
        <v>2408</v>
      </c>
      <c r="E1687" s="2" t="s">
        <v>80</v>
      </c>
      <c r="F1687" s="2" t="s">
        <v>2421</v>
      </c>
      <c r="G1687" s="2"/>
      <c r="H1687" s="5" t="s">
        <v>39</v>
      </c>
      <c r="I1687" s="4">
        <v>0</v>
      </c>
      <c r="J1687" s="6">
        <v>44603</v>
      </c>
      <c r="K1687" t="str">
        <f t="shared" si="52"/>
        <v>Q1 2022</v>
      </c>
      <c r="L1687" t="str">
        <f t="shared" si="53"/>
        <v>Q1 2022</v>
      </c>
    </row>
    <row r="1688" spans="1:12" ht="15.75" customHeight="1" x14ac:dyDescent="0.3">
      <c r="A1688" s="2" t="s">
        <v>2616</v>
      </c>
      <c r="B1688" s="2" t="s">
        <v>11</v>
      </c>
      <c r="C1688" s="2" t="s">
        <v>12</v>
      </c>
      <c r="D1688" s="2" t="s">
        <v>2408</v>
      </c>
      <c r="E1688" s="2" t="s">
        <v>80</v>
      </c>
      <c r="F1688" s="2" t="s">
        <v>2617</v>
      </c>
      <c r="G1688" s="4">
        <v>76841</v>
      </c>
      <c r="H1688" s="6">
        <v>44625</v>
      </c>
      <c r="I1688" s="4">
        <v>0</v>
      </c>
      <c r="J1688" s="6">
        <v>44598</v>
      </c>
      <c r="K1688" t="str">
        <f t="shared" si="52"/>
        <v>Q1 2022</v>
      </c>
      <c r="L1688" t="str">
        <f t="shared" si="53"/>
        <v>Q1 2022</v>
      </c>
    </row>
    <row r="1689" spans="1:12" ht="15.75" customHeight="1" x14ac:dyDescent="0.3">
      <c r="A1689" s="2" t="s">
        <v>2618</v>
      </c>
      <c r="B1689" s="2" t="s">
        <v>11</v>
      </c>
      <c r="C1689" s="2" t="s">
        <v>12</v>
      </c>
      <c r="D1689" s="2" t="s">
        <v>2408</v>
      </c>
      <c r="E1689" s="2" t="s">
        <v>80</v>
      </c>
      <c r="F1689" s="2" t="s">
        <v>2619</v>
      </c>
      <c r="G1689" s="4">
        <v>37800</v>
      </c>
      <c r="H1689" s="5" t="s">
        <v>16</v>
      </c>
      <c r="I1689" s="4">
        <v>0</v>
      </c>
      <c r="J1689" s="6">
        <v>44597</v>
      </c>
      <c r="K1689" t="str">
        <f t="shared" si="52"/>
        <v>Q1 2022</v>
      </c>
      <c r="L1689" t="str">
        <f t="shared" si="53"/>
        <v>Q1 2022</v>
      </c>
    </row>
    <row r="1690" spans="1:12" ht="15.75" customHeight="1" x14ac:dyDescent="0.3">
      <c r="A1690" s="2" t="s">
        <v>2620</v>
      </c>
      <c r="B1690" s="2" t="s">
        <v>11</v>
      </c>
      <c r="C1690" s="2" t="s">
        <v>12</v>
      </c>
      <c r="D1690" s="2" t="s">
        <v>2408</v>
      </c>
      <c r="E1690" s="2" t="s">
        <v>80</v>
      </c>
      <c r="F1690" s="2" t="s">
        <v>46</v>
      </c>
      <c r="G1690" s="4">
        <v>80523</v>
      </c>
      <c r="H1690" s="6">
        <v>44626</v>
      </c>
      <c r="I1690" s="4">
        <v>0</v>
      </c>
      <c r="J1690" s="6">
        <v>44600</v>
      </c>
      <c r="K1690" t="str">
        <f t="shared" si="52"/>
        <v>Q1 2022</v>
      </c>
      <c r="L1690" t="str">
        <f t="shared" si="53"/>
        <v>Q1 2022</v>
      </c>
    </row>
    <row r="1691" spans="1:12" ht="15.75" customHeight="1" x14ac:dyDescent="0.3">
      <c r="A1691" s="2" t="s">
        <v>2621</v>
      </c>
      <c r="B1691" s="2" t="s">
        <v>11</v>
      </c>
      <c r="C1691" s="2" t="s">
        <v>12</v>
      </c>
      <c r="D1691" s="2" t="s">
        <v>2408</v>
      </c>
      <c r="E1691" s="2" t="s">
        <v>80</v>
      </c>
      <c r="F1691" s="5">
        <v>20145</v>
      </c>
      <c r="G1691" s="4">
        <v>157233</v>
      </c>
      <c r="H1691" s="5" t="s">
        <v>142</v>
      </c>
      <c r="I1691" s="4">
        <v>0</v>
      </c>
      <c r="J1691" s="6">
        <v>44597</v>
      </c>
      <c r="K1691" t="str">
        <f t="shared" si="52"/>
        <v>Q1 2022</v>
      </c>
      <c r="L1691" t="str">
        <f t="shared" si="53"/>
        <v>Q1 2022</v>
      </c>
    </row>
    <row r="1692" spans="1:12" ht="15.75" customHeight="1" x14ac:dyDescent="0.3">
      <c r="A1692" s="2" t="s">
        <v>2622</v>
      </c>
      <c r="B1692" s="2" t="s">
        <v>11</v>
      </c>
      <c r="C1692" s="2" t="s">
        <v>12</v>
      </c>
      <c r="D1692" s="2" t="s">
        <v>2408</v>
      </c>
      <c r="E1692" s="2" t="s">
        <v>80</v>
      </c>
      <c r="F1692" s="2" t="s">
        <v>2623</v>
      </c>
      <c r="G1692" s="4">
        <v>128110</v>
      </c>
      <c r="H1692" s="6">
        <v>44628</v>
      </c>
      <c r="I1692" s="4">
        <v>0</v>
      </c>
      <c r="J1692" s="6">
        <v>44601</v>
      </c>
      <c r="K1692" t="str">
        <f t="shared" si="52"/>
        <v>Q1 2022</v>
      </c>
      <c r="L1692" t="str">
        <f t="shared" si="53"/>
        <v>Q1 2022</v>
      </c>
    </row>
    <row r="1693" spans="1:12" ht="15.75" customHeight="1" x14ac:dyDescent="0.3">
      <c r="A1693" s="2" t="s">
        <v>2624</v>
      </c>
      <c r="B1693" s="2" t="s">
        <v>11</v>
      </c>
      <c r="C1693" s="2" t="s">
        <v>12</v>
      </c>
      <c r="D1693" s="2" t="s">
        <v>2408</v>
      </c>
      <c r="E1693" s="2" t="s">
        <v>80</v>
      </c>
      <c r="F1693" s="2" t="s">
        <v>2625</v>
      </c>
      <c r="G1693" s="4">
        <v>60693</v>
      </c>
      <c r="H1693" s="5" t="s">
        <v>232</v>
      </c>
      <c r="I1693" s="4">
        <v>0</v>
      </c>
      <c r="J1693" s="6">
        <v>44594</v>
      </c>
      <c r="K1693" t="str">
        <f t="shared" si="52"/>
        <v>Q1 2022</v>
      </c>
      <c r="L1693" t="str">
        <f t="shared" si="53"/>
        <v>Q1 2022</v>
      </c>
    </row>
    <row r="1694" spans="1:12" ht="15.75" customHeight="1" x14ac:dyDescent="0.3">
      <c r="A1694" s="2" t="s">
        <v>2626</v>
      </c>
      <c r="B1694" s="2" t="s">
        <v>11</v>
      </c>
      <c r="C1694" s="2" t="s">
        <v>12</v>
      </c>
      <c r="D1694" s="2" t="s">
        <v>2408</v>
      </c>
      <c r="E1694" s="2" t="s">
        <v>80</v>
      </c>
      <c r="F1694" s="2" t="s">
        <v>2627</v>
      </c>
      <c r="G1694" s="4">
        <v>100555</v>
      </c>
      <c r="H1694" s="6">
        <v>44658</v>
      </c>
      <c r="I1694" s="4">
        <v>0</v>
      </c>
      <c r="J1694" s="6">
        <v>44601</v>
      </c>
      <c r="K1694" t="str">
        <f t="shared" si="52"/>
        <v>Q1 2022</v>
      </c>
      <c r="L1694" t="str">
        <f t="shared" si="53"/>
        <v>Q1 2022</v>
      </c>
    </row>
    <row r="1695" spans="1:12" ht="15.75" customHeight="1" x14ac:dyDescent="0.3">
      <c r="A1695" s="2" t="s">
        <v>2628</v>
      </c>
      <c r="B1695" s="2" t="s">
        <v>11</v>
      </c>
      <c r="C1695" s="2" t="s">
        <v>12</v>
      </c>
      <c r="D1695" s="2" t="s">
        <v>2408</v>
      </c>
      <c r="E1695" s="2" t="s">
        <v>80</v>
      </c>
      <c r="F1695" s="2" t="s">
        <v>2629</v>
      </c>
      <c r="G1695" s="4">
        <v>74869</v>
      </c>
      <c r="H1695" s="5" t="s">
        <v>42</v>
      </c>
      <c r="I1695" s="4">
        <v>0</v>
      </c>
      <c r="J1695" s="6">
        <v>44603</v>
      </c>
      <c r="K1695" t="str">
        <f t="shared" si="52"/>
        <v>Q1 2022</v>
      </c>
      <c r="L1695" t="str">
        <f t="shared" si="53"/>
        <v>Q1 2022</v>
      </c>
    </row>
    <row r="1696" spans="1:12" ht="15.75" customHeight="1" x14ac:dyDescent="0.3">
      <c r="A1696" s="2" t="s">
        <v>2630</v>
      </c>
      <c r="B1696" s="2" t="s">
        <v>11</v>
      </c>
      <c r="C1696" s="2" t="s">
        <v>12</v>
      </c>
      <c r="D1696" s="2" t="s">
        <v>2408</v>
      </c>
      <c r="E1696" s="2" t="s">
        <v>80</v>
      </c>
      <c r="F1696" s="2" t="s">
        <v>2631</v>
      </c>
      <c r="G1696" s="4">
        <v>101451</v>
      </c>
      <c r="H1696" s="5" t="s">
        <v>309</v>
      </c>
      <c r="I1696" s="4">
        <v>0</v>
      </c>
      <c r="J1696" s="6">
        <v>44594</v>
      </c>
      <c r="K1696" t="str">
        <f t="shared" si="52"/>
        <v>Q1 2022</v>
      </c>
      <c r="L1696" t="str">
        <f t="shared" si="53"/>
        <v>Q1 2022</v>
      </c>
    </row>
    <row r="1697" spans="1:12" ht="15.75" customHeight="1" x14ac:dyDescent="0.3">
      <c r="A1697" s="2" t="s">
        <v>2632</v>
      </c>
      <c r="B1697" s="2" t="s">
        <v>11</v>
      </c>
      <c r="C1697" s="2" t="s">
        <v>12</v>
      </c>
      <c r="D1697" s="2" t="s">
        <v>2408</v>
      </c>
      <c r="E1697" s="2" t="s">
        <v>80</v>
      </c>
      <c r="F1697" s="2" t="s">
        <v>2633</v>
      </c>
      <c r="G1697" s="4">
        <v>260004</v>
      </c>
      <c r="H1697" s="5" t="s">
        <v>25</v>
      </c>
      <c r="I1697" s="4">
        <v>0</v>
      </c>
      <c r="J1697" s="6">
        <v>44604</v>
      </c>
      <c r="K1697" t="str">
        <f t="shared" si="52"/>
        <v>Q1 2022</v>
      </c>
      <c r="L1697" t="str">
        <f t="shared" si="53"/>
        <v>Q1 2022</v>
      </c>
    </row>
    <row r="1698" spans="1:12" ht="15.75" customHeight="1" x14ac:dyDescent="0.3">
      <c r="A1698" s="2" t="s">
        <v>2634</v>
      </c>
      <c r="B1698" s="2" t="s">
        <v>11</v>
      </c>
      <c r="C1698" s="2" t="s">
        <v>12</v>
      </c>
      <c r="D1698" s="2" t="s">
        <v>2408</v>
      </c>
      <c r="E1698" s="2" t="s">
        <v>80</v>
      </c>
      <c r="F1698" s="2" t="s">
        <v>2635</v>
      </c>
      <c r="G1698" s="4">
        <v>118996</v>
      </c>
      <c r="H1698" s="6">
        <v>44630</v>
      </c>
      <c r="I1698" s="4">
        <v>0</v>
      </c>
      <c r="J1698" s="6">
        <v>44603</v>
      </c>
      <c r="K1698" t="str">
        <f t="shared" si="52"/>
        <v>Q1 2022</v>
      </c>
      <c r="L1698" t="str">
        <f t="shared" si="53"/>
        <v>Q1 2022</v>
      </c>
    </row>
    <row r="1699" spans="1:12" ht="15.75" customHeight="1" x14ac:dyDescent="0.3">
      <c r="A1699" s="2" t="s">
        <v>2636</v>
      </c>
      <c r="B1699" s="2" t="s">
        <v>20</v>
      </c>
      <c r="C1699" s="2" t="s">
        <v>21</v>
      </c>
      <c r="D1699" s="2" t="s">
        <v>2408</v>
      </c>
      <c r="E1699" s="2" t="s">
        <v>80</v>
      </c>
      <c r="F1699" s="2" t="s">
        <v>2453</v>
      </c>
      <c r="G1699" s="4">
        <v>93812</v>
      </c>
      <c r="H1699" s="7">
        <v>44876</v>
      </c>
      <c r="I1699" s="4">
        <v>46906</v>
      </c>
      <c r="J1699" s="5" t="s">
        <v>2637</v>
      </c>
      <c r="K1699" t="str">
        <f t="shared" si="52"/>
        <v>Q1 2023</v>
      </c>
      <c r="L1699" t="str">
        <f t="shared" si="53"/>
        <v>Q1 2023</v>
      </c>
    </row>
    <row r="1700" spans="1:12" ht="15.75" customHeight="1" x14ac:dyDescent="0.3">
      <c r="A1700" s="2" t="s">
        <v>2638</v>
      </c>
      <c r="B1700" s="2" t="s">
        <v>11</v>
      </c>
      <c r="C1700" s="2" t="s">
        <v>12</v>
      </c>
      <c r="D1700" s="2" t="s">
        <v>2408</v>
      </c>
      <c r="E1700" s="2" t="s">
        <v>80</v>
      </c>
      <c r="F1700" s="2" t="s">
        <v>2639</v>
      </c>
      <c r="G1700" s="4">
        <v>56404</v>
      </c>
      <c r="H1700" s="5" t="s">
        <v>75</v>
      </c>
      <c r="I1700" s="4">
        <v>0</v>
      </c>
      <c r="J1700" s="6">
        <v>44595</v>
      </c>
      <c r="K1700" t="str">
        <f t="shared" si="52"/>
        <v>Q1 2022</v>
      </c>
      <c r="L1700" t="str">
        <f t="shared" si="53"/>
        <v>Q1 2022</v>
      </c>
    </row>
    <row r="1701" spans="1:12" ht="15.75" customHeight="1" x14ac:dyDescent="0.3">
      <c r="A1701" s="2" t="s">
        <v>2640</v>
      </c>
      <c r="B1701" s="2" t="s">
        <v>11</v>
      </c>
      <c r="C1701" s="2" t="s">
        <v>12</v>
      </c>
      <c r="D1701" s="2" t="s">
        <v>2408</v>
      </c>
      <c r="E1701" s="2" t="s">
        <v>80</v>
      </c>
      <c r="F1701" s="2" t="s">
        <v>2641</v>
      </c>
      <c r="G1701" s="4">
        <v>143639</v>
      </c>
      <c r="H1701" s="5" t="s">
        <v>513</v>
      </c>
      <c r="I1701" s="4">
        <v>0</v>
      </c>
      <c r="J1701" s="6">
        <v>44600</v>
      </c>
      <c r="K1701" t="str">
        <f t="shared" si="52"/>
        <v>Q1 2022</v>
      </c>
      <c r="L1701" t="str">
        <f t="shared" si="53"/>
        <v>Q1 2022</v>
      </c>
    </row>
    <row r="1702" spans="1:12" ht="15.75" customHeight="1" x14ac:dyDescent="0.3">
      <c r="A1702" s="2" t="s">
        <v>2642</v>
      </c>
      <c r="B1702" s="2" t="s">
        <v>11</v>
      </c>
      <c r="C1702" s="2" t="s">
        <v>12</v>
      </c>
      <c r="D1702" s="2" t="s">
        <v>2408</v>
      </c>
      <c r="E1702" s="2" t="s">
        <v>80</v>
      </c>
      <c r="F1702" s="2" t="s">
        <v>353</v>
      </c>
      <c r="G1702" s="2"/>
      <c r="H1702" s="7">
        <v>44905</v>
      </c>
      <c r="I1702" s="4">
        <v>0</v>
      </c>
      <c r="J1702" s="7">
        <v>44876</v>
      </c>
      <c r="K1702" t="str">
        <f t="shared" si="52"/>
        <v>Q4 2022</v>
      </c>
      <c r="L1702" t="str">
        <f t="shared" si="53"/>
        <v>Q4 2022</v>
      </c>
    </row>
    <row r="1703" spans="1:12" ht="15.75" customHeight="1" x14ac:dyDescent="0.3">
      <c r="A1703" s="2" t="s">
        <v>2643</v>
      </c>
      <c r="B1703" s="2" t="s">
        <v>11</v>
      </c>
      <c r="C1703" s="2" t="s">
        <v>12</v>
      </c>
      <c r="D1703" s="2" t="s">
        <v>2408</v>
      </c>
      <c r="E1703" s="2" t="s">
        <v>80</v>
      </c>
      <c r="F1703" s="2" t="s">
        <v>2436</v>
      </c>
      <c r="G1703" s="4">
        <v>171642</v>
      </c>
      <c r="H1703" s="5" t="s">
        <v>136</v>
      </c>
      <c r="I1703" s="4">
        <v>0</v>
      </c>
      <c r="J1703" s="6">
        <v>44598</v>
      </c>
      <c r="K1703" t="str">
        <f t="shared" si="52"/>
        <v>Q1 2022</v>
      </c>
      <c r="L1703" t="str">
        <f t="shared" si="53"/>
        <v>Q1 2022</v>
      </c>
    </row>
    <row r="1704" spans="1:12" ht="15.75" customHeight="1" x14ac:dyDescent="0.3">
      <c r="A1704" s="2" t="s">
        <v>2644</v>
      </c>
      <c r="B1704" s="2" t="s">
        <v>11</v>
      </c>
      <c r="C1704" s="2" t="s">
        <v>12</v>
      </c>
      <c r="D1704" s="2" t="s">
        <v>2408</v>
      </c>
      <c r="E1704" s="2" t="s">
        <v>80</v>
      </c>
      <c r="F1704" s="2" t="s">
        <v>2415</v>
      </c>
      <c r="G1704" s="4">
        <v>171663</v>
      </c>
      <c r="H1704" s="5" t="s">
        <v>1016</v>
      </c>
      <c r="I1704" s="4">
        <v>0</v>
      </c>
      <c r="J1704" s="6">
        <v>44595</v>
      </c>
      <c r="K1704" t="str">
        <f t="shared" si="52"/>
        <v>Q1 2022</v>
      </c>
      <c r="L1704" t="str">
        <f t="shared" si="53"/>
        <v>Q1 2022</v>
      </c>
    </row>
    <row r="1705" spans="1:12" ht="15.75" customHeight="1" x14ac:dyDescent="0.3">
      <c r="A1705" s="2" t="s">
        <v>2645</v>
      </c>
      <c r="B1705" s="2" t="s">
        <v>11</v>
      </c>
      <c r="C1705" s="2" t="s">
        <v>12</v>
      </c>
      <c r="D1705" s="2" t="s">
        <v>2408</v>
      </c>
      <c r="E1705" s="2" t="s">
        <v>80</v>
      </c>
      <c r="F1705" s="2" t="s">
        <v>2589</v>
      </c>
      <c r="G1705" s="4">
        <v>184681</v>
      </c>
      <c r="H1705" s="6">
        <v>44866</v>
      </c>
      <c r="I1705" s="4">
        <v>0</v>
      </c>
      <c r="J1705" s="6">
        <v>44595</v>
      </c>
      <c r="K1705" t="str">
        <f t="shared" si="52"/>
        <v>Q1 2022</v>
      </c>
      <c r="L1705" t="str">
        <f t="shared" si="53"/>
        <v>Q1 2022</v>
      </c>
    </row>
    <row r="1706" spans="1:12" ht="15.75" customHeight="1" x14ac:dyDescent="0.3">
      <c r="A1706" s="2" t="s">
        <v>2646</v>
      </c>
      <c r="B1706" s="2" t="s">
        <v>11</v>
      </c>
      <c r="C1706" s="2" t="s">
        <v>12</v>
      </c>
      <c r="D1706" s="2" t="s">
        <v>2408</v>
      </c>
      <c r="E1706" s="2" t="s">
        <v>80</v>
      </c>
      <c r="F1706" s="2" t="s">
        <v>2647</v>
      </c>
      <c r="G1706" s="4">
        <v>160901</v>
      </c>
      <c r="H1706" s="5" t="s">
        <v>71</v>
      </c>
      <c r="I1706" s="4">
        <v>0</v>
      </c>
      <c r="J1706" s="6">
        <v>44603</v>
      </c>
      <c r="K1706" t="str">
        <f t="shared" si="52"/>
        <v>Q1 2022</v>
      </c>
      <c r="L1706" t="str">
        <f t="shared" si="53"/>
        <v>Q1 2022</v>
      </c>
    </row>
    <row r="1707" spans="1:12" ht="15.75" customHeight="1" x14ac:dyDescent="0.3">
      <c r="A1707" s="2" t="s">
        <v>2648</v>
      </c>
      <c r="B1707" s="2" t="s">
        <v>11</v>
      </c>
      <c r="C1707" s="2" t="s">
        <v>12</v>
      </c>
      <c r="D1707" s="2" t="s">
        <v>2408</v>
      </c>
      <c r="E1707" s="2" t="s">
        <v>80</v>
      </c>
      <c r="F1707" s="2" t="s">
        <v>81</v>
      </c>
      <c r="G1707" s="4">
        <v>104490</v>
      </c>
      <c r="H1707" s="5" t="s">
        <v>25</v>
      </c>
      <c r="I1707" s="4">
        <v>0</v>
      </c>
      <c r="J1707" s="6">
        <v>44603</v>
      </c>
      <c r="K1707" t="str">
        <f t="shared" si="52"/>
        <v>Q1 2022</v>
      </c>
      <c r="L1707" t="str">
        <f t="shared" si="53"/>
        <v>Q1 2022</v>
      </c>
    </row>
    <row r="1708" spans="1:12" ht="15.75" customHeight="1" x14ac:dyDescent="0.3">
      <c r="A1708" s="2" t="s">
        <v>2649</v>
      </c>
      <c r="B1708" s="2" t="s">
        <v>11</v>
      </c>
      <c r="C1708" s="2" t="s">
        <v>12</v>
      </c>
      <c r="D1708" s="2" t="s">
        <v>2408</v>
      </c>
      <c r="E1708" s="2" t="s">
        <v>80</v>
      </c>
      <c r="F1708" s="2" t="s">
        <v>2629</v>
      </c>
      <c r="G1708" s="4">
        <v>78161</v>
      </c>
      <c r="H1708" s="5" t="s">
        <v>123</v>
      </c>
      <c r="I1708" s="4">
        <v>0</v>
      </c>
      <c r="J1708" s="6">
        <v>44594</v>
      </c>
      <c r="K1708" t="str">
        <f t="shared" si="52"/>
        <v>Q1 2022</v>
      </c>
      <c r="L1708" t="str">
        <f t="shared" si="53"/>
        <v>Q1 2022</v>
      </c>
    </row>
    <row r="1709" spans="1:12" ht="15.75" customHeight="1" x14ac:dyDescent="0.3">
      <c r="A1709" s="2" t="s">
        <v>2650</v>
      </c>
      <c r="B1709" s="2" t="s">
        <v>11</v>
      </c>
      <c r="C1709" s="2" t="s">
        <v>12</v>
      </c>
      <c r="D1709" s="2" t="s">
        <v>2408</v>
      </c>
      <c r="E1709" s="2" t="s">
        <v>80</v>
      </c>
      <c r="F1709" s="2" t="s">
        <v>2651</v>
      </c>
      <c r="G1709" s="4">
        <v>181198</v>
      </c>
      <c r="H1709" s="5" t="s">
        <v>39</v>
      </c>
      <c r="I1709" s="4">
        <v>0</v>
      </c>
      <c r="J1709" s="6">
        <v>44603</v>
      </c>
      <c r="K1709" t="str">
        <f t="shared" si="52"/>
        <v>Q1 2022</v>
      </c>
      <c r="L1709" t="str">
        <f t="shared" si="53"/>
        <v>Q1 2022</v>
      </c>
    </row>
    <row r="1710" spans="1:12" ht="15.75" customHeight="1" x14ac:dyDescent="0.3">
      <c r="A1710" s="2" t="s">
        <v>2652</v>
      </c>
      <c r="B1710" s="2" t="s">
        <v>11</v>
      </c>
      <c r="C1710" s="2" t="s">
        <v>12</v>
      </c>
      <c r="D1710" s="2" t="s">
        <v>2408</v>
      </c>
      <c r="E1710" s="2" t="s">
        <v>80</v>
      </c>
      <c r="F1710" s="2" t="s">
        <v>2653</v>
      </c>
      <c r="G1710" s="4">
        <v>239168</v>
      </c>
      <c r="H1710" s="6">
        <v>45201</v>
      </c>
      <c r="I1710" s="4">
        <v>0</v>
      </c>
      <c r="J1710" s="6">
        <v>44960</v>
      </c>
      <c r="K1710" t="str">
        <f t="shared" si="52"/>
        <v>Q1 2023</v>
      </c>
      <c r="L1710" t="str">
        <f t="shared" si="53"/>
        <v>Q1 2023</v>
      </c>
    </row>
    <row r="1711" spans="1:12" ht="15.75" customHeight="1" x14ac:dyDescent="0.3">
      <c r="A1711" s="2" t="s">
        <v>2654</v>
      </c>
      <c r="B1711" s="2" t="s">
        <v>11</v>
      </c>
      <c r="C1711" s="2" t="s">
        <v>12</v>
      </c>
      <c r="D1711" s="2" t="s">
        <v>2408</v>
      </c>
      <c r="E1711" s="2" t="s">
        <v>80</v>
      </c>
      <c r="F1711" s="2" t="s">
        <v>2655</v>
      </c>
      <c r="G1711" s="4">
        <v>77441</v>
      </c>
      <c r="H1711" s="5" t="s">
        <v>42</v>
      </c>
      <c r="I1711" s="4">
        <v>0</v>
      </c>
      <c r="J1711" s="6">
        <v>44603</v>
      </c>
      <c r="K1711" t="str">
        <f t="shared" si="52"/>
        <v>Q1 2022</v>
      </c>
      <c r="L1711" t="str">
        <f t="shared" si="53"/>
        <v>Q1 2022</v>
      </c>
    </row>
    <row r="1712" spans="1:12" ht="15.75" customHeight="1" x14ac:dyDescent="0.3">
      <c r="A1712" s="2" t="s">
        <v>2656</v>
      </c>
      <c r="B1712" s="2" t="s">
        <v>11</v>
      </c>
      <c r="C1712" s="2" t="s">
        <v>12</v>
      </c>
      <c r="D1712" s="2" t="s">
        <v>2408</v>
      </c>
      <c r="E1712" s="2" t="s">
        <v>80</v>
      </c>
      <c r="F1712" s="2" t="s">
        <v>2657</v>
      </c>
      <c r="G1712" s="4">
        <v>86474</v>
      </c>
      <c r="H1712" s="6">
        <v>44629</v>
      </c>
      <c r="I1712" s="4">
        <v>0</v>
      </c>
      <c r="J1712" s="6">
        <v>44603</v>
      </c>
      <c r="K1712" t="str">
        <f t="shared" si="52"/>
        <v>Q1 2022</v>
      </c>
      <c r="L1712" t="str">
        <f t="shared" si="53"/>
        <v>Q1 2022</v>
      </c>
    </row>
    <row r="1713" spans="1:12" ht="15.75" customHeight="1" x14ac:dyDescent="0.3">
      <c r="A1713" s="2" t="s">
        <v>2658</v>
      </c>
      <c r="B1713" s="2" t="s">
        <v>11</v>
      </c>
      <c r="C1713" s="2" t="s">
        <v>12</v>
      </c>
      <c r="D1713" s="2" t="s">
        <v>2408</v>
      </c>
      <c r="E1713" s="2" t="s">
        <v>80</v>
      </c>
      <c r="F1713" s="2" t="s">
        <v>2659</v>
      </c>
      <c r="G1713" s="4">
        <v>109690</v>
      </c>
      <c r="H1713" s="5" t="s">
        <v>355</v>
      </c>
      <c r="I1713" s="4">
        <v>0</v>
      </c>
      <c r="J1713" s="6">
        <v>44205</v>
      </c>
      <c r="K1713" t="str">
        <f t="shared" si="52"/>
        <v>Q1 2021</v>
      </c>
      <c r="L1713" t="str">
        <f t="shared" si="53"/>
        <v>Q1 2021</v>
      </c>
    </row>
    <row r="1714" spans="1:12" ht="15.75" customHeight="1" x14ac:dyDescent="0.3">
      <c r="A1714" s="2" t="s">
        <v>2660</v>
      </c>
      <c r="B1714" s="2" t="s">
        <v>11</v>
      </c>
      <c r="C1714" s="2" t="s">
        <v>12</v>
      </c>
      <c r="D1714" s="2" t="s">
        <v>2408</v>
      </c>
      <c r="E1714" s="2" t="s">
        <v>80</v>
      </c>
      <c r="F1714" s="2" t="s">
        <v>2661</v>
      </c>
      <c r="G1714" s="4">
        <v>166384</v>
      </c>
      <c r="H1714" s="5" t="s">
        <v>322</v>
      </c>
      <c r="I1714" s="4">
        <v>0</v>
      </c>
      <c r="J1714" s="6">
        <v>44594</v>
      </c>
      <c r="K1714" t="str">
        <f t="shared" si="52"/>
        <v>Q1 2022</v>
      </c>
      <c r="L1714" t="str">
        <f t="shared" si="53"/>
        <v>Q1 2022</v>
      </c>
    </row>
    <row r="1715" spans="1:12" ht="15.75" customHeight="1" x14ac:dyDescent="0.3">
      <c r="A1715" s="2" t="s">
        <v>2662</v>
      </c>
      <c r="B1715" s="2" t="s">
        <v>11</v>
      </c>
      <c r="C1715" s="2" t="s">
        <v>12</v>
      </c>
      <c r="D1715" s="2" t="s">
        <v>2408</v>
      </c>
      <c r="E1715" s="2" t="s">
        <v>80</v>
      </c>
      <c r="F1715" s="2" t="s">
        <v>2542</v>
      </c>
      <c r="G1715" s="4">
        <v>25440</v>
      </c>
      <c r="H1715" s="5" t="s">
        <v>232</v>
      </c>
      <c r="I1715" s="4">
        <v>0</v>
      </c>
      <c r="J1715" s="6">
        <v>44594</v>
      </c>
      <c r="K1715" t="str">
        <f t="shared" si="52"/>
        <v>Q1 2022</v>
      </c>
      <c r="L1715" t="str">
        <f t="shared" si="53"/>
        <v>Q1 2022</v>
      </c>
    </row>
    <row r="1716" spans="1:12" ht="15.75" customHeight="1" x14ac:dyDescent="0.3">
      <c r="A1716" s="2" t="s">
        <v>2663</v>
      </c>
      <c r="B1716" s="2" t="s">
        <v>11</v>
      </c>
      <c r="C1716" s="2" t="s">
        <v>12</v>
      </c>
      <c r="D1716" s="2" t="s">
        <v>2408</v>
      </c>
      <c r="E1716" s="2" t="s">
        <v>80</v>
      </c>
      <c r="F1716" s="2" t="s">
        <v>2664</v>
      </c>
      <c r="G1716" s="4">
        <v>189565</v>
      </c>
      <c r="H1716" s="5" t="s">
        <v>42</v>
      </c>
      <c r="I1716" s="4">
        <v>0</v>
      </c>
      <c r="J1716" s="6">
        <v>44603</v>
      </c>
      <c r="K1716" t="str">
        <f t="shared" si="52"/>
        <v>Q1 2022</v>
      </c>
      <c r="L1716" t="str">
        <f t="shared" si="53"/>
        <v>Q1 2022</v>
      </c>
    </row>
    <row r="1717" spans="1:12" ht="15.75" customHeight="1" x14ac:dyDescent="0.3">
      <c r="A1717" s="2" t="s">
        <v>2665</v>
      </c>
      <c r="B1717" s="2" t="s">
        <v>11</v>
      </c>
      <c r="C1717" s="2" t="s">
        <v>12</v>
      </c>
      <c r="D1717" s="2" t="s">
        <v>2408</v>
      </c>
      <c r="E1717" s="2" t="s">
        <v>80</v>
      </c>
      <c r="F1717" s="2" t="s">
        <v>353</v>
      </c>
      <c r="G1717" s="2"/>
      <c r="H1717" s="5" t="s">
        <v>369</v>
      </c>
      <c r="I1717" s="4">
        <v>0</v>
      </c>
      <c r="J1717" s="5" t="s">
        <v>97</v>
      </c>
      <c r="K1717" t="str">
        <f t="shared" si="52"/>
        <v>Q4 2022</v>
      </c>
      <c r="L1717" t="str">
        <f t="shared" si="53"/>
        <v>Q4 2022</v>
      </c>
    </row>
    <row r="1718" spans="1:12" ht="15.75" customHeight="1" x14ac:dyDescent="0.3">
      <c r="A1718" s="2" t="s">
        <v>2666</v>
      </c>
      <c r="B1718" s="2" t="s">
        <v>11</v>
      </c>
      <c r="C1718" s="2" t="s">
        <v>12</v>
      </c>
      <c r="D1718" s="2" t="s">
        <v>2408</v>
      </c>
      <c r="E1718" s="2" t="s">
        <v>80</v>
      </c>
      <c r="F1718" s="2" t="s">
        <v>2667</v>
      </c>
      <c r="G1718" s="4">
        <v>94709</v>
      </c>
      <c r="H1718" s="5" t="s">
        <v>30</v>
      </c>
      <c r="I1718" s="4">
        <v>0</v>
      </c>
      <c r="J1718" s="6">
        <v>44603</v>
      </c>
      <c r="K1718" t="str">
        <f t="shared" si="52"/>
        <v>Q1 2022</v>
      </c>
      <c r="L1718" t="str">
        <f t="shared" si="53"/>
        <v>Q1 2022</v>
      </c>
    </row>
    <row r="1719" spans="1:12" ht="15.75" customHeight="1" x14ac:dyDescent="0.3">
      <c r="A1719" s="2" t="s">
        <v>2668</v>
      </c>
      <c r="B1719" s="2" t="s">
        <v>11</v>
      </c>
      <c r="C1719" s="2" t="s">
        <v>12</v>
      </c>
      <c r="D1719" s="2" t="s">
        <v>2408</v>
      </c>
      <c r="E1719" s="2" t="s">
        <v>80</v>
      </c>
      <c r="F1719" s="2" t="s">
        <v>2669</v>
      </c>
      <c r="G1719" s="4">
        <v>180130</v>
      </c>
      <c r="H1719" s="6">
        <v>44603</v>
      </c>
      <c r="I1719" s="4">
        <v>0</v>
      </c>
      <c r="J1719" s="6">
        <v>44604</v>
      </c>
      <c r="K1719" t="str">
        <f t="shared" si="52"/>
        <v>Q1 2022</v>
      </c>
      <c r="L1719" t="str">
        <f t="shared" si="53"/>
        <v>Q1 2022</v>
      </c>
    </row>
    <row r="1720" spans="1:12" ht="15.75" customHeight="1" x14ac:dyDescent="0.3">
      <c r="A1720" s="2" t="s">
        <v>2670</v>
      </c>
      <c r="B1720" s="2" t="s">
        <v>11</v>
      </c>
      <c r="C1720" s="2" t="s">
        <v>12</v>
      </c>
      <c r="D1720" s="2" t="s">
        <v>2408</v>
      </c>
      <c r="E1720" s="2" t="s">
        <v>80</v>
      </c>
      <c r="F1720" s="2" t="s">
        <v>2671</v>
      </c>
      <c r="G1720" s="4">
        <v>122985</v>
      </c>
      <c r="H1720" s="5" t="s">
        <v>142</v>
      </c>
      <c r="I1720" s="4">
        <v>0</v>
      </c>
      <c r="J1720" s="6">
        <v>44597</v>
      </c>
      <c r="K1720" t="str">
        <f t="shared" si="52"/>
        <v>Q1 2022</v>
      </c>
      <c r="L1720" t="str">
        <f t="shared" si="53"/>
        <v>Q1 2022</v>
      </c>
    </row>
    <row r="1721" spans="1:12" ht="15.75" customHeight="1" x14ac:dyDescent="0.3">
      <c r="A1721" s="2" t="s">
        <v>2672</v>
      </c>
      <c r="B1721" s="2" t="s">
        <v>20</v>
      </c>
      <c r="C1721" s="2" t="s">
        <v>21</v>
      </c>
      <c r="D1721" s="2" t="s">
        <v>2408</v>
      </c>
      <c r="E1721" s="2" t="s">
        <v>80</v>
      </c>
      <c r="F1721" s="2" t="s">
        <v>2673</v>
      </c>
      <c r="G1721" s="4">
        <v>57260</v>
      </c>
      <c r="H1721" s="5" t="s">
        <v>1474</v>
      </c>
      <c r="I1721" s="4">
        <v>14315</v>
      </c>
      <c r="J1721" s="5" t="s">
        <v>75</v>
      </c>
      <c r="K1721" t="str">
        <f t="shared" si="52"/>
        <v>Q1 2022</v>
      </c>
      <c r="L1721" t="str">
        <f t="shared" si="53"/>
        <v>Q1 2022</v>
      </c>
    </row>
    <row r="1722" spans="1:12" ht="15.75" customHeight="1" x14ac:dyDescent="0.3">
      <c r="A1722" s="2" t="s">
        <v>2674</v>
      </c>
      <c r="B1722" s="2" t="s">
        <v>11</v>
      </c>
      <c r="C1722" s="2" t="s">
        <v>12</v>
      </c>
      <c r="D1722" s="2" t="s">
        <v>2408</v>
      </c>
      <c r="E1722" s="2" t="s">
        <v>80</v>
      </c>
      <c r="F1722" s="2" t="s">
        <v>2675</v>
      </c>
      <c r="G1722" s="4">
        <v>74058</v>
      </c>
      <c r="H1722" s="5" t="s">
        <v>16</v>
      </c>
      <c r="I1722" s="4">
        <v>0</v>
      </c>
      <c r="J1722" s="6">
        <v>44597</v>
      </c>
      <c r="K1722" t="str">
        <f t="shared" si="52"/>
        <v>Q1 2022</v>
      </c>
      <c r="L1722" t="str">
        <f t="shared" si="53"/>
        <v>Q1 2022</v>
      </c>
    </row>
    <row r="1723" spans="1:12" ht="15.75" customHeight="1" x14ac:dyDescent="0.3">
      <c r="A1723" s="2" t="s">
        <v>2676</v>
      </c>
      <c r="B1723" s="2" t="s">
        <v>11</v>
      </c>
      <c r="C1723" s="2" t="s">
        <v>12</v>
      </c>
      <c r="D1723" s="2" t="s">
        <v>2408</v>
      </c>
      <c r="E1723" s="2" t="s">
        <v>80</v>
      </c>
      <c r="F1723" s="2" t="s">
        <v>2425</v>
      </c>
      <c r="G1723" s="4">
        <v>118487</v>
      </c>
      <c r="H1723" s="5" t="s">
        <v>39</v>
      </c>
      <c r="I1723" s="4">
        <v>0</v>
      </c>
      <c r="J1723" s="6">
        <v>44603</v>
      </c>
      <c r="K1723" t="str">
        <f t="shared" si="52"/>
        <v>Q1 2022</v>
      </c>
      <c r="L1723" t="str">
        <f t="shared" si="53"/>
        <v>Q1 2022</v>
      </c>
    </row>
    <row r="1724" spans="1:12" ht="15.75" customHeight="1" x14ac:dyDescent="0.3">
      <c r="A1724" s="2" t="s">
        <v>2677</v>
      </c>
      <c r="B1724" s="2" t="s">
        <v>11</v>
      </c>
      <c r="C1724" s="2" t="s">
        <v>12</v>
      </c>
      <c r="D1724" s="2" t="s">
        <v>2408</v>
      </c>
      <c r="E1724" s="2" t="s">
        <v>80</v>
      </c>
      <c r="F1724" s="2" t="s">
        <v>2421</v>
      </c>
      <c r="G1724" s="4">
        <v>123084</v>
      </c>
      <c r="H1724" s="5" t="s">
        <v>30</v>
      </c>
      <c r="I1724" s="4">
        <v>0</v>
      </c>
      <c r="J1724" s="6">
        <v>44603</v>
      </c>
      <c r="K1724" t="str">
        <f t="shared" si="52"/>
        <v>Q1 2022</v>
      </c>
      <c r="L1724" t="str">
        <f t="shared" si="53"/>
        <v>Q1 2022</v>
      </c>
    </row>
    <row r="1725" spans="1:12" ht="15.75" customHeight="1" x14ac:dyDescent="0.3">
      <c r="A1725" s="2" t="s">
        <v>2678</v>
      </c>
      <c r="B1725" s="2" t="s">
        <v>11</v>
      </c>
      <c r="C1725" s="2" t="s">
        <v>12</v>
      </c>
      <c r="D1725" s="2" t="s">
        <v>2408</v>
      </c>
      <c r="E1725" s="2" t="s">
        <v>80</v>
      </c>
      <c r="F1725" s="2" t="s">
        <v>329</v>
      </c>
      <c r="G1725" s="4">
        <v>77568</v>
      </c>
      <c r="H1725" s="6">
        <v>44629</v>
      </c>
      <c r="I1725" s="4">
        <v>0</v>
      </c>
      <c r="J1725" s="6">
        <v>44603</v>
      </c>
      <c r="K1725" t="str">
        <f t="shared" si="52"/>
        <v>Q1 2022</v>
      </c>
      <c r="L1725" t="str">
        <f t="shared" si="53"/>
        <v>Q1 2022</v>
      </c>
    </row>
    <row r="1726" spans="1:12" ht="15.75" customHeight="1" x14ac:dyDescent="0.3">
      <c r="A1726" s="2" t="s">
        <v>2679</v>
      </c>
      <c r="B1726" s="2" t="s">
        <v>11</v>
      </c>
      <c r="C1726" s="2" t="s">
        <v>12</v>
      </c>
      <c r="D1726" s="2" t="s">
        <v>2408</v>
      </c>
      <c r="E1726" s="2" t="s">
        <v>80</v>
      </c>
      <c r="F1726" s="2" t="s">
        <v>2436</v>
      </c>
      <c r="G1726" s="4">
        <v>87926</v>
      </c>
      <c r="H1726" s="6">
        <v>44901</v>
      </c>
      <c r="I1726" s="4">
        <v>0</v>
      </c>
      <c r="J1726" s="6">
        <v>44599</v>
      </c>
      <c r="K1726" t="str">
        <f t="shared" si="52"/>
        <v>Q1 2022</v>
      </c>
      <c r="L1726" t="str">
        <f t="shared" si="53"/>
        <v>Q1 2022</v>
      </c>
    </row>
    <row r="1727" spans="1:12" ht="15.75" customHeight="1" x14ac:dyDescent="0.3">
      <c r="A1727" s="2" t="s">
        <v>2680</v>
      </c>
      <c r="B1727" s="2" t="s">
        <v>20</v>
      </c>
      <c r="C1727" s="2" t="s">
        <v>21</v>
      </c>
      <c r="D1727" s="2" t="s">
        <v>2408</v>
      </c>
      <c r="E1727" s="2" t="s">
        <v>80</v>
      </c>
      <c r="F1727" s="2" t="s">
        <v>2681</v>
      </c>
      <c r="G1727" s="4">
        <v>112708</v>
      </c>
      <c r="H1727" s="5" t="s">
        <v>2682</v>
      </c>
      <c r="I1727" s="4">
        <v>14089</v>
      </c>
      <c r="J1727" s="6">
        <v>45143</v>
      </c>
      <c r="K1727" t="str">
        <f t="shared" si="52"/>
        <v>Q3 2023</v>
      </c>
      <c r="L1727" t="str">
        <f t="shared" si="53"/>
        <v>Q3 2023</v>
      </c>
    </row>
    <row r="1728" spans="1:12" ht="15.75" customHeight="1" x14ac:dyDescent="0.3">
      <c r="A1728" s="2" t="s">
        <v>2683</v>
      </c>
      <c r="B1728" s="2" t="s">
        <v>11</v>
      </c>
      <c r="C1728" s="2" t="s">
        <v>12</v>
      </c>
      <c r="D1728" s="2" t="s">
        <v>2408</v>
      </c>
      <c r="E1728" s="2" t="s">
        <v>80</v>
      </c>
      <c r="F1728" s="2" t="s">
        <v>2684</v>
      </c>
      <c r="G1728" s="4">
        <v>100592</v>
      </c>
      <c r="H1728" s="5" t="s">
        <v>71</v>
      </c>
      <c r="I1728" s="4">
        <v>0</v>
      </c>
      <c r="J1728" s="6">
        <v>44603</v>
      </c>
      <c r="K1728" t="str">
        <f t="shared" si="52"/>
        <v>Q1 2022</v>
      </c>
      <c r="L1728" t="str">
        <f t="shared" si="53"/>
        <v>Q1 2022</v>
      </c>
    </row>
    <row r="1729" spans="1:12" ht="15.75" customHeight="1" x14ac:dyDescent="0.3">
      <c r="A1729" s="2" t="s">
        <v>2685</v>
      </c>
      <c r="B1729" s="2" t="s">
        <v>11</v>
      </c>
      <c r="C1729" s="2" t="s">
        <v>12</v>
      </c>
      <c r="D1729" s="2" t="s">
        <v>2408</v>
      </c>
      <c r="E1729" s="2" t="s">
        <v>80</v>
      </c>
      <c r="F1729" s="2" t="s">
        <v>2686</v>
      </c>
      <c r="G1729" s="4">
        <v>75937</v>
      </c>
      <c r="H1729" s="5" t="s">
        <v>30</v>
      </c>
      <c r="I1729" s="4">
        <v>0</v>
      </c>
      <c r="J1729" s="6">
        <v>44603</v>
      </c>
      <c r="K1729" t="str">
        <f t="shared" si="52"/>
        <v>Q1 2022</v>
      </c>
      <c r="L1729" t="str">
        <f t="shared" si="53"/>
        <v>Q1 2022</v>
      </c>
    </row>
    <row r="1730" spans="1:12" ht="15.75" customHeight="1" x14ac:dyDescent="0.3">
      <c r="A1730" s="2" t="s">
        <v>2687</v>
      </c>
      <c r="B1730" s="2" t="s">
        <v>11</v>
      </c>
      <c r="C1730" s="2" t="s">
        <v>12</v>
      </c>
      <c r="D1730" s="2" t="s">
        <v>2408</v>
      </c>
      <c r="E1730" s="2" t="s">
        <v>80</v>
      </c>
      <c r="F1730" s="2" t="s">
        <v>2436</v>
      </c>
      <c r="G1730" s="4">
        <v>107388</v>
      </c>
      <c r="H1730" s="5" t="s">
        <v>1016</v>
      </c>
      <c r="I1730" s="4">
        <v>0</v>
      </c>
      <c r="J1730" s="6">
        <v>44595</v>
      </c>
      <c r="K1730" t="str">
        <f t="shared" ref="K1730:K1793" si="54">"Q" &amp; ROUNDUP(MONTH(J:J)/3,0) &amp; " " &amp; YEAR(J:J)</f>
        <v>Q1 2022</v>
      </c>
      <c r="L1730" t="str">
        <f t="shared" ref="L1730:L1793" si="55">"Q" &amp; ROUNDUP(MONTH(J:J)/3,0) &amp; " " &amp; YEAR(J:J)</f>
        <v>Q1 2022</v>
      </c>
    </row>
    <row r="1731" spans="1:12" ht="15.75" customHeight="1" x14ac:dyDescent="0.3">
      <c r="A1731" s="2" t="s">
        <v>2688</v>
      </c>
      <c r="B1731" s="2" t="s">
        <v>20</v>
      </c>
      <c r="C1731" s="2" t="s">
        <v>21</v>
      </c>
      <c r="D1731" s="2" t="s">
        <v>2408</v>
      </c>
      <c r="E1731" s="2" t="s">
        <v>80</v>
      </c>
      <c r="F1731" s="2" t="s">
        <v>2436</v>
      </c>
      <c r="G1731" s="4">
        <v>76095</v>
      </c>
      <c r="H1731" s="6">
        <v>44805</v>
      </c>
      <c r="I1731" s="4">
        <v>8455</v>
      </c>
      <c r="J1731" s="6">
        <v>44775</v>
      </c>
      <c r="K1731" t="str">
        <f t="shared" si="54"/>
        <v>Q3 2022</v>
      </c>
      <c r="L1731" t="str">
        <f t="shared" si="55"/>
        <v>Q3 2022</v>
      </c>
    </row>
    <row r="1732" spans="1:12" ht="15.75" customHeight="1" x14ac:dyDescent="0.3">
      <c r="A1732" s="2" t="s">
        <v>2689</v>
      </c>
      <c r="B1732" s="2" t="s">
        <v>11</v>
      </c>
      <c r="C1732" s="2" t="s">
        <v>12</v>
      </c>
      <c r="D1732" s="2" t="s">
        <v>2408</v>
      </c>
      <c r="E1732" s="2" t="s">
        <v>80</v>
      </c>
      <c r="F1732" s="2" t="s">
        <v>2690</v>
      </c>
      <c r="G1732" s="4">
        <v>49615</v>
      </c>
      <c r="H1732" s="5" t="s">
        <v>71</v>
      </c>
      <c r="I1732" s="4">
        <v>0</v>
      </c>
      <c r="J1732" s="6">
        <v>44603</v>
      </c>
      <c r="K1732" t="str">
        <f t="shared" si="54"/>
        <v>Q1 2022</v>
      </c>
      <c r="L1732" t="str">
        <f t="shared" si="55"/>
        <v>Q1 2022</v>
      </c>
    </row>
    <row r="1733" spans="1:12" ht="15.75" customHeight="1" x14ac:dyDescent="0.3">
      <c r="A1733" s="2" t="s">
        <v>2691</v>
      </c>
      <c r="B1733" s="2" t="s">
        <v>11</v>
      </c>
      <c r="C1733" s="2" t="s">
        <v>12</v>
      </c>
      <c r="D1733" s="2" t="s">
        <v>2408</v>
      </c>
      <c r="E1733" s="2" t="s">
        <v>80</v>
      </c>
      <c r="F1733" s="2" t="s">
        <v>2692</v>
      </c>
      <c r="G1733" s="4">
        <v>98813</v>
      </c>
      <c r="H1733" s="5" t="s">
        <v>25</v>
      </c>
      <c r="I1733" s="4">
        <v>0</v>
      </c>
      <c r="J1733" s="6">
        <v>44603</v>
      </c>
      <c r="K1733" t="str">
        <f t="shared" si="54"/>
        <v>Q1 2022</v>
      </c>
      <c r="L1733" t="str">
        <f t="shared" si="55"/>
        <v>Q1 2022</v>
      </c>
    </row>
    <row r="1734" spans="1:12" ht="15.75" customHeight="1" x14ac:dyDescent="0.3">
      <c r="A1734" s="2" t="s">
        <v>2693</v>
      </c>
      <c r="B1734" s="2" t="s">
        <v>11</v>
      </c>
      <c r="C1734" s="2" t="s">
        <v>12</v>
      </c>
      <c r="D1734" s="2" t="s">
        <v>2408</v>
      </c>
      <c r="E1734" s="2" t="s">
        <v>80</v>
      </c>
      <c r="F1734" s="2" t="s">
        <v>2432</v>
      </c>
      <c r="G1734" s="4">
        <v>85668</v>
      </c>
      <c r="H1734" s="6">
        <v>44621</v>
      </c>
      <c r="I1734" s="4">
        <v>0</v>
      </c>
      <c r="J1734" s="6">
        <v>44594</v>
      </c>
      <c r="K1734" t="str">
        <f t="shared" si="54"/>
        <v>Q1 2022</v>
      </c>
      <c r="L1734" t="str">
        <f t="shared" si="55"/>
        <v>Q1 2022</v>
      </c>
    </row>
    <row r="1735" spans="1:12" ht="15.75" customHeight="1" x14ac:dyDescent="0.3">
      <c r="A1735" s="2" t="s">
        <v>2694</v>
      </c>
      <c r="B1735" s="2" t="s">
        <v>11</v>
      </c>
      <c r="C1735" s="2" t="s">
        <v>12</v>
      </c>
      <c r="D1735" s="2" t="s">
        <v>2408</v>
      </c>
      <c r="E1735" s="2" t="s">
        <v>80</v>
      </c>
      <c r="F1735" s="2" t="s">
        <v>2436</v>
      </c>
      <c r="G1735" s="4">
        <v>122808</v>
      </c>
      <c r="H1735" s="6">
        <v>44630</v>
      </c>
      <c r="I1735" s="4">
        <v>0</v>
      </c>
      <c r="J1735" s="6">
        <v>44603</v>
      </c>
      <c r="K1735" t="str">
        <f t="shared" si="54"/>
        <v>Q1 2022</v>
      </c>
      <c r="L1735" t="str">
        <f t="shared" si="55"/>
        <v>Q1 2022</v>
      </c>
    </row>
    <row r="1736" spans="1:12" ht="15.75" customHeight="1" x14ac:dyDescent="0.3">
      <c r="A1736" s="2" t="s">
        <v>2695</v>
      </c>
      <c r="B1736" s="2" t="s">
        <v>11</v>
      </c>
      <c r="C1736" s="2" t="s">
        <v>12</v>
      </c>
      <c r="D1736" s="2" t="s">
        <v>2408</v>
      </c>
      <c r="E1736" s="2" t="s">
        <v>80</v>
      </c>
      <c r="F1736" s="2" t="s">
        <v>2696</v>
      </c>
      <c r="G1736" s="4">
        <v>152450</v>
      </c>
      <c r="H1736" s="5" t="s">
        <v>39</v>
      </c>
      <c r="I1736" s="4">
        <v>0</v>
      </c>
      <c r="J1736" s="6">
        <v>44603</v>
      </c>
      <c r="K1736" t="str">
        <f t="shared" si="54"/>
        <v>Q1 2022</v>
      </c>
      <c r="L1736" t="str">
        <f t="shared" si="55"/>
        <v>Q1 2022</v>
      </c>
    </row>
    <row r="1737" spans="1:12" ht="15.75" customHeight="1" x14ac:dyDescent="0.3">
      <c r="A1737" s="2" t="s">
        <v>2697</v>
      </c>
      <c r="B1737" s="2" t="s">
        <v>11</v>
      </c>
      <c r="C1737" s="2" t="s">
        <v>12</v>
      </c>
      <c r="D1737" s="2" t="s">
        <v>2408</v>
      </c>
      <c r="E1737" s="2" t="s">
        <v>80</v>
      </c>
      <c r="F1737" s="2" t="s">
        <v>2698</v>
      </c>
      <c r="G1737" s="2"/>
      <c r="H1737" s="5" t="s">
        <v>265</v>
      </c>
      <c r="I1737" s="4">
        <v>0</v>
      </c>
      <c r="J1737" s="6">
        <v>44601</v>
      </c>
      <c r="K1737" t="str">
        <f t="shared" si="54"/>
        <v>Q1 2022</v>
      </c>
      <c r="L1737" t="str">
        <f t="shared" si="55"/>
        <v>Q1 2022</v>
      </c>
    </row>
    <row r="1738" spans="1:12" ht="15.75" customHeight="1" x14ac:dyDescent="0.3">
      <c r="A1738" s="2" t="s">
        <v>2699</v>
      </c>
      <c r="B1738" s="2" t="s">
        <v>11</v>
      </c>
      <c r="C1738" s="2" t="s">
        <v>12</v>
      </c>
      <c r="D1738" s="2" t="s">
        <v>2408</v>
      </c>
      <c r="E1738" s="2" t="s">
        <v>80</v>
      </c>
      <c r="F1738" s="2" t="s">
        <v>46</v>
      </c>
      <c r="G1738" s="4">
        <v>34798</v>
      </c>
      <c r="H1738" s="5" t="s">
        <v>1016</v>
      </c>
      <c r="I1738" s="4">
        <v>0</v>
      </c>
      <c r="J1738" s="6">
        <v>44595</v>
      </c>
      <c r="K1738" t="str">
        <f t="shared" si="54"/>
        <v>Q1 2022</v>
      </c>
      <c r="L1738" t="str">
        <f t="shared" si="55"/>
        <v>Q1 2022</v>
      </c>
    </row>
    <row r="1739" spans="1:12" ht="15.75" customHeight="1" x14ac:dyDescent="0.3">
      <c r="A1739" s="2" t="s">
        <v>2700</v>
      </c>
      <c r="B1739" s="2" t="s">
        <v>11</v>
      </c>
      <c r="C1739" s="2" t="s">
        <v>12</v>
      </c>
      <c r="D1739" s="2" t="s">
        <v>2408</v>
      </c>
      <c r="E1739" s="2" t="s">
        <v>80</v>
      </c>
      <c r="F1739" s="2" t="s">
        <v>2701</v>
      </c>
      <c r="G1739" s="4">
        <v>81201</v>
      </c>
      <c r="H1739" s="6">
        <v>44629</v>
      </c>
      <c r="I1739" s="4">
        <v>0</v>
      </c>
      <c r="J1739" s="6">
        <v>44603</v>
      </c>
      <c r="K1739" t="str">
        <f t="shared" si="54"/>
        <v>Q1 2022</v>
      </c>
      <c r="L1739" t="str">
        <f t="shared" si="55"/>
        <v>Q1 2022</v>
      </c>
    </row>
    <row r="1740" spans="1:12" ht="15.75" customHeight="1" x14ac:dyDescent="0.3">
      <c r="A1740" s="2" t="s">
        <v>2702</v>
      </c>
      <c r="B1740" s="2" t="s">
        <v>11</v>
      </c>
      <c r="C1740" s="2" t="s">
        <v>12</v>
      </c>
      <c r="D1740" s="2" t="s">
        <v>2408</v>
      </c>
      <c r="E1740" s="2" t="s">
        <v>80</v>
      </c>
      <c r="F1740" s="2" t="s">
        <v>2703</v>
      </c>
      <c r="G1740" s="4">
        <v>98847</v>
      </c>
      <c r="H1740" s="5" t="s">
        <v>30</v>
      </c>
      <c r="I1740" s="4">
        <v>0</v>
      </c>
      <c r="J1740" s="6">
        <v>44603</v>
      </c>
      <c r="K1740" t="str">
        <f t="shared" si="54"/>
        <v>Q1 2022</v>
      </c>
      <c r="L1740" t="str">
        <f t="shared" si="55"/>
        <v>Q1 2022</v>
      </c>
    </row>
    <row r="1741" spans="1:12" ht="15.75" customHeight="1" x14ac:dyDescent="0.3">
      <c r="A1741" s="2" t="s">
        <v>2704</v>
      </c>
      <c r="B1741" s="2" t="s">
        <v>11</v>
      </c>
      <c r="C1741" s="2" t="s">
        <v>12</v>
      </c>
      <c r="D1741" s="2" t="s">
        <v>2408</v>
      </c>
      <c r="E1741" s="2" t="s">
        <v>80</v>
      </c>
      <c r="F1741" s="2" t="s">
        <v>2705</v>
      </c>
      <c r="G1741" s="4">
        <v>89781</v>
      </c>
      <c r="H1741" s="5" t="s">
        <v>142</v>
      </c>
      <c r="I1741" s="4">
        <v>0</v>
      </c>
      <c r="J1741" s="6">
        <v>44596</v>
      </c>
      <c r="K1741" t="str">
        <f t="shared" si="54"/>
        <v>Q1 2022</v>
      </c>
      <c r="L1741" t="str">
        <f t="shared" si="55"/>
        <v>Q1 2022</v>
      </c>
    </row>
    <row r="1742" spans="1:12" ht="15.75" customHeight="1" x14ac:dyDescent="0.3">
      <c r="A1742" s="2" t="s">
        <v>2706</v>
      </c>
      <c r="B1742" s="2" t="s">
        <v>20</v>
      </c>
      <c r="C1742" s="2" t="s">
        <v>21</v>
      </c>
      <c r="D1742" s="2" t="s">
        <v>2408</v>
      </c>
      <c r="E1742" s="2" t="s">
        <v>80</v>
      </c>
      <c r="F1742" s="2" t="s">
        <v>2707</v>
      </c>
      <c r="G1742" s="4">
        <v>124385</v>
      </c>
      <c r="H1742" s="5" t="s">
        <v>2708</v>
      </c>
      <c r="I1742" s="4">
        <v>12439</v>
      </c>
      <c r="J1742" s="6">
        <v>44779</v>
      </c>
      <c r="K1742" t="str">
        <f t="shared" si="54"/>
        <v>Q3 2022</v>
      </c>
      <c r="L1742" t="str">
        <f t="shared" si="55"/>
        <v>Q3 2022</v>
      </c>
    </row>
    <row r="1743" spans="1:12" ht="15.75" customHeight="1" x14ac:dyDescent="0.3">
      <c r="A1743" s="2" t="s">
        <v>2709</v>
      </c>
      <c r="B1743" s="2" t="s">
        <v>11</v>
      </c>
      <c r="C1743" s="2" t="s">
        <v>12</v>
      </c>
      <c r="D1743" s="2" t="s">
        <v>2408</v>
      </c>
      <c r="E1743" s="2" t="s">
        <v>80</v>
      </c>
      <c r="F1743" s="2" t="s">
        <v>2710</v>
      </c>
      <c r="G1743" s="4">
        <v>98544</v>
      </c>
      <c r="H1743" s="5" t="s">
        <v>42</v>
      </c>
      <c r="I1743" s="4">
        <v>0</v>
      </c>
      <c r="J1743" s="6">
        <v>44603</v>
      </c>
      <c r="K1743" t="str">
        <f t="shared" si="54"/>
        <v>Q1 2022</v>
      </c>
      <c r="L1743" t="str">
        <f t="shared" si="55"/>
        <v>Q1 2022</v>
      </c>
    </row>
    <row r="1744" spans="1:12" ht="15.75" customHeight="1" x14ac:dyDescent="0.3">
      <c r="A1744" s="2" t="s">
        <v>2711</v>
      </c>
      <c r="B1744" s="2" t="s">
        <v>11</v>
      </c>
      <c r="C1744" s="2" t="s">
        <v>12</v>
      </c>
      <c r="D1744" s="2" t="s">
        <v>2408</v>
      </c>
      <c r="E1744" s="2" t="s">
        <v>80</v>
      </c>
      <c r="F1744" s="2" t="s">
        <v>2712</v>
      </c>
      <c r="G1744" s="4">
        <v>138504</v>
      </c>
      <c r="H1744" s="6">
        <v>44621</v>
      </c>
      <c r="I1744" s="4">
        <v>0</v>
      </c>
      <c r="J1744" s="6">
        <v>44594</v>
      </c>
      <c r="K1744" t="str">
        <f t="shared" si="54"/>
        <v>Q1 2022</v>
      </c>
      <c r="L1744" t="str">
        <f t="shared" si="55"/>
        <v>Q1 2022</v>
      </c>
    </row>
    <row r="1745" spans="1:12" ht="15.75" customHeight="1" x14ac:dyDescent="0.3">
      <c r="A1745" s="2" t="s">
        <v>2713</v>
      </c>
      <c r="B1745" s="2" t="s">
        <v>11</v>
      </c>
      <c r="C1745" s="2" t="s">
        <v>12</v>
      </c>
      <c r="D1745" s="2" t="s">
        <v>2408</v>
      </c>
      <c r="E1745" s="2" t="s">
        <v>80</v>
      </c>
      <c r="F1745" s="5">
        <v>20864</v>
      </c>
      <c r="G1745" s="4">
        <v>91793</v>
      </c>
      <c r="H1745" s="5" t="s">
        <v>232</v>
      </c>
      <c r="I1745" s="4">
        <v>0</v>
      </c>
      <c r="J1745" s="6">
        <v>44594</v>
      </c>
      <c r="K1745" t="str">
        <f t="shared" si="54"/>
        <v>Q1 2022</v>
      </c>
      <c r="L1745" t="str">
        <f t="shared" si="55"/>
        <v>Q1 2022</v>
      </c>
    </row>
    <row r="1746" spans="1:12" ht="15.75" customHeight="1" x14ac:dyDescent="0.3">
      <c r="A1746" s="2" t="s">
        <v>2714</v>
      </c>
      <c r="B1746" s="2" t="s">
        <v>11</v>
      </c>
      <c r="C1746" s="2" t="s">
        <v>12</v>
      </c>
      <c r="D1746" s="2" t="s">
        <v>2408</v>
      </c>
      <c r="E1746" s="2" t="s">
        <v>80</v>
      </c>
      <c r="F1746" s="2" t="s">
        <v>2593</v>
      </c>
      <c r="G1746" s="4">
        <v>159683</v>
      </c>
      <c r="H1746" s="6">
        <v>44631</v>
      </c>
      <c r="I1746" s="4">
        <v>0</v>
      </c>
      <c r="J1746" s="6">
        <v>44958</v>
      </c>
      <c r="K1746" t="str">
        <f t="shared" si="54"/>
        <v>Q1 2023</v>
      </c>
      <c r="L1746" t="str">
        <f t="shared" si="55"/>
        <v>Q1 2023</v>
      </c>
    </row>
    <row r="1747" spans="1:12" ht="15.75" customHeight="1" x14ac:dyDescent="0.3">
      <c r="A1747" s="2" t="s">
        <v>2715</v>
      </c>
      <c r="B1747" s="2" t="s">
        <v>11</v>
      </c>
      <c r="C1747" s="2" t="s">
        <v>12</v>
      </c>
      <c r="D1747" s="2" t="s">
        <v>2408</v>
      </c>
      <c r="E1747" s="2" t="s">
        <v>80</v>
      </c>
      <c r="F1747" s="2" t="s">
        <v>2436</v>
      </c>
      <c r="G1747" s="4">
        <v>100011</v>
      </c>
      <c r="H1747" s="6">
        <v>44630</v>
      </c>
      <c r="I1747" s="4">
        <v>0</v>
      </c>
      <c r="J1747" s="6">
        <v>44603</v>
      </c>
      <c r="K1747" t="str">
        <f t="shared" si="54"/>
        <v>Q1 2022</v>
      </c>
      <c r="L1747" t="str">
        <f t="shared" si="55"/>
        <v>Q1 2022</v>
      </c>
    </row>
    <row r="1748" spans="1:12" ht="15.75" customHeight="1" x14ac:dyDescent="0.3">
      <c r="A1748" s="2" t="s">
        <v>2716</v>
      </c>
      <c r="B1748" s="2" t="s">
        <v>11</v>
      </c>
      <c r="C1748" s="2" t="s">
        <v>12</v>
      </c>
      <c r="D1748" s="2" t="s">
        <v>2408</v>
      </c>
      <c r="E1748" s="2" t="s">
        <v>80</v>
      </c>
      <c r="F1748" s="2" t="s">
        <v>2547</v>
      </c>
      <c r="G1748" s="4">
        <v>58322</v>
      </c>
      <c r="H1748" s="5" t="s">
        <v>25</v>
      </c>
      <c r="I1748" s="4">
        <v>0</v>
      </c>
      <c r="J1748" s="6">
        <v>44603</v>
      </c>
      <c r="K1748" t="str">
        <f t="shared" si="54"/>
        <v>Q1 2022</v>
      </c>
      <c r="L1748" t="str">
        <f t="shared" si="55"/>
        <v>Q1 2022</v>
      </c>
    </row>
    <row r="1749" spans="1:12" ht="15.75" customHeight="1" x14ac:dyDescent="0.3">
      <c r="A1749" s="2" t="s">
        <v>2717</v>
      </c>
      <c r="B1749" s="2" t="s">
        <v>11</v>
      </c>
      <c r="C1749" s="2" t="s">
        <v>12</v>
      </c>
      <c r="D1749" s="2" t="s">
        <v>2408</v>
      </c>
      <c r="E1749" s="2" t="s">
        <v>80</v>
      </c>
      <c r="F1749" s="2" t="s">
        <v>2718</v>
      </c>
      <c r="G1749" s="4">
        <v>132359</v>
      </c>
      <c r="H1749" s="5" t="s">
        <v>322</v>
      </c>
      <c r="I1749" s="4">
        <v>0</v>
      </c>
      <c r="J1749" s="6">
        <v>44594</v>
      </c>
      <c r="K1749" t="str">
        <f t="shared" si="54"/>
        <v>Q1 2022</v>
      </c>
      <c r="L1749" t="str">
        <f t="shared" si="55"/>
        <v>Q1 2022</v>
      </c>
    </row>
    <row r="1750" spans="1:12" ht="15.75" customHeight="1" x14ac:dyDescent="0.3">
      <c r="A1750" s="2" t="s">
        <v>2719</v>
      </c>
      <c r="B1750" s="2" t="s">
        <v>11</v>
      </c>
      <c r="C1750" s="2" t="s">
        <v>12</v>
      </c>
      <c r="D1750" s="2" t="s">
        <v>2408</v>
      </c>
      <c r="E1750" s="2" t="s">
        <v>80</v>
      </c>
      <c r="F1750" s="2" t="s">
        <v>2720</v>
      </c>
      <c r="G1750" s="4">
        <v>80107</v>
      </c>
      <c r="H1750" s="5" t="s">
        <v>1016</v>
      </c>
      <c r="I1750" s="4">
        <v>0</v>
      </c>
      <c r="J1750" s="6">
        <v>44595</v>
      </c>
      <c r="K1750" t="str">
        <f t="shared" si="54"/>
        <v>Q1 2022</v>
      </c>
      <c r="L1750" t="str">
        <f t="shared" si="55"/>
        <v>Q1 2022</v>
      </c>
    </row>
    <row r="1751" spans="1:12" ht="15.75" customHeight="1" x14ac:dyDescent="0.3">
      <c r="A1751" s="2" t="s">
        <v>2721</v>
      </c>
      <c r="B1751" s="2" t="s">
        <v>11</v>
      </c>
      <c r="C1751" s="2" t="s">
        <v>12</v>
      </c>
      <c r="D1751" s="2" t="s">
        <v>2408</v>
      </c>
      <c r="E1751" s="2" t="s">
        <v>80</v>
      </c>
      <c r="F1751" s="2" t="s">
        <v>2722</v>
      </c>
      <c r="G1751" s="4">
        <v>161635</v>
      </c>
      <c r="H1751" s="5" t="s">
        <v>39</v>
      </c>
      <c r="I1751" s="4">
        <v>0</v>
      </c>
      <c r="J1751" s="6">
        <v>44603</v>
      </c>
      <c r="K1751" t="str">
        <f t="shared" si="54"/>
        <v>Q1 2022</v>
      </c>
      <c r="L1751" t="str">
        <f t="shared" si="55"/>
        <v>Q1 2022</v>
      </c>
    </row>
    <row r="1752" spans="1:12" ht="15.75" customHeight="1" x14ac:dyDescent="0.3">
      <c r="A1752" s="2" t="s">
        <v>2723</v>
      </c>
      <c r="B1752" s="2" t="s">
        <v>20</v>
      </c>
      <c r="C1752" s="2" t="s">
        <v>57</v>
      </c>
      <c r="D1752" s="2" t="s">
        <v>2408</v>
      </c>
      <c r="E1752" s="2" t="s">
        <v>80</v>
      </c>
      <c r="F1752" s="2" t="s">
        <v>2724</v>
      </c>
      <c r="G1752" s="4">
        <v>86700</v>
      </c>
      <c r="H1752" s="5" t="s">
        <v>461</v>
      </c>
      <c r="I1752" s="4">
        <v>28900</v>
      </c>
      <c r="J1752" s="6">
        <v>44692</v>
      </c>
      <c r="K1752" t="str">
        <f t="shared" si="54"/>
        <v>Q2 2022</v>
      </c>
      <c r="L1752" t="str">
        <f t="shared" si="55"/>
        <v>Q2 2022</v>
      </c>
    </row>
    <row r="1753" spans="1:12" ht="15.75" customHeight="1" x14ac:dyDescent="0.3">
      <c r="A1753" s="2" t="s">
        <v>2725</v>
      </c>
      <c r="B1753" s="2" t="s">
        <v>11</v>
      </c>
      <c r="C1753" s="2" t="s">
        <v>12</v>
      </c>
      <c r="D1753" s="2" t="s">
        <v>2408</v>
      </c>
      <c r="E1753" s="2" t="s">
        <v>80</v>
      </c>
      <c r="F1753" s="2" t="s">
        <v>2726</v>
      </c>
      <c r="G1753" s="4">
        <v>98623</v>
      </c>
      <c r="H1753" s="5" t="s">
        <v>30</v>
      </c>
      <c r="I1753" s="4">
        <v>0</v>
      </c>
      <c r="J1753" s="6">
        <v>44603</v>
      </c>
      <c r="K1753" t="str">
        <f t="shared" si="54"/>
        <v>Q1 2022</v>
      </c>
      <c r="L1753" t="str">
        <f t="shared" si="55"/>
        <v>Q1 2022</v>
      </c>
    </row>
    <row r="1754" spans="1:12" ht="15.75" customHeight="1" x14ac:dyDescent="0.3">
      <c r="A1754" s="2" t="s">
        <v>2727</v>
      </c>
      <c r="B1754" s="2" t="s">
        <v>11</v>
      </c>
      <c r="C1754" s="2" t="s">
        <v>12</v>
      </c>
      <c r="D1754" s="2" t="s">
        <v>2408</v>
      </c>
      <c r="E1754" s="2" t="s">
        <v>80</v>
      </c>
      <c r="F1754" s="2" t="s">
        <v>2728</v>
      </c>
      <c r="G1754" s="4">
        <v>252843</v>
      </c>
      <c r="H1754" s="6">
        <v>44630</v>
      </c>
      <c r="I1754" s="4">
        <v>0</v>
      </c>
      <c r="J1754" s="6">
        <v>44603</v>
      </c>
      <c r="K1754" t="str">
        <f t="shared" si="54"/>
        <v>Q1 2022</v>
      </c>
      <c r="L1754" t="str">
        <f t="shared" si="55"/>
        <v>Q1 2022</v>
      </c>
    </row>
    <row r="1755" spans="1:12" ht="15.75" customHeight="1" x14ac:dyDescent="0.3">
      <c r="A1755" s="2" t="s">
        <v>2729</v>
      </c>
      <c r="B1755" s="2" t="s">
        <v>11</v>
      </c>
      <c r="C1755" s="2" t="s">
        <v>12</v>
      </c>
      <c r="D1755" s="2" t="s">
        <v>2408</v>
      </c>
      <c r="E1755" s="2" t="s">
        <v>80</v>
      </c>
      <c r="F1755" s="2" t="s">
        <v>2730</v>
      </c>
      <c r="G1755" s="4">
        <v>100582</v>
      </c>
      <c r="H1755" s="5" t="s">
        <v>455</v>
      </c>
      <c r="I1755" s="4">
        <v>0</v>
      </c>
      <c r="J1755" s="6">
        <v>44600</v>
      </c>
      <c r="K1755" t="str">
        <f t="shared" si="54"/>
        <v>Q1 2022</v>
      </c>
      <c r="L1755" t="str">
        <f t="shared" si="55"/>
        <v>Q1 2022</v>
      </c>
    </row>
    <row r="1756" spans="1:12" ht="15.75" customHeight="1" x14ac:dyDescent="0.3">
      <c r="A1756" s="2" t="s">
        <v>2731</v>
      </c>
      <c r="B1756" s="2" t="s">
        <v>11</v>
      </c>
      <c r="C1756" s="2" t="s">
        <v>12</v>
      </c>
      <c r="D1756" s="2" t="s">
        <v>2408</v>
      </c>
      <c r="E1756" s="2" t="s">
        <v>80</v>
      </c>
      <c r="F1756" s="2" t="s">
        <v>2732</v>
      </c>
      <c r="G1756" s="4">
        <v>55049</v>
      </c>
      <c r="H1756" s="5" t="s">
        <v>309</v>
      </c>
      <c r="I1756" s="4">
        <v>0</v>
      </c>
      <c r="J1756" s="6">
        <v>44594</v>
      </c>
      <c r="K1756" t="str">
        <f t="shared" si="54"/>
        <v>Q1 2022</v>
      </c>
      <c r="L1756" t="str">
        <f t="shared" si="55"/>
        <v>Q1 2022</v>
      </c>
    </row>
    <row r="1757" spans="1:12" ht="15.75" customHeight="1" x14ac:dyDescent="0.3">
      <c r="A1757" s="2" t="s">
        <v>2733</v>
      </c>
      <c r="B1757" s="2" t="s">
        <v>11</v>
      </c>
      <c r="C1757" s="2" t="s">
        <v>12</v>
      </c>
      <c r="D1757" s="2" t="s">
        <v>2408</v>
      </c>
      <c r="E1757" s="2" t="s">
        <v>80</v>
      </c>
      <c r="F1757" s="2" t="s">
        <v>329</v>
      </c>
      <c r="G1757" s="4">
        <v>105575</v>
      </c>
      <c r="H1757" s="5" t="s">
        <v>39</v>
      </c>
      <c r="I1757" s="4">
        <v>0</v>
      </c>
      <c r="J1757" s="6">
        <v>44603</v>
      </c>
      <c r="K1757" t="str">
        <f t="shared" si="54"/>
        <v>Q1 2022</v>
      </c>
      <c r="L1757" t="str">
        <f t="shared" si="55"/>
        <v>Q1 2022</v>
      </c>
    </row>
    <row r="1758" spans="1:12" ht="15.75" customHeight="1" x14ac:dyDescent="0.3">
      <c r="A1758" s="2" t="s">
        <v>2734</v>
      </c>
      <c r="B1758" s="2" t="s">
        <v>11</v>
      </c>
      <c r="C1758" s="2" t="s">
        <v>12</v>
      </c>
      <c r="D1758" s="2" t="s">
        <v>2408</v>
      </c>
      <c r="E1758" s="2" t="s">
        <v>80</v>
      </c>
      <c r="F1758" s="2" t="s">
        <v>2735</v>
      </c>
      <c r="G1758" s="4">
        <v>112578</v>
      </c>
      <c r="H1758" s="5" t="s">
        <v>30</v>
      </c>
      <c r="I1758" s="4">
        <v>0</v>
      </c>
      <c r="J1758" s="6">
        <v>44603</v>
      </c>
      <c r="K1758" t="str">
        <f t="shared" si="54"/>
        <v>Q1 2022</v>
      </c>
      <c r="L1758" t="str">
        <f t="shared" si="55"/>
        <v>Q1 2022</v>
      </c>
    </row>
    <row r="1759" spans="1:12" ht="15.75" customHeight="1" x14ac:dyDescent="0.3">
      <c r="A1759" s="2" t="s">
        <v>2736</v>
      </c>
      <c r="B1759" s="2" t="s">
        <v>11</v>
      </c>
      <c r="C1759" s="2" t="s">
        <v>12</v>
      </c>
      <c r="D1759" s="2" t="s">
        <v>2408</v>
      </c>
      <c r="E1759" s="2" t="s">
        <v>80</v>
      </c>
      <c r="F1759" s="2" t="s">
        <v>2737</v>
      </c>
      <c r="G1759" s="4">
        <v>111856</v>
      </c>
      <c r="H1759" s="5" t="s">
        <v>309</v>
      </c>
      <c r="I1759" s="4">
        <v>0</v>
      </c>
      <c r="J1759" s="6">
        <v>44594</v>
      </c>
      <c r="K1759" t="str">
        <f t="shared" si="54"/>
        <v>Q1 2022</v>
      </c>
      <c r="L1759" t="str">
        <f t="shared" si="55"/>
        <v>Q1 2022</v>
      </c>
    </row>
    <row r="1760" spans="1:12" ht="15.75" customHeight="1" x14ac:dyDescent="0.3">
      <c r="A1760" s="2" t="s">
        <v>2738</v>
      </c>
      <c r="B1760" s="2" t="s">
        <v>11</v>
      </c>
      <c r="C1760" s="2" t="s">
        <v>12</v>
      </c>
      <c r="D1760" s="2" t="s">
        <v>2408</v>
      </c>
      <c r="E1760" s="2" t="s">
        <v>80</v>
      </c>
      <c r="F1760" s="2" t="s">
        <v>2739</v>
      </c>
      <c r="G1760" s="4">
        <v>74238</v>
      </c>
      <c r="H1760" s="5" t="s">
        <v>71</v>
      </c>
      <c r="I1760" s="4">
        <v>0</v>
      </c>
      <c r="J1760" s="6">
        <v>44603</v>
      </c>
      <c r="K1760" t="str">
        <f t="shared" si="54"/>
        <v>Q1 2022</v>
      </c>
      <c r="L1760" t="str">
        <f t="shared" si="55"/>
        <v>Q1 2022</v>
      </c>
    </row>
    <row r="1761" spans="1:12" ht="15.75" customHeight="1" x14ac:dyDescent="0.3">
      <c r="A1761" s="2" t="s">
        <v>2740</v>
      </c>
      <c r="B1761" s="2" t="s">
        <v>11</v>
      </c>
      <c r="C1761" s="2" t="s">
        <v>12</v>
      </c>
      <c r="D1761" s="2" t="s">
        <v>2408</v>
      </c>
      <c r="E1761" s="2" t="s">
        <v>80</v>
      </c>
      <c r="F1761" s="2" t="s">
        <v>2741</v>
      </c>
      <c r="G1761" s="4">
        <v>355025</v>
      </c>
      <c r="H1761" s="5" t="s">
        <v>25</v>
      </c>
      <c r="I1761" s="4">
        <v>0</v>
      </c>
      <c r="J1761" s="6">
        <v>44603</v>
      </c>
      <c r="K1761" t="str">
        <f t="shared" si="54"/>
        <v>Q1 2022</v>
      </c>
      <c r="L1761" t="str">
        <f t="shared" si="55"/>
        <v>Q1 2022</v>
      </c>
    </row>
    <row r="1762" spans="1:12" ht="15.75" customHeight="1" x14ac:dyDescent="0.3">
      <c r="A1762" s="2" t="s">
        <v>2742</v>
      </c>
      <c r="B1762" s="2" t="s">
        <v>20</v>
      </c>
      <c r="C1762" s="2" t="s">
        <v>21</v>
      </c>
      <c r="D1762" s="2" t="s">
        <v>2408</v>
      </c>
      <c r="E1762" s="2" t="s">
        <v>80</v>
      </c>
      <c r="F1762" s="2" t="s">
        <v>2743</v>
      </c>
      <c r="G1762" s="4">
        <v>105493</v>
      </c>
      <c r="H1762" s="5" t="s">
        <v>128</v>
      </c>
      <c r="I1762" s="4">
        <v>52747</v>
      </c>
      <c r="J1762" s="5" t="s">
        <v>1610</v>
      </c>
      <c r="K1762" t="str">
        <f t="shared" si="54"/>
        <v>Q4 2022</v>
      </c>
      <c r="L1762" t="str">
        <f t="shared" si="55"/>
        <v>Q4 2022</v>
      </c>
    </row>
    <row r="1763" spans="1:12" ht="15.75" customHeight="1" x14ac:dyDescent="0.3">
      <c r="A1763" s="2" t="s">
        <v>2744</v>
      </c>
      <c r="B1763" s="2" t="s">
        <v>11</v>
      </c>
      <c r="C1763" s="2" t="s">
        <v>12</v>
      </c>
      <c r="D1763" s="2" t="s">
        <v>2408</v>
      </c>
      <c r="E1763" s="2" t="s">
        <v>80</v>
      </c>
      <c r="F1763" s="2" t="s">
        <v>2745</v>
      </c>
      <c r="G1763" s="4">
        <v>83117</v>
      </c>
      <c r="H1763" s="7">
        <v>44906</v>
      </c>
      <c r="I1763" s="4">
        <v>0</v>
      </c>
      <c r="J1763" s="6">
        <v>44604</v>
      </c>
      <c r="K1763" t="str">
        <f t="shared" si="54"/>
        <v>Q1 2022</v>
      </c>
      <c r="L1763" t="str">
        <f t="shared" si="55"/>
        <v>Q1 2022</v>
      </c>
    </row>
    <row r="1764" spans="1:12" ht="15.75" customHeight="1" x14ac:dyDescent="0.3">
      <c r="A1764" s="2" t="s">
        <v>2746</v>
      </c>
      <c r="B1764" s="2" t="s">
        <v>11</v>
      </c>
      <c r="C1764" s="2" t="s">
        <v>12</v>
      </c>
      <c r="D1764" s="2" t="s">
        <v>2408</v>
      </c>
      <c r="E1764" s="2" t="s">
        <v>80</v>
      </c>
      <c r="F1764" s="2" t="s">
        <v>2436</v>
      </c>
      <c r="G1764" s="4">
        <v>74204</v>
      </c>
      <c r="H1764" s="6">
        <v>44562</v>
      </c>
      <c r="I1764" s="4">
        <v>0</v>
      </c>
      <c r="J1764" s="6">
        <v>44595</v>
      </c>
      <c r="K1764" t="str">
        <f t="shared" si="54"/>
        <v>Q1 2022</v>
      </c>
      <c r="L1764" t="str">
        <f t="shared" si="55"/>
        <v>Q1 2022</v>
      </c>
    </row>
    <row r="1765" spans="1:12" ht="15.75" customHeight="1" x14ac:dyDescent="0.3">
      <c r="A1765" s="2" t="s">
        <v>2747</v>
      </c>
      <c r="B1765" s="2" t="s">
        <v>11</v>
      </c>
      <c r="C1765" s="2" t="s">
        <v>12</v>
      </c>
      <c r="D1765" s="2" t="s">
        <v>2408</v>
      </c>
      <c r="E1765" s="2" t="s">
        <v>80</v>
      </c>
      <c r="F1765" s="2" t="s">
        <v>2436</v>
      </c>
      <c r="G1765" s="4">
        <v>97267</v>
      </c>
      <c r="H1765" s="5" t="s">
        <v>439</v>
      </c>
      <c r="I1765" s="4">
        <v>0</v>
      </c>
      <c r="J1765" s="6">
        <v>44598</v>
      </c>
      <c r="K1765" t="str">
        <f t="shared" si="54"/>
        <v>Q1 2022</v>
      </c>
      <c r="L1765" t="str">
        <f t="shared" si="55"/>
        <v>Q1 2022</v>
      </c>
    </row>
    <row r="1766" spans="1:12" ht="15.75" customHeight="1" x14ac:dyDescent="0.3">
      <c r="A1766" s="2" t="s">
        <v>2748</v>
      </c>
      <c r="B1766" s="2" t="s">
        <v>11</v>
      </c>
      <c r="C1766" s="2" t="s">
        <v>12</v>
      </c>
      <c r="D1766" s="2" t="s">
        <v>2408</v>
      </c>
      <c r="E1766" s="2" t="s">
        <v>80</v>
      </c>
      <c r="F1766" s="2" t="s">
        <v>2749</v>
      </c>
      <c r="G1766" s="4">
        <v>100029</v>
      </c>
      <c r="H1766" s="6">
        <v>44563</v>
      </c>
      <c r="I1766" s="4">
        <v>0</v>
      </c>
      <c r="J1766" s="6">
        <v>44596</v>
      </c>
      <c r="K1766" t="str">
        <f t="shared" si="54"/>
        <v>Q1 2022</v>
      </c>
      <c r="L1766" t="str">
        <f t="shared" si="55"/>
        <v>Q1 2022</v>
      </c>
    </row>
    <row r="1767" spans="1:12" ht="15.75" customHeight="1" x14ac:dyDescent="0.3">
      <c r="A1767" s="2" t="s">
        <v>2750</v>
      </c>
      <c r="B1767" s="2" t="s">
        <v>11</v>
      </c>
      <c r="C1767" s="2" t="s">
        <v>12</v>
      </c>
      <c r="D1767" s="2" t="s">
        <v>2408</v>
      </c>
      <c r="E1767" s="2" t="s">
        <v>80</v>
      </c>
      <c r="F1767" s="2" t="s">
        <v>2692</v>
      </c>
      <c r="G1767" s="4">
        <v>83989</v>
      </c>
      <c r="H1767" s="5" t="s">
        <v>82</v>
      </c>
      <c r="I1767" s="4">
        <v>0</v>
      </c>
      <c r="J1767" s="6">
        <v>44597</v>
      </c>
      <c r="K1767" t="str">
        <f t="shared" si="54"/>
        <v>Q1 2022</v>
      </c>
      <c r="L1767" t="str">
        <f t="shared" si="55"/>
        <v>Q1 2022</v>
      </c>
    </row>
    <row r="1768" spans="1:12" ht="15.75" customHeight="1" x14ac:dyDescent="0.3">
      <c r="A1768" s="2" t="s">
        <v>2751</v>
      </c>
      <c r="B1768" s="2" t="s">
        <v>11</v>
      </c>
      <c r="C1768" s="2" t="s">
        <v>12</v>
      </c>
      <c r="D1768" s="2" t="s">
        <v>2408</v>
      </c>
      <c r="E1768" s="2" t="s">
        <v>80</v>
      </c>
      <c r="F1768" s="2" t="s">
        <v>2752</v>
      </c>
      <c r="G1768" s="4">
        <v>171617</v>
      </c>
      <c r="H1768" s="5" t="s">
        <v>192</v>
      </c>
      <c r="I1768" s="4">
        <v>0</v>
      </c>
      <c r="J1768" s="6">
        <v>44595</v>
      </c>
      <c r="K1768" t="str">
        <f t="shared" si="54"/>
        <v>Q1 2022</v>
      </c>
      <c r="L1768" t="str">
        <f t="shared" si="55"/>
        <v>Q1 2022</v>
      </c>
    </row>
    <row r="1769" spans="1:12" ht="15.75" customHeight="1" x14ac:dyDescent="0.3">
      <c r="A1769" s="2" t="s">
        <v>2753</v>
      </c>
      <c r="B1769" s="2" t="s">
        <v>20</v>
      </c>
      <c r="C1769" s="2" t="s">
        <v>21</v>
      </c>
      <c r="D1769" s="2" t="s">
        <v>2408</v>
      </c>
      <c r="E1769" s="2" t="s">
        <v>80</v>
      </c>
      <c r="F1769" s="2" t="s">
        <v>329</v>
      </c>
      <c r="G1769" s="4">
        <v>143735</v>
      </c>
      <c r="H1769" s="5" t="s">
        <v>1195</v>
      </c>
      <c r="I1769" s="4">
        <v>20534</v>
      </c>
      <c r="J1769" s="5" t="s">
        <v>301</v>
      </c>
      <c r="K1769" t="str">
        <f t="shared" si="54"/>
        <v>Q4 2022</v>
      </c>
      <c r="L1769" t="str">
        <f t="shared" si="55"/>
        <v>Q4 2022</v>
      </c>
    </row>
    <row r="1770" spans="1:12" ht="15.75" customHeight="1" x14ac:dyDescent="0.3">
      <c r="A1770" s="2" t="s">
        <v>2754</v>
      </c>
      <c r="B1770" s="2" t="s">
        <v>11</v>
      </c>
      <c r="C1770" s="2" t="s">
        <v>12</v>
      </c>
      <c r="D1770" s="2" t="s">
        <v>2408</v>
      </c>
      <c r="E1770" s="2" t="s">
        <v>80</v>
      </c>
      <c r="F1770" s="2" t="s">
        <v>329</v>
      </c>
      <c r="G1770" s="4">
        <v>70098</v>
      </c>
      <c r="H1770" s="5" t="s">
        <v>30</v>
      </c>
      <c r="I1770" s="4">
        <v>0</v>
      </c>
      <c r="J1770" s="6">
        <v>44603</v>
      </c>
      <c r="K1770" t="str">
        <f t="shared" si="54"/>
        <v>Q1 2022</v>
      </c>
      <c r="L1770" t="str">
        <f t="shared" si="55"/>
        <v>Q1 2022</v>
      </c>
    </row>
    <row r="1771" spans="1:12" ht="15.75" customHeight="1" x14ac:dyDescent="0.3">
      <c r="A1771" s="2" t="s">
        <v>2755</v>
      </c>
      <c r="B1771" s="2" t="s">
        <v>11</v>
      </c>
      <c r="C1771" s="2" t="s">
        <v>12</v>
      </c>
      <c r="D1771" s="2" t="s">
        <v>2408</v>
      </c>
      <c r="E1771" s="2" t="s">
        <v>80</v>
      </c>
      <c r="F1771" s="2" t="s">
        <v>2756</v>
      </c>
      <c r="G1771" s="4">
        <v>79503</v>
      </c>
      <c r="H1771" s="5" t="s">
        <v>179</v>
      </c>
      <c r="I1771" s="4">
        <v>0</v>
      </c>
      <c r="J1771" s="6">
        <v>44594</v>
      </c>
      <c r="K1771" t="str">
        <f t="shared" si="54"/>
        <v>Q1 2022</v>
      </c>
      <c r="L1771" t="str">
        <f t="shared" si="55"/>
        <v>Q1 2022</v>
      </c>
    </row>
    <row r="1772" spans="1:12" ht="15.75" customHeight="1" x14ac:dyDescent="0.3">
      <c r="A1772" s="2" t="s">
        <v>2757</v>
      </c>
      <c r="B1772" s="2" t="s">
        <v>11</v>
      </c>
      <c r="C1772" s="2" t="s">
        <v>12</v>
      </c>
      <c r="D1772" s="2" t="s">
        <v>2408</v>
      </c>
      <c r="E1772" s="2" t="s">
        <v>80</v>
      </c>
      <c r="F1772" s="2" t="s">
        <v>2436</v>
      </c>
      <c r="G1772" s="4">
        <v>100792</v>
      </c>
      <c r="H1772" s="5" t="s">
        <v>197</v>
      </c>
      <c r="I1772" s="4">
        <v>0</v>
      </c>
      <c r="J1772" s="6">
        <v>44602</v>
      </c>
      <c r="K1772" t="str">
        <f t="shared" si="54"/>
        <v>Q1 2022</v>
      </c>
      <c r="L1772" t="str">
        <f t="shared" si="55"/>
        <v>Q1 2022</v>
      </c>
    </row>
    <row r="1773" spans="1:12" ht="15.75" customHeight="1" x14ac:dyDescent="0.3">
      <c r="A1773" s="2" t="s">
        <v>2758</v>
      </c>
      <c r="B1773" s="2" t="s">
        <v>11</v>
      </c>
      <c r="C1773" s="2" t="s">
        <v>12</v>
      </c>
      <c r="D1773" s="2" t="s">
        <v>2408</v>
      </c>
      <c r="E1773" s="2" t="s">
        <v>80</v>
      </c>
      <c r="F1773" s="2" t="s">
        <v>2759</v>
      </c>
      <c r="G1773" s="4">
        <v>80575</v>
      </c>
      <c r="H1773" s="6">
        <v>44630</v>
      </c>
      <c r="I1773" s="4">
        <v>0</v>
      </c>
      <c r="J1773" s="6">
        <v>44603</v>
      </c>
      <c r="K1773" t="str">
        <f t="shared" si="54"/>
        <v>Q1 2022</v>
      </c>
      <c r="L1773" t="str">
        <f t="shared" si="55"/>
        <v>Q1 2022</v>
      </c>
    </row>
    <row r="1774" spans="1:12" ht="15.75" customHeight="1" x14ac:dyDescent="0.3">
      <c r="A1774" s="2" t="s">
        <v>2760</v>
      </c>
      <c r="B1774" s="2" t="s">
        <v>11</v>
      </c>
      <c r="C1774" s="2" t="s">
        <v>12</v>
      </c>
      <c r="D1774" s="2" t="s">
        <v>2408</v>
      </c>
      <c r="E1774" s="2" t="s">
        <v>80</v>
      </c>
      <c r="F1774" s="2" t="s">
        <v>2761</v>
      </c>
      <c r="G1774" s="4">
        <v>69191</v>
      </c>
      <c r="H1774" s="5" t="s">
        <v>30</v>
      </c>
      <c r="I1774" s="4">
        <v>0</v>
      </c>
      <c r="J1774" s="6">
        <v>44603</v>
      </c>
      <c r="K1774" t="str">
        <f t="shared" si="54"/>
        <v>Q1 2022</v>
      </c>
      <c r="L1774" t="str">
        <f t="shared" si="55"/>
        <v>Q1 2022</v>
      </c>
    </row>
    <row r="1775" spans="1:12" ht="15.75" customHeight="1" x14ac:dyDescent="0.3">
      <c r="A1775" s="2" t="s">
        <v>2762</v>
      </c>
      <c r="B1775" s="2" t="s">
        <v>11</v>
      </c>
      <c r="C1775" s="2" t="s">
        <v>12</v>
      </c>
      <c r="D1775" s="2" t="s">
        <v>2408</v>
      </c>
      <c r="E1775" s="2" t="s">
        <v>80</v>
      </c>
      <c r="F1775" s="2" t="s">
        <v>2436</v>
      </c>
      <c r="G1775" s="4">
        <v>91609</v>
      </c>
      <c r="H1775" s="5" t="s">
        <v>39</v>
      </c>
      <c r="I1775" s="4">
        <v>0</v>
      </c>
      <c r="J1775" s="6">
        <v>44603</v>
      </c>
      <c r="K1775" t="str">
        <f t="shared" si="54"/>
        <v>Q1 2022</v>
      </c>
      <c r="L1775" t="str">
        <f t="shared" si="55"/>
        <v>Q1 2022</v>
      </c>
    </row>
    <row r="1776" spans="1:12" ht="15.75" customHeight="1" x14ac:dyDescent="0.3">
      <c r="A1776" s="2" t="s">
        <v>2763</v>
      </c>
      <c r="B1776" s="2" t="s">
        <v>11</v>
      </c>
      <c r="C1776" s="2" t="s">
        <v>12</v>
      </c>
      <c r="D1776" s="2" t="s">
        <v>2408</v>
      </c>
      <c r="E1776" s="2" t="s">
        <v>80</v>
      </c>
      <c r="F1776" s="2" t="s">
        <v>2764</v>
      </c>
      <c r="G1776" s="4">
        <v>146655</v>
      </c>
      <c r="H1776" s="5" t="s">
        <v>42</v>
      </c>
      <c r="I1776" s="4">
        <v>0</v>
      </c>
      <c r="J1776" s="6">
        <v>44603</v>
      </c>
      <c r="K1776" t="str">
        <f t="shared" si="54"/>
        <v>Q1 2022</v>
      </c>
      <c r="L1776" t="str">
        <f t="shared" si="55"/>
        <v>Q1 2022</v>
      </c>
    </row>
    <row r="1777" spans="1:12" ht="15.75" customHeight="1" x14ac:dyDescent="0.3">
      <c r="A1777" s="2" t="s">
        <v>2765</v>
      </c>
      <c r="B1777" s="2" t="s">
        <v>11</v>
      </c>
      <c r="C1777" s="2" t="s">
        <v>12</v>
      </c>
      <c r="D1777" s="2" t="s">
        <v>2408</v>
      </c>
      <c r="E1777" s="2" t="s">
        <v>80</v>
      </c>
      <c r="F1777" s="2" t="s">
        <v>329</v>
      </c>
      <c r="G1777" s="4">
        <v>81137</v>
      </c>
      <c r="H1777" s="6">
        <v>44625</v>
      </c>
      <c r="I1777" s="4">
        <v>0</v>
      </c>
      <c r="J1777" s="6">
        <v>44599</v>
      </c>
      <c r="K1777" t="str">
        <f t="shared" si="54"/>
        <v>Q1 2022</v>
      </c>
      <c r="L1777" t="str">
        <f t="shared" si="55"/>
        <v>Q1 2022</v>
      </c>
    </row>
    <row r="1778" spans="1:12" ht="15.75" customHeight="1" x14ac:dyDescent="0.3">
      <c r="A1778" s="2" t="s">
        <v>2766</v>
      </c>
      <c r="B1778" s="2" t="s">
        <v>11</v>
      </c>
      <c r="C1778" s="2" t="s">
        <v>12</v>
      </c>
      <c r="D1778" s="2" t="s">
        <v>2408</v>
      </c>
      <c r="E1778" s="2" t="s">
        <v>80</v>
      </c>
      <c r="F1778" s="2" t="s">
        <v>2767</v>
      </c>
      <c r="G1778" s="4">
        <v>91695</v>
      </c>
      <c r="H1778" s="5" t="s">
        <v>265</v>
      </c>
      <c r="I1778" s="4">
        <v>0</v>
      </c>
      <c r="J1778" s="6">
        <v>44601</v>
      </c>
      <c r="K1778" t="str">
        <f t="shared" si="54"/>
        <v>Q1 2022</v>
      </c>
      <c r="L1778" t="str">
        <f t="shared" si="55"/>
        <v>Q1 2022</v>
      </c>
    </row>
    <row r="1779" spans="1:12" ht="15.75" customHeight="1" x14ac:dyDescent="0.3">
      <c r="A1779" s="2" t="s">
        <v>2768</v>
      </c>
      <c r="B1779" s="2" t="s">
        <v>11</v>
      </c>
      <c r="C1779" s="2" t="s">
        <v>12</v>
      </c>
      <c r="D1779" s="2" t="s">
        <v>2408</v>
      </c>
      <c r="E1779" s="2" t="s">
        <v>80</v>
      </c>
      <c r="F1779" s="2" t="s">
        <v>2425</v>
      </c>
      <c r="G1779" s="4">
        <v>132232</v>
      </c>
      <c r="H1779" s="5" t="s">
        <v>82</v>
      </c>
      <c r="I1779" s="4">
        <v>0</v>
      </c>
      <c r="J1779" s="6">
        <v>44596</v>
      </c>
      <c r="K1779" t="str">
        <f t="shared" si="54"/>
        <v>Q1 2022</v>
      </c>
      <c r="L1779" t="str">
        <f t="shared" si="55"/>
        <v>Q1 2022</v>
      </c>
    </row>
    <row r="1780" spans="1:12" ht="15.75" customHeight="1" x14ac:dyDescent="0.3">
      <c r="A1780" s="2" t="s">
        <v>2769</v>
      </c>
      <c r="B1780" s="2" t="s">
        <v>11</v>
      </c>
      <c r="C1780" s="2" t="s">
        <v>12</v>
      </c>
      <c r="D1780" s="2" t="s">
        <v>2408</v>
      </c>
      <c r="E1780" s="2" t="s">
        <v>80</v>
      </c>
      <c r="F1780" s="2" t="s">
        <v>2770</v>
      </c>
      <c r="G1780" s="4">
        <v>101472</v>
      </c>
      <c r="H1780" s="5" t="s">
        <v>42</v>
      </c>
      <c r="I1780" s="4">
        <v>0</v>
      </c>
      <c r="J1780" s="6">
        <v>44603</v>
      </c>
      <c r="K1780" t="str">
        <f t="shared" si="54"/>
        <v>Q1 2022</v>
      </c>
      <c r="L1780" t="str">
        <f t="shared" si="55"/>
        <v>Q1 2022</v>
      </c>
    </row>
    <row r="1781" spans="1:12" ht="15.75" customHeight="1" x14ac:dyDescent="0.3">
      <c r="A1781" s="2" t="s">
        <v>2771</v>
      </c>
      <c r="B1781" s="2" t="s">
        <v>11</v>
      </c>
      <c r="C1781" s="2" t="s">
        <v>12</v>
      </c>
      <c r="D1781" s="2" t="s">
        <v>2408</v>
      </c>
      <c r="E1781" s="2" t="s">
        <v>80</v>
      </c>
      <c r="F1781" s="2" t="s">
        <v>2772</v>
      </c>
      <c r="G1781" s="4">
        <v>141076</v>
      </c>
      <c r="H1781" s="5" t="s">
        <v>30</v>
      </c>
      <c r="I1781" s="4">
        <v>0</v>
      </c>
      <c r="J1781" s="6">
        <v>44603</v>
      </c>
      <c r="K1781" t="str">
        <f t="shared" si="54"/>
        <v>Q1 2022</v>
      </c>
      <c r="L1781" t="str">
        <f t="shared" si="55"/>
        <v>Q1 2022</v>
      </c>
    </row>
    <row r="1782" spans="1:12" ht="15.75" customHeight="1" x14ac:dyDescent="0.3">
      <c r="A1782" s="2" t="s">
        <v>2773</v>
      </c>
      <c r="B1782" s="2" t="s">
        <v>20</v>
      </c>
      <c r="C1782" s="2" t="s">
        <v>57</v>
      </c>
      <c r="D1782" s="2" t="s">
        <v>2408</v>
      </c>
      <c r="E1782" s="2" t="s">
        <v>80</v>
      </c>
      <c r="F1782" s="2" t="s">
        <v>2774</v>
      </c>
      <c r="G1782" s="4">
        <v>157549</v>
      </c>
      <c r="H1782" s="6">
        <v>44841</v>
      </c>
      <c r="I1782" s="4">
        <v>78774</v>
      </c>
      <c r="J1782" s="5" t="s">
        <v>2775</v>
      </c>
      <c r="K1782" t="str">
        <f t="shared" si="54"/>
        <v>Q3 2022</v>
      </c>
      <c r="L1782" t="str">
        <f t="shared" si="55"/>
        <v>Q3 2022</v>
      </c>
    </row>
    <row r="1783" spans="1:12" ht="15.75" customHeight="1" x14ac:dyDescent="0.3">
      <c r="A1783" s="2" t="s">
        <v>2776</v>
      </c>
      <c r="B1783" s="2" t="s">
        <v>11</v>
      </c>
      <c r="C1783" s="2" t="s">
        <v>12</v>
      </c>
      <c r="D1783" s="2" t="s">
        <v>2408</v>
      </c>
      <c r="E1783" s="2" t="s">
        <v>80</v>
      </c>
      <c r="F1783" s="2" t="s">
        <v>2415</v>
      </c>
      <c r="G1783" s="4">
        <v>44091</v>
      </c>
      <c r="H1783" s="5" t="s">
        <v>1058</v>
      </c>
      <c r="I1783" s="4">
        <v>0</v>
      </c>
      <c r="J1783" s="6">
        <v>44654</v>
      </c>
      <c r="K1783" t="str">
        <f t="shared" si="54"/>
        <v>Q2 2022</v>
      </c>
      <c r="L1783" t="str">
        <f t="shared" si="55"/>
        <v>Q2 2022</v>
      </c>
    </row>
    <row r="1784" spans="1:12" ht="15.75" customHeight="1" x14ac:dyDescent="0.3">
      <c r="A1784" s="2" t="s">
        <v>2777</v>
      </c>
      <c r="B1784" s="2" t="s">
        <v>11</v>
      </c>
      <c r="C1784" s="2" t="s">
        <v>12</v>
      </c>
      <c r="D1784" s="2" t="s">
        <v>2408</v>
      </c>
      <c r="E1784" s="2" t="s">
        <v>80</v>
      </c>
      <c r="F1784" s="2" t="s">
        <v>2778</v>
      </c>
      <c r="G1784" s="4">
        <v>61001</v>
      </c>
      <c r="H1784" s="5" t="s">
        <v>39</v>
      </c>
      <c r="I1784" s="4">
        <v>0</v>
      </c>
      <c r="J1784" s="6">
        <v>44603</v>
      </c>
      <c r="K1784" t="str">
        <f t="shared" si="54"/>
        <v>Q1 2022</v>
      </c>
      <c r="L1784" t="str">
        <f t="shared" si="55"/>
        <v>Q1 2022</v>
      </c>
    </row>
    <row r="1785" spans="1:12" ht="15.75" customHeight="1" x14ac:dyDescent="0.3">
      <c r="A1785" s="2" t="s">
        <v>2779</v>
      </c>
      <c r="B1785" s="2" t="s">
        <v>11</v>
      </c>
      <c r="C1785" s="2" t="s">
        <v>12</v>
      </c>
      <c r="D1785" s="2" t="s">
        <v>2408</v>
      </c>
      <c r="E1785" s="2" t="s">
        <v>80</v>
      </c>
      <c r="F1785" s="2" t="s">
        <v>2436</v>
      </c>
      <c r="G1785" s="4">
        <v>86459</v>
      </c>
      <c r="H1785" s="5" t="s">
        <v>39</v>
      </c>
      <c r="I1785" s="4">
        <v>0</v>
      </c>
      <c r="J1785" s="6">
        <v>44603</v>
      </c>
      <c r="K1785" t="str">
        <f t="shared" si="54"/>
        <v>Q1 2022</v>
      </c>
      <c r="L1785" t="str">
        <f t="shared" si="55"/>
        <v>Q1 2022</v>
      </c>
    </row>
    <row r="1786" spans="1:12" ht="15.75" customHeight="1" x14ac:dyDescent="0.3">
      <c r="A1786" s="2" t="s">
        <v>2780</v>
      </c>
      <c r="B1786" s="2" t="s">
        <v>11</v>
      </c>
      <c r="C1786" s="2" t="s">
        <v>12</v>
      </c>
      <c r="D1786" s="2" t="s">
        <v>2408</v>
      </c>
      <c r="E1786" s="2" t="s">
        <v>80</v>
      </c>
      <c r="F1786" s="2" t="s">
        <v>2781</v>
      </c>
      <c r="G1786" s="4">
        <v>42361</v>
      </c>
      <c r="H1786" s="5" t="s">
        <v>30</v>
      </c>
      <c r="I1786" s="4">
        <v>0</v>
      </c>
      <c r="J1786" s="6">
        <v>44603</v>
      </c>
      <c r="K1786" t="str">
        <f t="shared" si="54"/>
        <v>Q1 2022</v>
      </c>
      <c r="L1786" t="str">
        <f t="shared" si="55"/>
        <v>Q1 2022</v>
      </c>
    </row>
    <row r="1787" spans="1:12" ht="15.75" customHeight="1" x14ac:dyDescent="0.3">
      <c r="A1787" s="2" t="s">
        <v>2782</v>
      </c>
      <c r="B1787" s="2" t="s">
        <v>11</v>
      </c>
      <c r="C1787" s="2" t="s">
        <v>12</v>
      </c>
      <c r="D1787" s="2" t="s">
        <v>2408</v>
      </c>
      <c r="E1787" s="2" t="s">
        <v>80</v>
      </c>
      <c r="F1787" s="2" t="s">
        <v>2783</v>
      </c>
      <c r="G1787" s="4">
        <v>136965</v>
      </c>
      <c r="H1787" s="5" t="s">
        <v>30</v>
      </c>
      <c r="I1787" s="4">
        <v>0</v>
      </c>
      <c r="J1787" s="6">
        <v>44603</v>
      </c>
      <c r="K1787" t="str">
        <f t="shared" si="54"/>
        <v>Q1 2022</v>
      </c>
      <c r="L1787" t="str">
        <f t="shared" si="55"/>
        <v>Q1 2022</v>
      </c>
    </row>
    <row r="1788" spans="1:12" ht="15.75" customHeight="1" x14ac:dyDescent="0.3">
      <c r="A1788" s="2" t="s">
        <v>2784</v>
      </c>
      <c r="B1788" s="2" t="s">
        <v>11</v>
      </c>
      <c r="C1788" s="2" t="s">
        <v>12</v>
      </c>
      <c r="D1788" s="2" t="s">
        <v>2408</v>
      </c>
      <c r="E1788" s="2" t="s">
        <v>80</v>
      </c>
      <c r="F1788" s="2" t="s">
        <v>2436</v>
      </c>
      <c r="G1788" s="4">
        <v>114527</v>
      </c>
      <c r="H1788" s="6">
        <v>44632</v>
      </c>
      <c r="I1788" s="4">
        <v>0</v>
      </c>
      <c r="J1788" s="6">
        <v>44958</v>
      </c>
      <c r="K1788" t="str">
        <f t="shared" si="54"/>
        <v>Q1 2023</v>
      </c>
      <c r="L1788" t="str">
        <f t="shared" si="55"/>
        <v>Q1 2023</v>
      </c>
    </row>
    <row r="1789" spans="1:12" ht="15.75" customHeight="1" x14ac:dyDescent="0.3">
      <c r="A1789" s="2" t="s">
        <v>2785</v>
      </c>
      <c r="B1789" s="2" t="s">
        <v>11</v>
      </c>
      <c r="C1789" s="2" t="s">
        <v>12</v>
      </c>
      <c r="D1789" s="2" t="s">
        <v>2408</v>
      </c>
      <c r="E1789" s="2" t="s">
        <v>80</v>
      </c>
      <c r="F1789" s="2" t="s">
        <v>2421</v>
      </c>
      <c r="G1789" s="4">
        <v>85137</v>
      </c>
      <c r="H1789" s="5" t="s">
        <v>25</v>
      </c>
      <c r="I1789" s="4">
        <v>0</v>
      </c>
      <c r="J1789" s="6">
        <v>44603</v>
      </c>
      <c r="K1789" t="str">
        <f t="shared" si="54"/>
        <v>Q1 2022</v>
      </c>
      <c r="L1789" t="str">
        <f t="shared" si="55"/>
        <v>Q1 2022</v>
      </c>
    </row>
    <row r="1790" spans="1:12" ht="15.75" customHeight="1" x14ac:dyDescent="0.3">
      <c r="A1790" s="2" t="s">
        <v>2786</v>
      </c>
      <c r="B1790" s="2" t="s">
        <v>11</v>
      </c>
      <c r="C1790" s="2" t="s">
        <v>12</v>
      </c>
      <c r="D1790" s="2" t="s">
        <v>2408</v>
      </c>
      <c r="E1790" s="2" t="s">
        <v>80</v>
      </c>
      <c r="F1790" s="2" t="s">
        <v>2787</v>
      </c>
      <c r="G1790" s="4">
        <v>100584</v>
      </c>
      <c r="H1790" s="5" t="s">
        <v>25</v>
      </c>
      <c r="I1790" s="4">
        <v>0</v>
      </c>
      <c r="J1790" s="6">
        <v>44603</v>
      </c>
      <c r="K1790" t="str">
        <f t="shared" si="54"/>
        <v>Q1 2022</v>
      </c>
      <c r="L1790" t="str">
        <f t="shared" si="55"/>
        <v>Q1 2022</v>
      </c>
    </row>
    <row r="1791" spans="1:12" ht="15.75" customHeight="1" x14ac:dyDescent="0.3">
      <c r="A1791" s="2" t="s">
        <v>2788</v>
      </c>
      <c r="B1791" s="2" t="s">
        <v>11</v>
      </c>
      <c r="C1791" s="2" t="s">
        <v>12</v>
      </c>
      <c r="D1791" s="2" t="s">
        <v>2408</v>
      </c>
      <c r="E1791" s="2" t="s">
        <v>80</v>
      </c>
      <c r="F1791" s="2" t="s">
        <v>2789</v>
      </c>
      <c r="G1791" s="4">
        <v>78363</v>
      </c>
      <c r="H1791" s="5" t="s">
        <v>333</v>
      </c>
      <c r="I1791" s="4">
        <v>0</v>
      </c>
      <c r="J1791" s="6">
        <v>44599</v>
      </c>
      <c r="K1791" t="str">
        <f t="shared" si="54"/>
        <v>Q1 2022</v>
      </c>
      <c r="L1791" t="str">
        <f t="shared" si="55"/>
        <v>Q1 2022</v>
      </c>
    </row>
    <row r="1792" spans="1:12" ht="15.75" customHeight="1" x14ac:dyDescent="0.3">
      <c r="A1792" s="2" t="s">
        <v>2790</v>
      </c>
      <c r="B1792" s="2" t="s">
        <v>11</v>
      </c>
      <c r="C1792" s="2" t="s">
        <v>12</v>
      </c>
      <c r="D1792" s="2" t="s">
        <v>2408</v>
      </c>
      <c r="E1792" s="2" t="s">
        <v>80</v>
      </c>
      <c r="F1792" s="2" t="s">
        <v>2791</v>
      </c>
      <c r="G1792" s="4">
        <v>85130</v>
      </c>
      <c r="H1792" s="6">
        <v>44630</v>
      </c>
      <c r="I1792" s="4">
        <v>0</v>
      </c>
      <c r="J1792" s="6">
        <v>44603</v>
      </c>
      <c r="K1792" t="str">
        <f t="shared" si="54"/>
        <v>Q1 2022</v>
      </c>
      <c r="L1792" t="str">
        <f t="shared" si="55"/>
        <v>Q1 2022</v>
      </c>
    </row>
    <row r="1793" spans="1:12" ht="15.75" customHeight="1" x14ac:dyDescent="0.3">
      <c r="A1793" s="2" t="s">
        <v>2792</v>
      </c>
      <c r="B1793" s="2" t="s">
        <v>11</v>
      </c>
      <c r="C1793" s="2" t="s">
        <v>12</v>
      </c>
      <c r="D1793" s="2" t="s">
        <v>2408</v>
      </c>
      <c r="E1793" s="2" t="s">
        <v>80</v>
      </c>
      <c r="F1793" s="2" t="s">
        <v>2793</v>
      </c>
      <c r="G1793" s="4">
        <v>127431</v>
      </c>
      <c r="H1793" s="5" t="s">
        <v>42</v>
      </c>
      <c r="I1793" s="4">
        <v>0</v>
      </c>
      <c r="J1793" s="6">
        <v>44603</v>
      </c>
      <c r="K1793" t="str">
        <f t="shared" si="54"/>
        <v>Q1 2022</v>
      </c>
      <c r="L1793" t="str">
        <f t="shared" si="55"/>
        <v>Q1 2022</v>
      </c>
    </row>
    <row r="1794" spans="1:12" ht="15.75" customHeight="1" x14ac:dyDescent="0.3">
      <c r="A1794" s="2" t="s">
        <v>2794</v>
      </c>
      <c r="B1794" s="2" t="s">
        <v>11</v>
      </c>
      <c r="C1794" s="2" t="s">
        <v>12</v>
      </c>
      <c r="D1794" s="2" t="s">
        <v>2408</v>
      </c>
      <c r="E1794" s="2" t="s">
        <v>80</v>
      </c>
      <c r="F1794" s="2" t="s">
        <v>2795</v>
      </c>
      <c r="G1794" s="4">
        <v>149252</v>
      </c>
      <c r="H1794" s="5" t="s">
        <v>30</v>
      </c>
      <c r="I1794" s="4">
        <v>0</v>
      </c>
      <c r="J1794" s="6">
        <v>44603</v>
      </c>
      <c r="K1794" t="str">
        <f t="shared" ref="K1794:K1857" si="56">"Q" &amp; ROUNDUP(MONTH(J:J)/3,0) &amp; " " &amp; YEAR(J:J)</f>
        <v>Q1 2022</v>
      </c>
      <c r="L1794" t="str">
        <f t="shared" ref="L1794:L1857" si="57">"Q" &amp; ROUNDUP(MONTH(J:J)/3,0) &amp; " " &amp; YEAR(J:J)</f>
        <v>Q1 2022</v>
      </c>
    </row>
    <row r="1795" spans="1:12" ht="15.75" customHeight="1" x14ac:dyDescent="0.3">
      <c r="A1795" s="2" t="s">
        <v>2796</v>
      </c>
      <c r="B1795" s="2" t="s">
        <v>11</v>
      </c>
      <c r="C1795" s="2" t="s">
        <v>12</v>
      </c>
      <c r="D1795" s="2" t="s">
        <v>2408</v>
      </c>
      <c r="E1795" s="2" t="s">
        <v>80</v>
      </c>
      <c r="F1795" s="2" t="s">
        <v>2465</v>
      </c>
      <c r="G1795" s="4">
        <v>141302</v>
      </c>
      <c r="H1795" s="5" t="s">
        <v>142</v>
      </c>
      <c r="I1795" s="4">
        <v>0</v>
      </c>
      <c r="J1795" s="6">
        <v>44597</v>
      </c>
      <c r="K1795" t="str">
        <f t="shared" si="56"/>
        <v>Q1 2022</v>
      </c>
      <c r="L1795" t="str">
        <f t="shared" si="57"/>
        <v>Q1 2022</v>
      </c>
    </row>
    <row r="1796" spans="1:12" ht="15.75" customHeight="1" x14ac:dyDescent="0.3">
      <c r="A1796" s="2" t="s">
        <v>2797</v>
      </c>
      <c r="B1796" s="2" t="s">
        <v>11</v>
      </c>
      <c r="C1796" s="2" t="s">
        <v>12</v>
      </c>
      <c r="D1796" s="2" t="s">
        <v>2408</v>
      </c>
      <c r="E1796" s="2" t="s">
        <v>80</v>
      </c>
      <c r="F1796" s="2" t="s">
        <v>2798</v>
      </c>
      <c r="G1796" s="4">
        <v>75938</v>
      </c>
      <c r="H1796" s="6">
        <v>44623</v>
      </c>
      <c r="I1796" s="4">
        <v>0</v>
      </c>
      <c r="J1796" s="6">
        <v>44597</v>
      </c>
      <c r="K1796" t="str">
        <f t="shared" si="56"/>
        <v>Q1 2022</v>
      </c>
      <c r="L1796" t="str">
        <f t="shared" si="57"/>
        <v>Q1 2022</v>
      </c>
    </row>
    <row r="1797" spans="1:12" ht="15.75" customHeight="1" x14ac:dyDescent="0.3">
      <c r="A1797" s="2" t="s">
        <v>2799</v>
      </c>
      <c r="B1797" s="2" t="s">
        <v>11</v>
      </c>
      <c r="C1797" s="2" t="s">
        <v>12</v>
      </c>
      <c r="D1797" s="2" t="s">
        <v>2408</v>
      </c>
      <c r="E1797" s="2" t="s">
        <v>80</v>
      </c>
      <c r="F1797" s="2" t="s">
        <v>2800</v>
      </c>
      <c r="G1797" s="4">
        <v>107458</v>
      </c>
      <c r="H1797" s="5" t="s">
        <v>123</v>
      </c>
      <c r="I1797" s="4">
        <v>0</v>
      </c>
      <c r="J1797" s="6">
        <v>44594</v>
      </c>
      <c r="K1797" t="str">
        <f t="shared" si="56"/>
        <v>Q1 2022</v>
      </c>
      <c r="L1797" t="str">
        <f t="shared" si="57"/>
        <v>Q1 2022</v>
      </c>
    </row>
    <row r="1798" spans="1:12" ht="15.75" customHeight="1" x14ac:dyDescent="0.3">
      <c r="A1798" s="2" t="s">
        <v>2801</v>
      </c>
      <c r="B1798" s="2" t="s">
        <v>20</v>
      </c>
      <c r="C1798" s="2" t="s">
        <v>21</v>
      </c>
      <c r="D1798" s="2" t="s">
        <v>2408</v>
      </c>
      <c r="E1798" s="2" t="s">
        <v>80</v>
      </c>
      <c r="F1798" s="2" t="s">
        <v>2802</v>
      </c>
      <c r="G1798" s="4">
        <v>101613</v>
      </c>
      <c r="H1798" s="6">
        <v>44776</v>
      </c>
      <c r="I1798" s="4">
        <v>50807</v>
      </c>
      <c r="J1798" s="5" t="s">
        <v>1067</v>
      </c>
      <c r="K1798" t="str">
        <f t="shared" si="56"/>
        <v>Q2 2022</v>
      </c>
      <c r="L1798" t="str">
        <f t="shared" si="57"/>
        <v>Q2 2022</v>
      </c>
    </row>
    <row r="1799" spans="1:12" ht="15.75" customHeight="1" x14ac:dyDescent="0.3">
      <c r="A1799" s="2" t="s">
        <v>2803</v>
      </c>
      <c r="B1799" s="2" t="s">
        <v>11</v>
      </c>
      <c r="C1799" s="2" t="s">
        <v>12</v>
      </c>
      <c r="D1799" s="2" t="s">
        <v>2408</v>
      </c>
      <c r="E1799" s="2" t="s">
        <v>80</v>
      </c>
      <c r="F1799" s="2" t="s">
        <v>2804</v>
      </c>
      <c r="G1799" s="2"/>
      <c r="H1799" s="6">
        <v>44562</v>
      </c>
      <c r="I1799" s="4">
        <v>0</v>
      </c>
      <c r="J1799" s="6">
        <v>44595</v>
      </c>
      <c r="K1799" t="str">
        <f t="shared" si="56"/>
        <v>Q1 2022</v>
      </c>
      <c r="L1799" t="str">
        <f t="shared" si="57"/>
        <v>Q1 2022</v>
      </c>
    </row>
    <row r="1800" spans="1:12" ht="15.75" customHeight="1" x14ac:dyDescent="0.3">
      <c r="A1800" s="2" t="s">
        <v>2805</v>
      </c>
      <c r="B1800" s="2" t="s">
        <v>11</v>
      </c>
      <c r="C1800" s="2" t="s">
        <v>12</v>
      </c>
      <c r="D1800" s="2" t="s">
        <v>2408</v>
      </c>
      <c r="E1800" s="2" t="s">
        <v>80</v>
      </c>
      <c r="F1800" s="2" t="s">
        <v>2806</v>
      </c>
      <c r="G1800" s="4">
        <v>100181</v>
      </c>
      <c r="H1800" s="5" t="s">
        <v>39</v>
      </c>
      <c r="I1800" s="4">
        <v>0</v>
      </c>
      <c r="J1800" s="6">
        <v>44603</v>
      </c>
      <c r="K1800" t="str">
        <f t="shared" si="56"/>
        <v>Q1 2022</v>
      </c>
      <c r="L1800" t="str">
        <f t="shared" si="57"/>
        <v>Q1 2022</v>
      </c>
    </row>
    <row r="1801" spans="1:12" ht="15.75" customHeight="1" x14ac:dyDescent="0.3">
      <c r="A1801" s="2" t="s">
        <v>2807</v>
      </c>
      <c r="B1801" s="2" t="s">
        <v>20</v>
      </c>
      <c r="C1801" s="2" t="s">
        <v>21</v>
      </c>
      <c r="D1801" s="2" t="s">
        <v>2408</v>
      </c>
      <c r="E1801" s="2" t="s">
        <v>80</v>
      </c>
      <c r="F1801" s="2" t="s">
        <v>2601</v>
      </c>
      <c r="G1801" s="4">
        <v>120600</v>
      </c>
      <c r="H1801" s="5" t="s">
        <v>2808</v>
      </c>
      <c r="I1801" s="4">
        <v>40200</v>
      </c>
      <c r="J1801" s="5" t="s">
        <v>1149</v>
      </c>
      <c r="K1801" t="str">
        <f t="shared" si="56"/>
        <v>Q3 2022</v>
      </c>
      <c r="L1801" t="str">
        <f t="shared" si="57"/>
        <v>Q3 2022</v>
      </c>
    </row>
    <row r="1802" spans="1:12" ht="15.75" customHeight="1" x14ac:dyDescent="0.3">
      <c r="A1802" s="2" t="s">
        <v>2809</v>
      </c>
      <c r="B1802" s="2" t="s">
        <v>11</v>
      </c>
      <c r="C1802" s="2" t="s">
        <v>12</v>
      </c>
      <c r="D1802" s="2" t="s">
        <v>2408</v>
      </c>
      <c r="E1802" s="2" t="s">
        <v>80</v>
      </c>
      <c r="F1802" s="2" t="s">
        <v>2810</v>
      </c>
      <c r="G1802" s="4">
        <v>96201</v>
      </c>
      <c r="H1802" s="5" t="s">
        <v>42</v>
      </c>
      <c r="I1802" s="4">
        <v>0</v>
      </c>
      <c r="J1802" s="6">
        <v>44603</v>
      </c>
      <c r="K1802" t="str">
        <f t="shared" si="56"/>
        <v>Q1 2022</v>
      </c>
      <c r="L1802" t="str">
        <f t="shared" si="57"/>
        <v>Q1 2022</v>
      </c>
    </row>
    <row r="1803" spans="1:12" ht="15.75" customHeight="1" x14ac:dyDescent="0.3">
      <c r="A1803" s="2" t="s">
        <v>2811</v>
      </c>
      <c r="B1803" s="2" t="s">
        <v>11</v>
      </c>
      <c r="C1803" s="2" t="s">
        <v>12</v>
      </c>
      <c r="D1803" s="2" t="s">
        <v>2408</v>
      </c>
      <c r="E1803" s="2" t="s">
        <v>80</v>
      </c>
      <c r="F1803" s="2" t="s">
        <v>2812</v>
      </c>
      <c r="G1803" s="4">
        <v>109545</v>
      </c>
      <c r="H1803" s="6">
        <v>44630</v>
      </c>
      <c r="I1803" s="4">
        <v>0</v>
      </c>
      <c r="J1803" s="6">
        <v>44603</v>
      </c>
      <c r="K1803" t="str">
        <f t="shared" si="56"/>
        <v>Q1 2022</v>
      </c>
      <c r="L1803" t="str">
        <f t="shared" si="57"/>
        <v>Q1 2022</v>
      </c>
    </row>
    <row r="1804" spans="1:12" ht="15.75" customHeight="1" x14ac:dyDescent="0.3">
      <c r="A1804" s="2" t="s">
        <v>2813</v>
      </c>
      <c r="B1804" s="2" t="s">
        <v>11</v>
      </c>
      <c r="C1804" s="2" t="s">
        <v>12</v>
      </c>
      <c r="D1804" s="2" t="s">
        <v>2408</v>
      </c>
      <c r="E1804" s="2" t="s">
        <v>80</v>
      </c>
      <c r="F1804" s="2" t="s">
        <v>2814</v>
      </c>
      <c r="G1804" s="4">
        <v>126633</v>
      </c>
      <c r="H1804" s="5" t="s">
        <v>25</v>
      </c>
      <c r="I1804" s="4">
        <v>0</v>
      </c>
      <c r="J1804" s="6">
        <v>44603</v>
      </c>
      <c r="K1804" t="str">
        <f t="shared" si="56"/>
        <v>Q1 2022</v>
      </c>
      <c r="L1804" t="str">
        <f t="shared" si="57"/>
        <v>Q1 2022</v>
      </c>
    </row>
    <row r="1805" spans="1:12" ht="15.75" customHeight="1" x14ac:dyDescent="0.3">
      <c r="A1805" s="2" t="s">
        <v>2815</v>
      </c>
      <c r="B1805" s="2" t="s">
        <v>11</v>
      </c>
      <c r="C1805" s="2" t="s">
        <v>12</v>
      </c>
      <c r="D1805" s="2" t="s">
        <v>2408</v>
      </c>
      <c r="E1805" s="2" t="s">
        <v>80</v>
      </c>
      <c r="F1805" s="2" t="s">
        <v>2816</v>
      </c>
      <c r="G1805" s="4">
        <v>106737</v>
      </c>
      <c r="H1805" s="5" t="s">
        <v>71</v>
      </c>
      <c r="I1805" s="4">
        <v>0</v>
      </c>
      <c r="J1805" s="6">
        <v>44603</v>
      </c>
      <c r="K1805" t="str">
        <f t="shared" si="56"/>
        <v>Q1 2022</v>
      </c>
      <c r="L1805" t="str">
        <f t="shared" si="57"/>
        <v>Q1 2022</v>
      </c>
    </row>
    <row r="1806" spans="1:12" ht="15.75" customHeight="1" x14ac:dyDescent="0.3">
      <c r="A1806" s="2" t="s">
        <v>2817</v>
      </c>
      <c r="B1806" s="2" t="s">
        <v>11</v>
      </c>
      <c r="C1806" s="2" t="s">
        <v>12</v>
      </c>
      <c r="D1806" s="2" t="s">
        <v>2408</v>
      </c>
      <c r="E1806" s="2" t="s">
        <v>80</v>
      </c>
      <c r="F1806" s="2" t="s">
        <v>2818</v>
      </c>
      <c r="G1806" s="4">
        <v>123073</v>
      </c>
      <c r="H1806" s="5" t="s">
        <v>30</v>
      </c>
      <c r="I1806" s="4">
        <v>0</v>
      </c>
      <c r="J1806" s="6">
        <v>44603</v>
      </c>
      <c r="K1806" t="str">
        <f t="shared" si="56"/>
        <v>Q1 2022</v>
      </c>
      <c r="L1806" t="str">
        <f t="shared" si="57"/>
        <v>Q1 2022</v>
      </c>
    </row>
    <row r="1807" spans="1:12" ht="15.75" customHeight="1" x14ac:dyDescent="0.3">
      <c r="A1807" s="2" t="s">
        <v>2819</v>
      </c>
      <c r="B1807" s="2" t="s">
        <v>11</v>
      </c>
      <c r="C1807" s="2" t="s">
        <v>12</v>
      </c>
      <c r="D1807" s="2" t="s">
        <v>2408</v>
      </c>
      <c r="E1807" s="2" t="s">
        <v>80</v>
      </c>
      <c r="F1807" s="2" t="s">
        <v>2724</v>
      </c>
      <c r="G1807" s="4">
        <v>70284</v>
      </c>
      <c r="H1807" s="5" t="s">
        <v>39</v>
      </c>
      <c r="I1807" s="4">
        <v>0</v>
      </c>
      <c r="J1807" s="6">
        <v>44603</v>
      </c>
      <c r="K1807" t="str">
        <f t="shared" si="56"/>
        <v>Q1 2022</v>
      </c>
      <c r="L1807" t="str">
        <f t="shared" si="57"/>
        <v>Q1 2022</v>
      </c>
    </row>
    <row r="1808" spans="1:12" ht="15.75" customHeight="1" x14ac:dyDescent="0.3">
      <c r="A1808" s="2" t="s">
        <v>2820</v>
      </c>
      <c r="B1808" s="2" t="s">
        <v>11</v>
      </c>
      <c r="C1808" s="2" t="s">
        <v>12</v>
      </c>
      <c r="D1808" s="2" t="s">
        <v>2408</v>
      </c>
      <c r="E1808" s="2" t="s">
        <v>80</v>
      </c>
      <c r="F1808" s="2" t="s">
        <v>2821</v>
      </c>
      <c r="G1808" s="4">
        <v>154442</v>
      </c>
      <c r="H1808" s="5" t="s">
        <v>16</v>
      </c>
      <c r="I1808" s="4">
        <v>0</v>
      </c>
      <c r="J1808" s="6">
        <v>44597</v>
      </c>
      <c r="K1808" t="str">
        <f t="shared" si="56"/>
        <v>Q1 2022</v>
      </c>
      <c r="L1808" t="str">
        <f t="shared" si="57"/>
        <v>Q1 2022</v>
      </c>
    </row>
    <row r="1809" spans="1:12" ht="15.75" customHeight="1" x14ac:dyDescent="0.3">
      <c r="A1809" s="2" t="s">
        <v>2822</v>
      </c>
      <c r="B1809" s="2" t="s">
        <v>11</v>
      </c>
      <c r="C1809" s="2" t="s">
        <v>12</v>
      </c>
      <c r="D1809" s="2" t="s">
        <v>2408</v>
      </c>
      <c r="E1809" s="2" t="s">
        <v>80</v>
      </c>
      <c r="F1809" s="2" t="s">
        <v>2421</v>
      </c>
      <c r="G1809" s="4">
        <v>139026</v>
      </c>
      <c r="H1809" s="5" t="s">
        <v>232</v>
      </c>
      <c r="I1809" s="4">
        <v>0</v>
      </c>
      <c r="J1809" s="6">
        <v>44594</v>
      </c>
      <c r="K1809" t="str">
        <f t="shared" si="56"/>
        <v>Q1 2022</v>
      </c>
      <c r="L1809" t="str">
        <f t="shared" si="57"/>
        <v>Q1 2022</v>
      </c>
    </row>
    <row r="1810" spans="1:12" ht="15.75" customHeight="1" x14ac:dyDescent="0.3">
      <c r="A1810" s="2" t="s">
        <v>2823</v>
      </c>
      <c r="B1810" s="2" t="s">
        <v>11</v>
      </c>
      <c r="C1810" s="2" t="s">
        <v>12</v>
      </c>
      <c r="D1810" s="2" t="s">
        <v>2408</v>
      </c>
      <c r="E1810" s="2" t="s">
        <v>80</v>
      </c>
      <c r="F1810" s="2" t="s">
        <v>2824</v>
      </c>
      <c r="G1810" s="4">
        <v>118618</v>
      </c>
      <c r="H1810" s="5" t="s">
        <v>585</v>
      </c>
      <c r="I1810" s="4">
        <v>0</v>
      </c>
      <c r="J1810" s="6">
        <v>44601</v>
      </c>
      <c r="K1810" t="str">
        <f t="shared" si="56"/>
        <v>Q1 2022</v>
      </c>
      <c r="L1810" t="str">
        <f t="shared" si="57"/>
        <v>Q1 2022</v>
      </c>
    </row>
    <row r="1811" spans="1:12" ht="15.75" customHeight="1" x14ac:dyDescent="0.3">
      <c r="A1811" s="2" t="s">
        <v>2825</v>
      </c>
      <c r="B1811" s="2" t="s">
        <v>11</v>
      </c>
      <c r="C1811" s="2" t="s">
        <v>12</v>
      </c>
      <c r="D1811" s="2" t="s">
        <v>2408</v>
      </c>
      <c r="E1811" s="2" t="s">
        <v>80</v>
      </c>
      <c r="F1811" s="2" t="s">
        <v>2752</v>
      </c>
      <c r="G1811" s="4">
        <v>39469</v>
      </c>
      <c r="H1811" s="5" t="s">
        <v>42</v>
      </c>
      <c r="I1811" s="4">
        <v>0</v>
      </c>
      <c r="J1811" s="6">
        <v>44603</v>
      </c>
      <c r="K1811" t="str">
        <f t="shared" si="56"/>
        <v>Q1 2022</v>
      </c>
      <c r="L1811" t="str">
        <f t="shared" si="57"/>
        <v>Q1 2022</v>
      </c>
    </row>
    <row r="1812" spans="1:12" ht="15.75" customHeight="1" x14ac:dyDescent="0.3">
      <c r="A1812" s="2" t="s">
        <v>2826</v>
      </c>
      <c r="B1812" s="2" t="s">
        <v>11</v>
      </c>
      <c r="C1812" s="2" t="s">
        <v>12</v>
      </c>
      <c r="D1812" s="2" t="s">
        <v>2408</v>
      </c>
      <c r="E1812" s="2" t="s">
        <v>80</v>
      </c>
      <c r="F1812" s="2" t="s">
        <v>2827</v>
      </c>
      <c r="G1812" s="4">
        <v>82571</v>
      </c>
      <c r="H1812" s="5" t="s">
        <v>71</v>
      </c>
      <c r="I1812" s="4">
        <v>0</v>
      </c>
      <c r="J1812" s="6">
        <v>44603</v>
      </c>
      <c r="K1812" t="str">
        <f t="shared" si="56"/>
        <v>Q1 2022</v>
      </c>
      <c r="L1812" t="str">
        <f t="shared" si="57"/>
        <v>Q1 2022</v>
      </c>
    </row>
    <row r="1813" spans="1:12" ht="15.75" customHeight="1" x14ac:dyDescent="0.3">
      <c r="A1813" s="2" t="s">
        <v>2828</v>
      </c>
      <c r="B1813" s="2" t="s">
        <v>20</v>
      </c>
      <c r="C1813" s="2" t="s">
        <v>21</v>
      </c>
      <c r="D1813" s="2" t="s">
        <v>2408</v>
      </c>
      <c r="E1813" s="2" t="s">
        <v>80</v>
      </c>
      <c r="F1813" s="2" t="s">
        <v>2436</v>
      </c>
      <c r="G1813" s="4">
        <v>77576</v>
      </c>
      <c r="H1813" s="6">
        <v>44567</v>
      </c>
      <c r="I1813" s="4">
        <v>11082</v>
      </c>
      <c r="J1813" s="6">
        <v>44871</v>
      </c>
      <c r="K1813" t="str">
        <f t="shared" si="56"/>
        <v>Q4 2022</v>
      </c>
      <c r="L1813" t="str">
        <f t="shared" si="57"/>
        <v>Q4 2022</v>
      </c>
    </row>
    <row r="1814" spans="1:12" ht="15.75" customHeight="1" x14ac:dyDescent="0.3">
      <c r="A1814" s="2" t="s">
        <v>2829</v>
      </c>
      <c r="B1814" s="2" t="s">
        <v>11</v>
      </c>
      <c r="C1814" s="2" t="s">
        <v>12</v>
      </c>
      <c r="D1814" s="2" t="s">
        <v>2408</v>
      </c>
      <c r="E1814" s="2" t="s">
        <v>80</v>
      </c>
      <c r="F1814" s="2" t="s">
        <v>46</v>
      </c>
      <c r="G1814" s="4">
        <v>80519</v>
      </c>
      <c r="H1814" s="6">
        <v>44598</v>
      </c>
      <c r="I1814" s="4">
        <v>0</v>
      </c>
      <c r="J1814" s="6">
        <v>44599</v>
      </c>
      <c r="K1814" t="str">
        <f t="shared" si="56"/>
        <v>Q1 2022</v>
      </c>
      <c r="L1814" t="str">
        <f t="shared" si="57"/>
        <v>Q1 2022</v>
      </c>
    </row>
    <row r="1815" spans="1:12" ht="15.75" customHeight="1" x14ac:dyDescent="0.3">
      <c r="A1815" s="2" t="s">
        <v>2830</v>
      </c>
      <c r="B1815" s="2" t="s">
        <v>11</v>
      </c>
      <c r="C1815" s="2" t="s">
        <v>12</v>
      </c>
      <c r="D1815" s="2" t="s">
        <v>2408</v>
      </c>
      <c r="E1815" s="2" t="s">
        <v>80</v>
      </c>
      <c r="F1815" s="2" t="s">
        <v>2831</v>
      </c>
      <c r="G1815" s="4">
        <v>157835</v>
      </c>
      <c r="H1815" s="5" t="s">
        <v>282</v>
      </c>
      <c r="I1815" s="4">
        <v>0</v>
      </c>
      <c r="J1815" s="6">
        <v>44599</v>
      </c>
      <c r="K1815" t="str">
        <f t="shared" si="56"/>
        <v>Q1 2022</v>
      </c>
      <c r="L1815" t="str">
        <f t="shared" si="57"/>
        <v>Q1 2022</v>
      </c>
    </row>
    <row r="1816" spans="1:12" ht="15.75" customHeight="1" x14ac:dyDescent="0.3">
      <c r="A1816" s="2" t="s">
        <v>2832</v>
      </c>
      <c r="B1816" s="2" t="s">
        <v>11</v>
      </c>
      <c r="C1816" s="2" t="s">
        <v>12</v>
      </c>
      <c r="D1816" s="2" t="s">
        <v>2408</v>
      </c>
      <c r="E1816" s="2" t="s">
        <v>80</v>
      </c>
      <c r="F1816" s="2" t="s">
        <v>2833</v>
      </c>
      <c r="G1816" s="4">
        <v>58486</v>
      </c>
      <c r="H1816" s="5" t="s">
        <v>42</v>
      </c>
      <c r="I1816" s="4">
        <v>0</v>
      </c>
      <c r="J1816" s="6">
        <v>44603</v>
      </c>
      <c r="K1816" t="str">
        <f t="shared" si="56"/>
        <v>Q1 2022</v>
      </c>
      <c r="L1816" t="str">
        <f t="shared" si="57"/>
        <v>Q1 2022</v>
      </c>
    </row>
    <row r="1817" spans="1:12" ht="15.75" customHeight="1" x14ac:dyDescent="0.3">
      <c r="A1817" s="2" t="s">
        <v>2834</v>
      </c>
      <c r="B1817" s="2" t="s">
        <v>11</v>
      </c>
      <c r="C1817" s="2" t="s">
        <v>12</v>
      </c>
      <c r="D1817" s="2" t="s">
        <v>2408</v>
      </c>
      <c r="E1817" s="2" t="s">
        <v>80</v>
      </c>
      <c r="F1817" s="2" t="s">
        <v>2835</v>
      </c>
      <c r="G1817" s="4">
        <v>353255</v>
      </c>
      <c r="H1817" s="5" t="s">
        <v>25</v>
      </c>
      <c r="I1817" s="4">
        <v>0</v>
      </c>
      <c r="J1817" s="6">
        <v>44603</v>
      </c>
      <c r="K1817" t="str">
        <f t="shared" si="56"/>
        <v>Q1 2022</v>
      </c>
      <c r="L1817" t="str">
        <f t="shared" si="57"/>
        <v>Q1 2022</v>
      </c>
    </row>
    <row r="1818" spans="1:12" ht="15.75" customHeight="1" x14ac:dyDescent="0.3">
      <c r="A1818" s="2" t="s">
        <v>2836</v>
      </c>
      <c r="B1818" s="2" t="s">
        <v>11</v>
      </c>
      <c r="C1818" s="2" t="s">
        <v>12</v>
      </c>
      <c r="D1818" s="2" t="s">
        <v>2408</v>
      </c>
      <c r="E1818" s="2" t="s">
        <v>80</v>
      </c>
      <c r="F1818" s="2" t="s">
        <v>2837</v>
      </c>
      <c r="G1818" s="4">
        <v>157349</v>
      </c>
      <c r="H1818" s="6">
        <v>44867</v>
      </c>
      <c r="I1818" s="4">
        <v>0</v>
      </c>
      <c r="J1818" s="6">
        <v>44596</v>
      </c>
      <c r="K1818" t="str">
        <f t="shared" si="56"/>
        <v>Q1 2022</v>
      </c>
      <c r="L1818" t="str">
        <f t="shared" si="57"/>
        <v>Q1 2022</v>
      </c>
    </row>
    <row r="1819" spans="1:12" ht="15.75" customHeight="1" x14ac:dyDescent="0.3">
      <c r="A1819" s="2" t="s">
        <v>2838</v>
      </c>
      <c r="B1819" s="2" t="s">
        <v>11</v>
      </c>
      <c r="C1819" s="2" t="s">
        <v>12</v>
      </c>
      <c r="D1819" s="2" t="s">
        <v>2408</v>
      </c>
      <c r="E1819" s="2" t="s">
        <v>80</v>
      </c>
      <c r="F1819" s="2" t="s">
        <v>2839</v>
      </c>
      <c r="G1819" s="4">
        <v>202460</v>
      </c>
      <c r="H1819" s="5" t="s">
        <v>195</v>
      </c>
      <c r="I1819" s="4">
        <v>0</v>
      </c>
      <c r="J1819" s="6">
        <v>44625</v>
      </c>
      <c r="K1819" t="str">
        <f t="shared" si="56"/>
        <v>Q1 2022</v>
      </c>
      <c r="L1819" t="str">
        <f t="shared" si="57"/>
        <v>Q1 2022</v>
      </c>
    </row>
    <row r="1820" spans="1:12" ht="15.75" customHeight="1" x14ac:dyDescent="0.3">
      <c r="A1820" s="2" t="s">
        <v>2840</v>
      </c>
      <c r="B1820" s="2" t="s">
        <v>11</v>
      </c>
      <c r="C1820" s="2" t="s">
        <v>12</v>
      </c>
      <c r="D1820" s="2" t="s">
        <v>2408</v>
      </c>
      <c r="E1820" s="2" t="s">
        <v>80</v>
      </c>
      <c r="F1820" s="2" t="s">
        <v>2841</v>
      </c>
      <c r="G1820" s="2"/>
      <c r="H1820" s="5" t="s">
        <v>123</v>
      </c>
      <c r="I1820" s="4">
        <v>0</v>
      </c>
      <c r="J1820" s="6">
        <v>44594</v>
      </c>
      <c r="K1820" t="str">
        <f t="shared" si="56"/>
        <v>Q1 2022</v>
      </c>
      <c r="L1820" t="str">
        <f t="shared" si="57"/>
        <v>Q1 2022</v>
      </c>
    </row>
    <row r="1821" spans="1:12" ht="15.75" customHeight="1" x14ac:dyDescent="0.3">
      <c r="A1821" s="2" t="s">
        <v>2842</v>
      </c>
      <c r="B1821" s="2" t="s">
        <v>11</v>
      </c>
      <c r="C1821" s="2" t="s">
        <v>12</v>
      </c>
      <c r="D1821" s="2" t="s">
        <v>2408</v>
      </c>
      <c r="E1821" s="2" t="s">
        <v>80</v>
      </c>
      <c r="F1821" s="2" t="s">
        <v>2843</v>
      </c>
      <c r="G1821" s="4">
        <v>152450</v>
      </c>
      <c r="H1821" s="5" t="s">
        <v>25</v>
      </c>
      <c r="I1821" s="4">
        <v>0</v>
      </c>
      <c r="J1821" s="6">
        <v>44603</v>
      </c>
      <c r="K1821" t="str">
        <f t="shared" si="56"/>
        <v>Q1 2022</v>
      </c>
      <c r="L1821" t="str">
        <f t="shared" si="57"/>
        <v>Q1 2022</v>
      </c>
    </row>
    <row r="1822" spans="1:12" ht="15.75" customHeight="1" x14ac:dyDescent="0.3">
      <c r="A1822" s="2" t="s">
        <v>2844</v>
      </c>
      <c r="B1822" s="2" t="s">
        <v>11</v>
      </c>
      <c r="C1822" s="2" t="s">
        <v>12</v>
      </c>
      <c r="D1822" s="2" t="s">
        <v>2408</v>
      </c>
      <c r="E1822" s="2" t="s">
        <v>80</v>
      </c>
      <c r="F1822" s="2" t="s">
        <v>2453</v>
      </c>
      <c r="G1822" s="4">
        <v>157857</v>
      </c>
      <c r="H1822" s="5" t="s">
        <v>42</v>
      </c>
      <c r="I1822" s="4">
        <v>0</v>
      </c>
      <c r="J1822" s="6">
        <v>44603</v>
      </c>
      <c r="K1822" t="str">
        <f t="shared" si="56"/>
        <v>Q1 2022</v>
      </c>
      <c r="L1822" t="str">
        <f t="shared" si="57"/>
        <v>Q1 2022</v>
      </c>
    </row>
    <row r="1823" spans="1:12" ht="15.75" customHeight="1" x14ac:dyDescent="0.3">
      <c r="A1823" s="2" t="s">
        <v>2845</v>
      </c>
      <c r="B1823" s="2" t="s">
        <v>11</v>
      </c>
      <c r="C1823" s="2" t="s">
        <v>12</v>
      </c>
      <c r="D1823" s="2" t="s">
        <v>2408</v>
      </c>
      <c r="E1823" s="2" t="s">
        <v>80</v>
      </c>
      <c r="F1823" s="2" t="s">
        <v>2846</v>
      </c>
      <c r="G1823" s="4">
        <v>76357</v>
      </c>
      <c r="H1823" s="6">
        <v>44629</v>
      </c>
      <c r="I1823" s="4">
        <v>0</v>
      </c>
      <c r="J1823" s="6">
        <v>44603</v>
      </c>
      <c r="K1823" t="str">
        <f t="shared" si="56"/>
        <v>Q1 2022</v>
      </c>
      <c r="L1823" t="str">
        <f t="shared" si="57"/>
        <v>Q1 2022</v>
      </c>
    </row>
    <row r="1824" spans="1:12" ht="15.75" customHeight="1" x14ac:dyDescent="0.3">
      <c r="A1824" s="2" t="s">
        <v>2847</v>
      </c>
      <c r="B1824" s="2" t="s">
        <v>11</v>
      </c>
      <c r="C1824" s="2" t="s">
        <v>12</v>
      </c>
      <c r="D1824" s="2" t="s">
        <v>2408</v>
      </c>
      <c r="E1824" s="2" t="s">
        <v>80</v>
      </c>
      <c r="F1824" s="2" t="s">
        <v>2848</v>
      </c>
      <c r="G1824" s="2"/>
      <c r="H1824" s="6">
        <v>44625</v>
      </c>
      <c r="I1824" s="4">
        <v>0</v>
      </c>
      <c r="J1824" s="6">
        <v>44598</v>
      </c>
      <c r="K1824" t="str">
        <f t="shared" si="56"/>
        <v>Q1 2022</v>
      </c>
      <c r="L1824" t="str">
        <f t="shared" si="57"/>
        <v>Q1 2022</v>
      </c>
    </row>
    <row r="1825" spans="1:12" ht="15.75" customHeight="1" x14ac:dyDescent="0.3">
      <c r="A1825" s="2" t="s">
        <v>2849</v>
      </c>
      <c r="B1825" s="2" t="s">
        <v>11</v>
      </c>
      <c r="C1825" s="2" t="s">
        <v>12</v>
      </c>
      <c r="D1825" s="2" t="s">
        <v>2408</v>
      </c>
      <c r="E1825" s="2" t="s">
        <v>80</v>
      </c>
      <c r="F1825" s="2" t="s">
        <v>2850</v>
      </c>
      <c r="G1825" s="4">
        <v>202429</v>
      </c>
      <c r="H1825" s="5" t="s">
        <v>16</v>
      </c>
      <c r="I1825" s="4">
        <v>0</v>
      </c>
      <c r="J1825" s="6">
        <v>44596</v>
      </c>
      <c r="K1825" t="str">
        <f t="shared" si="56"/>
        <v>Q1 2022</v>
      </c>
      <c r="L1825" t="str">
        <f t="shared" si="57"/>
        <v>Q1 2022</v>
      </c>
    </row>
    <row r="1826" spans="1:12" ht="15.75" customHeight="1" x14ac:dyDescent="0.3">
      <c r="A1826" s="2" t="s">
        <v>2851</v>
      </c>
      <c r="B1826" s="2" t="s">
        <v>11</v>
      </c>
      <c r="C1826" s="2" t="s">
        <v>12</v>
      </c>
      <c r="D1826" s="2" t="s">
        <v>2408</v>
      </c>
      <c r="E1826" s="2" t="s">
        <v>80</v>
      </c>
      <c r="F1826" s="2" t="s">
        <v>2852</v>
      </c>
      <c r="G1826" s="4">
        <v>352859</v>
      </c>
      <c r="H1826" s="5" t="s">
        <v>25</v>
      </c>
      <c r="I1826" s="4">
        <v>0</v>
      </c>
      <c r="J1826" s="6">
        <v>44603</v>
      </c>
      <c r="K1826" t="str">
        <f t="shared" si="56"/>
        <v>Q1 2022</v>
      </c>
      <c r="L1826" t="str">
        <f t="shared" si="57"/>
        <v>Q1 2022</v>
      </c>
    </row>
    <row r="1827" spans="1:12" ht="15.75" customHeight="1" x14ac:dyDescent="0.3">
      <c r="A1827" s="2" t="s">
        <v>2853</v>
      </c>
      <c r="B1827" s="2" t="s">
        <v>11</v>
      </c>
      <c r="C1827" s="2" t="s">
        <v>12</v>
      </c>
      <c r="D1827" s="2" t="s">
        <v>2408</v>
      </c>
      <c r="E1827" s="2" t="s">
        <v>80</v>
      </c>
      <c r="F1827" s="2" t="s">
        <v>2854</v>
      </c>
      <c r="G1827" s="4">
        <v>77466</v>
      </c>
      <c r="H1827" s="5" t="s">
        <v>71</v>
      </c>
      <c r="I1827" s="4">
        <v>0</v>
      </c>
      <c r="J1827" s="6">
        <v>44603</v>
      </c>
      <c r="K1827" t="str">
        <f t="shared" si="56"/>
        <v>Q1 2022</v>
      </c>
      <c r="L1827" t="str">
        <f t="shared" si="57"/>
        <v>Q1 2022</v>
      </c>
    </row>
    <row r="1828" spans="1:12" ht="15.75" customHeight="1" x14ac:dyDescent="0.3">
      <c r="A1828" s="2" t="s">
        <v>2855</v>
      </c>
      <c r="B1828" s="2" t="s">
        <v>11</v>
      </c>
      <c r="C1828" s="2" t="s">
        <v>12</v>
      </c>
      <c r="D1828" s="2" t="s">
        <v>2408</v>
      </c>
      <c r="E1828" s="2" t="s">
        <v>80</v>
      </c>
      <c r="F1828" s="2" t="s">
        <v>2720</v>
      </c>
      <c r="G1828" s="4">
        <v>101567</v>
      </c>
      <c r="H1828" s="5" t="s">
        <v>25</v>
      </c>
      <c r="I1828" s="4">
        <v>0</v>
      </c>
      <c r="J1828" s="6">
        <v>44603</v>
      </c>
      <c r="K1828" t="str">
        <f t="shared" si="56"/>
        <v>Q1 2022</v>
      </c>
      <c r="L1828" t="str">
        <f t="shared" si="57"/>
        <v>Q1 2022</v>
      </c>
    </row>
    <row r="1829" spans="1:12" ht="15.75" customHeight="1" x14ac:dyDescent="0.3">
      <c r="A1829" s="2" t="s">
        <v>2856</v>
      </c>
      <c r="B1829" s="2" t="s">
        <v>11</v>
      </c>
      <c r="C1829" s="2" t="s">
        <v>12</v>
      </c>
      <c r="D1829" s="2" t="s">
        <v>2408</v>
      </c>
      <c r="E1829" s="2" t="s">
        <v>80</v>
      </c>
      <c r="F1829" s="2" t="s">
        <v>2857</v>
      </c>
      <c r="G1829" s="4">
        <v>113679</v>
      </c>
      <c r="H1829" s="5" t="s">
        <v>30</v>
      </c>
      <c r="I1829" s="4">
        <v>0</v>
      </c>
      <c r="J1829" s="6">
        <v>44603</v>
      </c>
      <c r="K1829" t="str">
        <f t="shared" si="56"/>
        <v>Q1 2022</v>
      </c>
      <c r="L1829" t="str">
        <f t="shared" si="57"/>
        <v>Q1 2022</v>
      </c>
    </row>
    <row r="1830" spans="1:12" ht="15.75" customHeight="1" x14ac:dyDescent="0.3">
      <c r="A1830" s="2" t="s">
        <v>2858</v>
      </c>
      <c r="B1830" s="2" t="s">
        <v>20</v>
      </c>
      <c r="C1830" s="2" t="s">
        <v>21</v>
      </c>
      <c r="D1830" s="2" t="s">
        <v>2408</v>
      </c>
      <c r="E1830" s="2" t="s">
        <v>80</v>
      </c>
      <c r="F1830" s="2" t="s">
        <v>2859</v>
      </c>
      <c r="G1830" s="4">
        <v>62175</v>
      </c>
      <c r="H1830" s="5" t="s">
        <v>1195</v>
      </c>
      <c r="I1830" s="4">
        <v>31087</v>
      </c>
      <c r="J1830" s="5" t="s">
        <v>301</v>
      </c>
      <c r="K1830" t="str">
        <f t="shared" si="56"/>
        <v>Q4 2022</v>
      </c>
      <c r="L1830" t="str">
        <f t="shared" si="57"/>
        <v>Q4 2022</v>
      </c>
    </row>
    <row r="1831" spans="1:12" ht="15.75" customHeight="1" x14ac:dyDescent="0.3">
      <c r="A1831" s="2" t="s">
        <v>2860</v>
      </c>
      <c r="B1831" s="2" t="s">
        <v>11</v>
      </c>
      <c r="C1831" s="2" t="s">
        <v>12</v>
      </c>
      <c r="D1831" s="2" t="s">
        <v>2408</v>
      </c>
      <c r="E1831" s="2" t="s">
        <v>80</v>
      </c>
      <c r="F1831" s="2" t="s">
        <v>2542</v>
      </c>
      <c r="G1831" s="4">
        <v>160792</v>
      </c>
      <c r="H1831" s="5" t="s">
        <v>82</v>
      </c>
      <c r="I1831" s="4">
        <v>0</v>
      </c>
      <c r="J1831" s="6">
        <v>44596</v>
      </c>
      <c r="K1831" t="str">
        <f t="shared" si="56"/>
        <v>Q1 2022</v>
      </c>
      <c r="L1831" t="str">
        <f t="shared" si="57"/>
        <v>Q1 2022</v>
      </c>
    </row>
    <row r="1832" spans="1:12" ht="15.75" customHeight="1" x14ac:dyDescent="0.3">
      <c r="A1832" s="2" t="s">
        <v>2861</v>
      </c>
      <c r="B1832" s="2" t="s">
        <v>11</v>
      </c>
      <c r="C1832" s="2" t="s">
        <v>12</v>
      </c>
      <c r="D1832" s="2" t="s">
        <v>2408</v>
      </c>
      <c r="E1832" s="2" t="s">
        <v>80</v>
      </c>
      <c r="F1832" s="2" t="s">
        <v>2463</v>
      </c>
      <c r="G1832" s="4">
        <v>100538</v>
      </c>
      <c r="H1832" s="5" t="s">
        <v>197</v>
      </c>
      <c r="I1832" s="4">
        <v>0</v>
      </c>
      <c r="J1832" s="6">
        <v>44602</v>
      </c>
      <c r="K1832" t="str">
        <f t="shared" si="56"/>
        <v>Q1 2022</v>
      </c>
      <c r="L1832" t="str">
        <f t="shared" si="57"/>
        <v>Q1 2022</v>
      </c>
    </row>
    <row r="1833" spans="1:12" ht="15.75" customHeight="1" x14ac:dyDescent="0.3">
      <c r="A1833" s="2" t="s">
        <v>2862</v>
      </c>
      <c r="B1833" s="2" t="s">
        <v>11</v>
      </c>
      <c r="C1833" s="2" t="s">
        <v>12</v>
      </c>
      <c r="D1833" s="2" t="s">
        <v>2408</v>
      </c>
      <c r="E1833" s="2" t="s">
        <v>80</v>
      </c>
      <c r="F1833" s="2" t="s">
        <v>2730</v>
      </c>
      <c r="G1833" s="4">
        <v>77108</v>
      </c>
      <c r="H1833" s="5" t="s">
        <v>71</v>
      </c>
      <c r="I1833" s="4">
        <v>0</v>
      </c>
      <c r="J1833" s="6">
        <v>44603</v>
      </c>
      <c r="K1833" t="str">
        <f t="shared" si="56"/>
        <v>Q1 2022</v>
      </c>
      <c r="L1833" t="str">
        <f t="shared" si="57"/>
        <v>Q1 2022</v>
      </c>
    </row>
    <row r="1834" spans="1:12" ht="15.75" customHeight="1" x14ac:dyDescent="0.3">
      <c r="A1834" s="2" t="s">
        <v>2863</v>
      </c>
      <c r="B1834" s="2" t="s">
        <v>11</v>
      </c>
      <c r="C1834" s="2" t="s">
        <v>12</v>
      </c>
      <c r="D1834" s="2" t="s">
        <v>2408</v>
      </c>
      <c r="E1834" s="2" t="s">
        <v>80</v>
      </c>
      <c r="F1834" s="2" t="s">
        <v>2864</v>
      </c>
      <c r="G1834" s="4">
        <v>119329</v>
      </c>
      <c r="H1834" s="5" t="s">
        <v>25</v>
      </c>
      <c r="I1834" s="4">
        <v>0</v>
      </c>
      <c r="J1834" s="6">
        <v>44603</v>
      </c>
      <c r="K1834" t="str">
        <f t="shared" si="56"/>
        <v>Q1 2022</v>
      </c>
      <c r="L1834" t="str">
        <f t="shared" si="57"/>
        <v>Q1 2022</v>
      </c>
    </row>
    <row r="1835" spans="1:12" ht="15.75" customHeight="1" x14ac:dyDescent="0.3">
      <c r="A1835" s="2" t="s">
        <v>2865</v>
      </c>
      <c r="B1835" s="2" t="s">
        <v>11</v>
      </c>
      <c r="C1835" s="2" t="s">
        <v>12</v>
      </c>
      <c r="D1835" s="2" t="s">
        <v>2408</v>
      </c>
      <c r="E1835" s="2" t="s">
        <v>80</v>
      </c>
      <c r="F1835" s="2" t="s">
        <v>2866</v>
      </c>
      <c r="G1835" s="4">
        <v>151291</v>
      </c>
      <c r="H1835" s="5" t="s">
        <v>16</v>
      </c>
      <c r="I1835" s="4">
        <v>0</v>
      </c>
      <c r="J1835" s="6">
        <v>44597</v>
      </c>
      <c r="K1835" t="str">
        <f t="shared" si="56"/>
        <v>Q1 2022</v>
      </c>
      <c r="L1835" t="str">
        <f t="shared" si="57"/>
        <v>Q1 2022</v>
      </c>
    </row>
    <row r="1836" spans="1:12" ht="15.75" customHeight="1" x14ac:dyDescent="0.3">
      <c r="A1836" s="2" t="s">
        <v>2867</v>
      </c>
      <c r="B1836" s="2" t="s">
        <v>20</v>
      </c>
      <c r="C1836" s="2" t="s">
        <v>21</v>
      </c>
      <c r="D1836" s="2" t="s">
        <v>2408</v>
      </c>
      <c r="E1836" s="2" t="s">
        <v>80</v>
      </c>
      <c r="F1836" s="2" t="s">
        <v>2547</v>
      </c>
      <c r="G1836" s="4">
        <v>139026</v>
      </c>
      <c r="H1836" s="6">
        <v>44563</v>
      </c>
      <c r="I1836" s="4">
        <v>69513</v>
      </c>
      <c r="J1836" s="5" t="s">
        <v>82</v>
      </c>
      <c r="K1836" t="str">
        <f t="shared" si="56"/>
        <v>Q1 2022</v>
      </c>
      <c r="L1836" t="str">
        <f t="shared" si="57"/>
        <v>Q1 2022</v>
      </c>
    </row>
    <row r="1837" spans="1:12" ht="15.75" customHeight="1" x14ac:dyDescent="0.3">
      <c r="A1837" s="2" t="s">
        <v>2868</v>
      </c>
      <c r="B1837" s="2" t="s">
        <v>11</v>
      </c>
      <c r="C1837" s="2" t="s">
        <v>12</v>
      </c>
      <c r="D1837" s="2" t="s">
        <v>2408</v>
      </c>
      <c r="E1837" s="2" t="s">
        <v>80</v>
      </c>
      <c r="F1837" s="2" t="s">
        <v>2869</v>
      </c>
      <c r="G1837" s="4">
        <v>76408</v>
      </c>
      <c r="H1837" s="5" t="s">
        <v>137</v>
      </c>
      <c r="I1837" s="4">
        <v>0</v>
      </c>
      <c r="J1837" s="6">
        <v>44599</v>
      </c>
      <c r="K1837" t="str">
        <f t="shared" si="56"/>
        <v>Q1 2022</v>
      </c>
      <c r="L1837" t="str">
        <f t="shared" si="57"/>
        <v>Q1 2022</v>
      </c>
    </row>
    <row r="1838" spans="1:12" ht="15.75" customHeight="1" x14ac:dyDescent="0.3">
      <c r="A1838" s="2" t="s">
        <v>2870</v>
      </c>
      <c r="B1838" s="2" t="s">
        <v>11</v>
      </c>
      <c r="C1838" s="2" t="s">
        <v>12</v>
      </c>
      <c r="D1838" s="2" t="s">
        <v>2408</v>
      </c>
      <c r="E1838" s="2" t="s">
        <v>80</v>
      </c>
      <c r="F1838" s="2" t="s">
        <v>2871</v>
      </c>
      <c r="G1838" s="4">
        <v>118935</v>
      </c>
      <c r="H1838" s="6">
        <v>44629</v>
      </c>
      <c r="I1838" s="4">
        <v>0</v>
      </c>
      <c r="J1838" s="6">
        <v>44603</v>
      </c>
      <c r="K1838" t="str">
        <f t="shared" si="56"/>
        <v>Q1 2022</v>
      </c>
      <c r="L1838" t="str">
        <f t="shared" si="57"/>
        <v>Q1 2022</v>
      </c>
    </row>
    <row r="1839" spans="1:12" ht="15.75" customHeight="1" x14ac:dyDescent="0.3">
      <c r="A1839" s="2" t="s">
        <v>2872</v>
      </c>
      <c r="B1839" s="2" t="s">
        <v>11</v>
      </c>
      <c r="C1839" s="2" t="s">
        <v>12</v>
      </c>
      <c r="D1839" s="2" t="s">
        <v>2408</v>
      </c>
      <c r="E1839" s="2" t="s">
        <v>80</v>
      </c>
      <c r="F1839" s="2" t="s">
        <v>2436</v>
      </c>
      <c r="G1839" s="4">
        <v>100534</v>
      </c>
      <c r="H1839" s="6">
        <v>45201</v>
      </c>
      <c r="I1839" s="4">
        <v>0</v>
      </c>
      <c r="J1839" s="6">
        <v>44960</v>
      </c>
      <c r="K1839" t="str">
        <f t="shared" si="56"/>
        <v>Q1 2023</v>
      </c>
      <c r="L1839" t="str">
        <f t="shared" si="57"/>
        <v>Q1 2023</v>
      </c>
    </row>
    <row r="1840" spans="1:12" ht="15.75" customHeight="1" x14ac:dyDescent="0.3">
      <c r="A1840" s="2" t="s">
        <v>2873</v>
      </c>
      <c r="B1840" s="2" t="s">
        <v>11</v>
      </c>
      <c r="C1840" s="2" t="s">
        <v>12</v>
      </c>
      <c r="D1840" s="2" t="s">
        <v>2408</v>
      </c>
      <c r="E1840" s="2" t="s">
        <v>80</v>
      </c>
      <c r="F1840" s="2" t="s">
        <v>2436</v>
      </c>
      <c r="G1840" s="4">
        <v>121681</v>
      </c>
      <c r="H1840" s="5" t="s">
        <v>419</v>
      </c>
      <c r="I1840" s="4">
        <v>0</v>
      </c>
      <c r="J1840" s="6">
        <v>44962</v>
      </c>
      <c r="K1840" t="str">
        <f t="shared" si="56"/>
        <v>Q1 2023</v>
      </c>
      <c r="L1840" t="str">
        <f t="shared" si="57"/>
        <v>Q1 2023</v>
      </c>
    </row>
    <row r="1841" spans="1:12" ht="15.75" customHeight="1" x14ac:dyDescent="0.3">
      <c r="A1841" s="2" t="s">
        <v>2874</v>
      </c>
      <c r="B1841" s="2" t="s">
        <v>11</v>
      </c>
      <c r="C1841" s="2" t="s">
        <v>12</v>
      </c>
      <c r="D1841" s="2" t="s">
        <v>2408</v>
      </c>
      <c r="E1841" s="2" t="s">
        <v>80</v>
      </c>
      <c r="F1841" s="2" t="s">
        <v>2605</v>
      </c>
      <c r="G1841" s="4">
        <v>152450</v>
      </c>
      <c r="H1841" s="5" t="s">
        <v>25</v>
      </c>
      <c r="I1841" s="4">
        <v>0</v>
      </c>
      <c r="J1841" s="6">
        <v>44603</v>
      </c>
      <c r="K1841" t="str">
        <f t="shared" si="56"/>
        <v>Q1 2022</v>
      </c>
      <c r="L1841" t="str">
        <f t="shared" si="57"/>
        <v>Q1 2022</v>
      </c>
    </row>
    <row r="1842" spans="1:12" ht="15.75" customHeight="1" x14ac:dyDescent="0.3">
      <c r="A1842" s="2" t="s">
        <v>2875</v>
      </c>
      <c r="B1842" s="2" t="s">
        <v>11</v>
      </c>
      <c r="C1842" s="2" t="s">
        <v>12</v>
      </c>
      <c r="D1842" s="2" t="s">
        <v>2408</v>
      </c>
      <c r="E1842" s="2" t="s">
        <v>80</v>
      </c>
      <c r="F1842" s="2" t="s">
        <v>2876</v>
      </c>
      <c r="G1842" s="4">
        <v>97501</v>
      </c>
      <c r="H1842" s="6">
        <v>44629</v>
      </c>
      <c r="I1842" s="4">
        <v>0</v>
      </c>
      <c r="J1842" s="6">
        <v>44603</v>
      </c>
      <c r="K1842" t="str">
        <f t="shared" si="56"/>
        <v>Q1 2022</v>
      </c>
      <c r="L1842" t="str">
        <f t="shared" si="57"/>
        <v>Q1 2022</v>
      </c>
    </row>
    <row r="1843" spans="1:12" ht="15.75" customHeight="1" x14ac:dyDescent="0.3">
      <c r="A1843" s="2" t="s">
        <v>2877</v>
      </c>
      <c r="B1843" s="2" t="s">
        <v>11</v>
      </c>
      <c r="C1843" s="2" t="s">
        <v>12</v>
      </c>
      <c r="D1843" s="2" t="s">
        <v>2408</v>
      </c>
      <c r="E1843" s="2" t="s">
        <v>80</v>
      </c>
      <c r="F1843" s="2" t="s">
        <v>2878</v>
      </c>
      <c r="G1843" s="4">
        <v>69532</v>
      </c>
      <c r="H1843" s="5" t="s">
        <v>16</v>
      </c>
      <c r="I1843" s="4">
        <v>0</v>
      </c>
      <c r="J1843" s="6">
        <v>44597</v>
      </c>
      <c r="K1843" t="str">
        <f t="shared" si="56"/>
        <v>Q1 2022</v>
      </c>
      <c r="L1843" t="str">
        <f t="shared" si="57"/>
        <v>Q1 2022</v>
      </c>
    </row>
    <row r="1844" spans="1:12" ht="15.75" customHeight="1" x14ac:dyDescent="0.3">
      <c r="A1844" s="2" t="s">
        <v>2879</v>
      </c>
      <c r="B1844" s="2" t="s">
        <v>11</v>
      </c>
      <c r="C1844" s="2" t="s">
        <v>12</v>
      </c>
      <c r="D1844" s="2" t="s">
        <v>2408</v>
      </c>
      <c r="E1844" s="2" t="s">
        <v>80</v>
      </c>
      <c r="F1844" s="2" t="s">
        <v>2880</v>
      </c>
      <c r="G1844" s="4">
        <v>165164</v>
      </c>
      <c r="H1844" s="5" t="s">
        <v>82</v>
      </c>
      <c r="I1844" s="4">
        <v>0</v>
      </c>
      <c r="J1844" s="6">
        <v>44596</v>
      </c>
      <c r="K1844" t="str">
        <f t="shared" si="56"/>
        <v>Q1 2022</v>
      </c>
      <c r="L1844" t="str">
        <f t="shared" si="57"/>
        <v>Q1 2022</v>
      </c>
    </row>
    <row r="1845" spans="1:12" ht="15.75" customHeight="1" x14ac:dyDescent="0.3">
      <c r="A1845" s="2" t="s">
        <v>2881</v>
      </c>
      <c r="B1845" s="2" t="s">
        <v>11</v>
      </c>
      <c r="C1845" s="2" t="s">
        <v>12</v>
      </c>
      <c r="D1845" s="2" t="s">
        <v>2408</v>
      </c>
      <c r="E1845" s="2" t="s">
        <v>80</v>
      </c>
      <c r="F1845" s="2" t="s">
        <v>353</v>
      </c>
      <c r="G1845" s="2"/>
      <c r="H1845" s="5" t="s">
        <v>314</v>
      </c>
      <c r="I1845" s="4">
        <v>0</v>
      </c>
      <c r="J1845" s="6">
        <v>44961</v>
      </c>
      <c r="K1845" t="str">
        <f t="shared" si="56"/>
        <v>Q1 2023</v>
      </c>
      <c r="L1845" t="str">
        <f t="shared" si="57"/>
        <v>Q1 2023</v>
      </c>
    </row>
    <row r="1846" spans="1:12" ht="15.75" customHeight="1" x14ac:dyDescent="0.3">
      <c r="A1846" s="2" t="s">
        <v>2882</v>
      </c>
      <c r="B1846" s="2" t="s">
        <v>11</v>
      </c>
      <c r="C1846" s="2" t="s">
        <v>12</v>
      </c>
      <c r="D1846" s="2" t="s">
        <v>2408</v>
      </c>
      <c r="E1846" s="2" t="s">
        <v>80</v>
      </c>
      <c r="F1846" s="2" t="s">
        <v>2883</v>
      </c>
      <c r="G1846" s="4">
        <v>174102</v>
      </c>
      <c r="H1846" s="5" t="s">
        <v>71</v>
      </c>
      <c r="I1846" s="4">
        <v>0</v>
      </c>
      <c r="J1846" s="6">
        <v>44603</v>
      </c>
      <c r="K1846" t="str">
        <f t="shared" si="56"/>
        <v>Q1 2022</v>
      </c>
      <c r="L1846" t="str">
        <f t="shared" si="57"/>
        <v>Q1 2022</v>
      </c>
    </row>
    <row r="1847" spans="1:12" ht="15.75" customHeight="1" x14ac:dyDescent="0.3">
      <c r="A1847" s="2" t="s">
        <v>2884</v>
      </c>
      <c r="B1847" s="2" t="s">
        <v>11</v>
      </c>
      <c r="C1847" s="2" t="s">
        <v>12</v>
      </c>
      <c r="D1847" s="2" t="s">
        <v>2408</v>
      </c>
      <c r="E1847" s="2" t="s">
        <v>80</v>
      </c>
      <c r="F1847" s="2" t="s">
        <v>2885</v>
      </c>
      <c r="G1847" s="4">
        <v>76168</v>
      </c>
      <c r="H1847" s="6">
        <v>44901</v>
      </c>
      <c r="I1847" s="4">
        <v>0</v>
      </c>
      <c r="J1847" s="6">
        <v>44599</v>
      </c>
      <c r="K1847" t="str">
        <f t="shared" si="56"/>
        <v>Q1 2022</v>
      </c>
      <c r="L1847" t="str">
        <f t="shared" si="57"/>
        <v>Q1 2022</v>
      </c>
    </row>
    <row r="1848" spans="1:12" ht="15.75" customHeight="1" x14ac:dyDescent="0.3">
      <c r="A1848" s="2" t="s">
        <v>2886</v>
      </c>
      <c r="B1848" s="2" t="s">
        <v>11</v>
      </c>
      <c r="C1848" s="2" t="s">
        <v>12</v>
      </c>
      <c r="D1848" s="2" t="s">
        <v>2408</v>
      </c>
      <c r="E1848" s="2" t="s">
        <v>80</v>
      </c>
      <c r="F1848" s="2" t="s">
        <v>2887</v>
      </c>
      <c r="G1848" s="4">
        <v>136970</v>
      </c>
      <c r="H1848" s="5" t="s">
        <v>116</v>
      </c>
      <c r="I1848" s="4">
        <v>0</v>
      </c>
      <c r="J1848" s="6">
        <v>44959</v>
      </c>
      <c r="K1848" t="str">
        <f t="shared" si="56"/>
        <v>Q1 2023</v>
      </c>
      <c r="L1848" t="str">
        <f t="shared" si="57"/>
        <v>Q1 2023</v>
      </c>
    </row>
    <row r="1849" spans="1:12" ht="15.75" customHeight="1" x14ac:dyDescent="0.3">
      <c r="A1849" s="2" t="s">
        <v>2888</v>
      </c>
      <c r="B1849" s="2" t="s">
        <v>20</v>
      </c>
      <c r="C1849" s="2" t="s">
        <v>21</v>
      </c>
      <c r="D1849" s="2" t="s">
        <v>2408</v>
      </c>
      <c r="E1849" s="2" t="s">
        <v>80</v>
      </c>
      <c r="F1849" s="2" t="s">
        <v>2508</v>
      </c>
      <c r="G1849" s="4">
        <v>62421</v>
      </c>
      <c r="H1849" s="6">
        <v>44839</v>
      </c>
      <c r="I1849" s="4">
        <v>7803</v>
      </c>
      <c r="J1849" s="5" t="s">
        <v>2889</v>
      </c>
      <c r="K1849" t="str">
        <f t="shared" si="56"/>
        <v>Q2 2022</v>
      </c>
      <c r="L1849" t="str">
        <f t="shared" si="57"/>
        <v>Q2 2022</v>
      </c>
    </row>
    <row r="1850" spans="1:12" ht="15.75" customHeight="1" x14ac:dyDescent="0.3">
      <c r="A1850" s="2" t="s">
        <v>2890</v>
      </c>
      <c r="B1850" s="2" t="s">
        <v>11</v>
      </c>
      <c r="C1850" s="2" t="s">
        <v>12</v>
      </c>
      <c r="D1850" s="2" t="s">
        <v>2408</v>
      </c>
      <c r="E1850" s="2" t="s">
        <v>80</v>
      </c>
      <c r="F1850" s="2" t="s">
        <v>2891</v>
      </c>
      <c r="G1850" s="4">
        <v>217224</v>
      </c>
      <c r="H1850" s="5" t="s">
        <v>25</v>
      </c>
      <c r="I1850" s="4">
        <v>0</v>
      </c>
      <c r="J1850" s="6">
        <v>44603</v>
      </c>
      <c r="K1850" t="str">
        <f t="shared" si="56"/>
        <v>Q1 2022</v>
      </c>
      <c r="L1850" t="str">
        <f t="shared" si="57"/>
        <v>Q1 2022</v>
      </c>
    </row>
    <row r="1851" spans="1:12" ht="15.75" customHeight="1" x14ac:dyDescent="0.3">
      <c r="A1851" s="2" t="s">
        <v>2892</v>
      </c>
      <c r="B1851" s="2" t="s">
        <v>11</v>
      </c>
      <c r="C1851" s="2" t="s">
        <v>12</v>
      </c>
      <c r="D1851" s="2" t="s">
        <v>2408</v>
      </c>
      <c r="E1851" s="2" t="s">
        <v>80</v>
      </c>
      <c r="F1851" s="2" t="s">
        <v>2893</v>
      </c>
      <c r="G1851" s="4">
        <v>160901</v>
      </c>
      <c r="H1851" s="6">
        <v>44836</v>
      </c>
      <c r="I1851" s="4">
        <v>0</v>
      </c>
      <c r="J1851" s="6">
        <v>44595</v>
      </c>
      <c r="K1851" t="str">
        <f t="shared" si="56"/>
        <v>Q1 2022</v>
      </c>
      <c r="L1851" t="str">
        <f t="shared" si="57"/>
        <v>Q1 2022</v>
      </c>
    </row>
    <row r="1852" spans="1:12" ht="15.75" customHeight="1" x14ac:dyDescent="0.3">
      <c r="A1852" s="2" t="s">
        <v>2894</v>
      </c>
      <c r="B1852" s="2" t="s">
        <v>11</v>
      </c>
      <c r="C1852" s="2" t="s">
        <v>12</v>
      </c>
      <c r="D1852" s="2" t="s">
        <v>2408</v>
      </c>
      <c r="E1852" s="2" t="s">
        <v>80</v>
      </c>
      <c r="F1852" s="2" t="s">
        <v>46</v>
      </c>
      <c r="G1852" s="4">
        <v>139352</v>
      </c>
      <c r="H1852" s="5" t="s">
        <v>116</v>
      </c>
      <c r="I1852" s="4">
        <v>0</v>
      </c>
      <c r="J1852" s="6">
        <v>44959</v>
      </c>
      <c r="K1852" t="str">
        <f t="shared" si="56"/>
        <v>Q1 2023</v>
      </c>
      <c r="L1852" t="str">
        <f t="shared" si="57"/>
        <v>Q1 2023</v>
      </c>
    </row>
    <row r="1853" spans="1:12" ht="15.75" customHeight="1" x14ac:dyDescent="0.3">
      <c r="A1853" s="2" t="s">
        <v>2895</v>
      </c>
      <c r="B1853" s="2" t="s">
        <v>11</v>
      </c>
      <c r="C1853" s="2" t="s">
        <v>12</v>
      </c>
      <c r="D1853" s="2" t="s">
        <v>2408</v>
      </c>
      <c r="E1853" s="2" t="s">
        <v>80</v>
      </c>
      <c r="F1853" s="2" t="s">
        <v>2436</v>
      </c>
      <c r="G1853" s="4">
        <v>123099</v>
      </c>
      <c r="H1853" s="5" t="s">
        <v>333</v>
      </c>
      <c r="I1853" s="4">
        <v>0</v>
      </c>
      <c r="J1853" s="6">
        <v>44598</v>
      </c>
      <c r="K1853" t="str">
        <f t="shared" si="56"/>
        <v>Q1 2022</v>
      </c>
      <c r="L1853" t="str">
        <f t="shared" si="57"/>
        <v>Q1 2022</v>
      </c>
    </row>
    <row r="1854" spans="1:12" ht="15.75" customHeight="1" x14ac:dyDescent="0.3">
      <c r="A1854" s="2" t="s">
        <v>2896</v>
      </c>
      <c r="B1854" s="2" t="s">
        <v>11</v>
      </c>
      <c r="C1854" s="2" t="s">
        <v>12</v>
      </c>
      <c r="D1854" s="2" t="s">
        <v>2408</v>
      </c>
      <c r="E1854" s="2" t="s">
        <v>80</v>
      </c>
      <c r="F1854" s="2" t="s">
        <v>2897</v>
      </c>
      <c r="G1854" s="4">
        <v>80565</v>
      </c>
      <c r="H1854" s="6">
        <v>44658</v>
      </c>
      <c r="I1854" s="4">
        <v>0</v>
      </c>
      <c r="J1854" s="6">
        <v>44601</v>
      </c>
      <c r="K1854" t="str">
        <f t="shared" si="56"/>
        <v>Q1 2022</v>
      </c>
      <c r="L1854" t="str">
        <f t="shared" si="57"/>
        <v>Q1 2022</v>
      </c>
    </row>
    <row r="1855" spans="1:12" ht="15.75" customHeight="1" x14ac:dyDescent="0.3">
      <c r="A1855" s="2" t="s">
        <v>2898</v>
      </c>
      <c r="B1855" s="2" t="s">
        <v>11</v>
      </c>
      <c r="C1855" s="2" t="s">
        <v>12</v>
      </c>
      <c r="D1855" s="2" t="s">
        <v>2408</v>
      </c>
      <c r="E1855" s="2" t="s">
        <v>80</v>
      </c>
      <c r="F1855" s="2" t="s">
        <v>2899</v>
      </c>
      <c r="G1855" s="4">
        <v>121681</v>
      </c>
      <c r="H1855" s="5" t="s">
        <v>179</v>
      </c>
      <c r="I1855" s="4">
        <v>0</v>
      </c>
      <c r="J1855" s="6">
        <v>44594</v>
      </c>
      <c r="K1855" t="str">
        <f t="shared" si="56"/>
        <v>Q1 2022</v>
      </c>
      <c r="L1855" t="str">
        <f t="shared" si="57"/>
        <v>Q1 2022</v>
      </c>
    </row>
    <row r="1856" spans="1:12" ht="15.75" customHeight="1" x14ac:dyDescent="0.3">
      <c r="A1856" s="2" t="s">
        <v>2900</v>
      </c>
      <c r="B1856" s="2" t="s">
        <v>20</v>
      </c>
      <c r="C1856" s="2" t="s">
        <v>21</v>
      </c>
      <c r="D1856" s="2" t="s">
        <v>2408</v>
      </c>
      <c r="E1856" s="2" t="s">
        <v>80</v>
      </c>
      <c r="F1856" s="2" t="s">
        <v>2901</v>
      </c>
      <c r="G1856" s="4">
        <v>142296</v>
      </c>
      <c r="H1856" s="5" t="s">
        <v>2902</v>
      </c>
      <c r="I1856" s="4">
        <v>20328</v>
      </c>
      <c r="J1856" s="6">
        <v>44686</v>
      </c>
      <c r="K1856" t="str">
        <f t="shared" si="56"/>
        <v>Q2 2022</v>
      </c>
      <c r="L1856" t="str">
        <f t="shared" si="57"/>
        <v>Q2 2022</v>
      </c>
    </row>
    <row r="1857" spans="1:12" ht="15.75" customHeight="1" x14ac:dyDescent="0.3">
      <c r="A1857" s="2" t="s">
        <v>2903</v>
      </c>
      <c r="B1857" s="2" t="s">
        <v>11</v>
      </c>
      <c r="C1857" s="2" t="s">
        <v>12</v>
      </c>
      <c r="D1857" s="2" t="s">
        <v>2408</v>
      </c>
      <c r="E1857" s="2" t="s">
        <v>80</v>
      </c>
      <c r="F1857" s="2" t="s">
        <v>2904</v>
      </c>
      <c r="G1857" s="4">
        <v>98792</v>
      </c>
      <c r="H1857" s="5" t="s">
        <v>39</v>
      </c>
      <c r="I1857" s="4">
        <v>0</v>
      </c>
      <c r="J1857" s="6">
        <v>44603</v>
      </c>
      <c r="K1857" t="str">
        <f t="shared" si="56"/>
        <v>Q1 2022</v>
      </c>
      <c r="L1857" t="str">
        <f t="shared" si="57"/>
        <v>Q1 2022</v>
      </c>
    </row>
    <row r="1858" spans="1:12" ht="15.75" customHeight="1" x14ac:dyDescent="0.3">
      <c r="A1858" s="2" t="s">
        <v>2905</v>
      </c>
      <c r="B1858" s="2" t="s">
        <v>11</v>
      </c>
      <c r="C1858" s="2" t="s">
        <v>12</v>
      </c>
      <c r="D1858" s="2" t="s">
        <v>2408</v>
      </c>
      <c r="E1858" s="2" t="s">
        <v>80</v>
      </c>
      <c r="F1858" s="2" t="s">
        <v>2906</v>
      </c>
      <c r="G1858" s="4">
        <v>180078</v>
      </c>
      <c r="H1858" s="5" t="s">
        <v>71</v>
      </c>
      <c r="I1858" s="4">
        <v>0</v>
      </c>
      <c r="J1858" s="6">
        <v>44603</v>
      </c>
      <c r="K1858" t="str">
        <f t="shared" ref="K1858:K1921" si="58">"Q" &amp; ROUNDUP(MONTH(J:J)/3,0) &amp; " " &amp; YEAR(J:J)</f>
        <v>Q1 2022</v>
      </c>
      <c r="L1858" t="str">
        <f t="shared" ref="L1858:L1921" si="59">"Q" &amp; ROUNDUP(MONTH(J:J)/3,0) &amp; " " &amp; YEAR(J:J)</f>
        <v>Q1 2022</v>
      </c>
    </row>
    <row r="1859" spans="1:12" ht="15.75" customHeight="1" x14ac:dyDescent="0.3">
      <c r="A1859" s="2" t="s">
        <v>2907</v>
      </c>
      <c r="B1859" s="2" t="s">
        <v>11</v>
      </c>
      <c r="C1859" s="2" t="s">
        <v>12</v>
      </c>
      <c r="D1859" s="2" t="s">
        <v>2408</v>
      </c>
      <c r="E1859" s="2" t="s">
        <v>80</v>
      </c>
      <c r="F1859" s="2" t="s">
        <v>2908</v>
      </c>
      <c r="G1859" s="4">
        <v>74190</v>
      </c>
      <c r="H1859" s="5" t="s">
        <v>137</v>
      </c>
      <c r="I1859" s="4">
        <v>0</v>
      </c>
      <c r="J1859" s="6">
        <v>44599</v>
      </c>
      <c r="K1859" t="str">
        <f t="shared" si="58"/>
        <v>Q1 2022</v>
      </c>
      <c r="L1859" t="str">
        <f t="shared" si="59"/>
        <v>Q1 2022</v>
      </c>
    </row>
    <row r="1860" spans="1:12" ht="15.75" customHeight="1" x14ac:dyDescent="0.3">
      <c r="A1860" s="2" t="s">
        <v>2909</v>
      </c>
      <c r="B1860" s="2" t="s">
        <v>11</v>
      </c>
      <c r="C1860" s="2" t="s">
        <v>12</v>
      </c>
      <c r="D1860" s="2" t="s">
        <v>2408</v>
      </c>
      <c r="E1860" s="2" t="s">
        <v>80</v>
      </c>
      <c r="F1860" s="2" t="s">
        <v>2910</v>
      </c>
      <c r="G1860" s="4">
        <v>100790</v>
      </c>
      <c r="H1860" s="6">
        <v>44601</v>
      </c>
      <c r="I1860" s="4">
        <v>0</v>
      </c>
      <c r="J1860" s="6">
        <v>44602</v>
      </c>
      <c r="K1860" t="str">
        <f t="shared" si="58"/>
        <v>Q1 2022</v>
      </c>
      <c r="L1860" t="str">
        <f t="shared" si="59"/>
        <v>Q1 2022</v>
      </c>
    </row>
    <row r="1861" spans="1:12" ht="15.75" customHeight="1" x14ac:dyDescent="0.3">
      <c r="A1861" s="2" t="s">
        <v>2911</v>
      </c>
      <c r="B1861" s="2" t="s">
        <v>11</v>
      </c>
      <c r="C1861" s="2" t="s">
        <v>12</v>
      </c>
      <c r="D1861" s="2" t="s">
        <v>2408</v>
      </c>
      <c r="E1861" s="2" t="s">
        <v>80</v>
      </c>
      <c r="F1861" s="2" t="s">
        <v>46</v>
      </c>
      <c r="G1861" s="4">
        <v>53141</v>
      </c>
      <c r="H1861" s="5" t="s">
        <v>25</v>
      </c>
      <c r="I1861" s="4">
        <v>0</v>
      </c>
      <c r="J1861" s="6">
        <v>44603</v>
      </c>
      <c r="K1861" t="str">
        <f t="shared" si="58"/>
        <v>Q1 2022</v>
      </c>
      <c r="L1861" t="str">
        <f t="shared" si="59"/>
        <v>Q1 2022</v>
      </c>
    </row>
    <row r="1862" spans="1:12" ht="15.75" customHeight="1" x14ac:dyDescent="0.3">
      <c r="A1862" s="2" t="s">
        <v>2912</v>
      </c>
      <c r="B1862" s="2" t="s">
        <v>11</v>
      </c>
      <c r="C1862" s="2" t="s">
        <v>12</v>
      </c>
      <c r="D1862" s="2" t="s">
        <v>2408</v>
      </c>
      <c r="E1862" s="2" t="s">
        <v>80</v>
      </c>
      <c r="F1862" s="2" t="s">
        <v>2913</v>
      </c>
      <c r="G1862" s="2"/>
      <c r="H1862" s="5" t="s">
        <v>882</v>
      </c>
      <c r="I1862" s="4">
        <v>0</v>
      </c>
      <c r="J1862" s="6">
        <v>44784</v>
      </c>
      <c r="K1862" t="str">
        <f t="shared" si="58"/>
        <v>Q3 2022</v>
      </c>
      <c r="L1862" t="str">
        <f t="shared" si="59"/>
        <v>Q3 2022</v>
      </c>
    </row>
    <row r="1863" spans="1:12" ht="15.75" customHeight="1" x14ac:dyDescent="0.3">
      <c r="A1863" s="2" t="s">
        <v>2914</v>
      </c>
      <c r="B1863" s="2" t="s">
        <v>11</v>
      </c>
      <c r="C1863" s="2" t="s">
        <v>12</v>
      </c>
      <c r="D1863" s="2" t="s">
        <v>2408</v>
      </c>
      <c r="E1863" s="2" t="s">
        <v>80</v>
      </c>
      <c r="F1863" s="2" t="s">
        <v>2593</v>
      </c>
      <c r="G1863" s="4">
        <v>138624</v>
      </c>
      <c r="H1863" s="5" t="s">
        <v>137</v>
      </c>
      <c r="I1863" s="4">
        <v>0</v>
      </c>
      <c r="J1863" s="6">
        <v>44599</v>
      </c>
      <c r="K1863" t="str">
        <f t="shared" si="58"/>
        <v>Q1 2022</v>
      </c>
      <c r="L1863" t="str">
        <f t="shared" si="59"/>
        <v>Q1 2022</v>
      </c>
    </row>
    <row r="1864" spans="1:12" ht="15.75" customHeight="1" x14ac:dyDescent="0.3">
      <c r="A1864" s="2" t="s">
        <v>2915</v>
      </c>
      <c r="B1864" s="2" t="s">
        <v>11</v>
      </c>
      <c r="C1864" s="2" t="s">
        <v>12</v>
      </c>
      <c r="D1864" s="2" t="s">
        <v>2408</v>
      </c>
      <c r="E1864" s="2" t="s">
        <v>80</v>
      </c>
      <c r="F1864" s="2" t="s">
        <v>2916</v>
      </c>
      <c r="G1864" s="4">
        <v>50316</v>
      </c>
      <c r="H1864" s="6">
        <v>44630</v>
      </c>
      <c r="I1864" s="4">
        <v>0</v>
      </c>
      <c r="J1864" s="6">
        <v>44603</v>
      </c>
      <c r="K1864" t="str">
        <f t="shared" si="58"/>
        <v>Q1 2022</v>
      </c>
      <c r="L1864" t="str">
        <f t="shared" si="59"/>
        <v>Q1 2022</v>
      </c>
    </row>
    <row r="1865" spans="1:12" ht="15.75" customHeight="1" x14ac:dyDescent="0.3">
      <c r="A1865" s="2" t="s">
        <v>2917</v>
      </c>
      <c r="B1865" s="2" t="s">
        <v>11</v>
      </c>
      <c r="C1865" s="2" t="s">
        <v>12</v>
      </c>
      <c r="D1865" s="2" t="s">
        <v>2408</v>
      </c>
      <c r="E1865" s="2" t="s">
        <v>80</v>
      </c>
      <c r="F1865" s="2" t="s">
        <v>2918</v>
      </c>
      <c r="G1865" s="4">
        <v>294485</v>
      </c>
      <c r="H1865" s="6">
        <v>45231</v>
      </c>
      <c r="I1865" s="4">
        <v>0</v>
      </c>
      <c r="J1865" s="6">
        <v>44960</v>
      </c>
      <c r="K1865" t="str">
        <f t="shared" si="58"/>
        <v>Q1 2023</v>
      </c>
      <c r="L1865" t="str">
        <f t="shared" si="59"/>
        <v>Q1 2023</v>
      </c>
    </row>
    <row r="1866" spans="1:12" ht="15.75" customHeight="1" x14ac:dyDescent="0.3">
      <c r="A1866" s="2" t="s">
        <v>2919</v>
      </c>
      <c r="B1866" s="2" t="s">
        <v>11</v>
      </c>
      <c r="C1866" s="2" t="s">
        <v>12</v>
      </c>
      <c r="D1866" s="2" t="s">
        <v>2408</v>
      </c>
      <c r="E1866" s="2" t="s">
        <v>80</v>
      </c>
      <c r="F1866" s="2" t="s">
        <v>46</v>
      </c>
      <c r="G1866" s="4">
        <v>118484</v>
      </c>
      <c r="H1866" s="5" t="s">
        <v>142</v>
      </c>
      <c r="I1866" s="4">
        <v>0</v>
      </c>
      <c r="J1866" s="6">
        <v>44596</v>
      </c>
      <c r="K1866" t="str">
        <f t="shared" si="58"/>
        <v>Q1 2022</v>
      </c>
      <c r="L1866" t="str">
        <f t="shared" si="59"/>
        <v>Q1 2022</v>
      </c>
    </row>
    <row r="1867" spans="1:12" ht="15.75" customHeight="1" x14ac:dyDescent="0.3">
      <c r="A1867" s="2" t="s">
        <v>2920</v>
      </c>
      <c r="B1867" s="2" t="s">
        <v>11</v>
      </c>
      <c r="C1867" s="2" t="s">
        <v>12</v>
      </c>
      <c r="D1867" s="2" t="s">
        <v>2408</v>
      </c>
      <c r="E1867" s="2" t="s">
        <v>80</v>
      </c>
      <c r="F1867" s="2" t="s">
        <v>2921</v>
      </c>
      <c r="G1867" s="4">
        <v>96614</v>
      </c>
      <c r="H1867" s="5" t="s">
        <v>142</v>
      </c>
      <c r="I1867" s="4">
        <v>0</v>
      </c>
      <c r="J1867" s="6">
        <v>44597</v>
      </c>
      <c r="K1867" t="str">
        <f t="shared" si="58"/>
        <v>Q1 2022</v>
      </c>
      <c r="L1867" t="str">
        <f t="shared" si="59"/>
        <v>Q1 2022</v>
      </c>
    </row>
    <row r="1868" spans="1:12" ht="15.75" customHeight="1" x14ac:dyDescent="0.3">
      <c r="A1868" s="2" t="s">
        <v>2922</v>
      </c>
      <c r="B1868" s="2" t="s">
        <v>11</v>
      </c>
      <c r="C1868" s="2" t="s">
        <v>12</v>
      </c>
      <c r="D1868" s="2" t="s">
        <v>2408</v>
      </c>
      <c r="E1868" s="2" t="s">
        <v>80</v>
      </c>
      <c r="F1868" s="2" t="s">
        <v>2923</v>
      </c>
      <c r="G1868" s="4">
        <v>57258</v>
      </c>
      <c r="H1868" s="5" t="s">
        <v>1016</v>
      </c>
      <c r="I1868" s="4">
        <v>0</v>
      </c>
      <c r="J1868" s="6">
        <v>44595</v>
      </c>
      <c r="K1868" t="str">
        <f t="shared" si="58"/>
        <v>Q1 2022</v>
      </c>
      <c r="L1868" t="str">
        <f t="shared" si="59"/>
        <v>Q1 2022</v>
      </c>
    </row>
    <row r="1869" spans="1:12" ht="15.75" customHeight="1" x14ac:dyDescent="0.3">
      <c r="A1869" s="2" t="s">
        <v>2924</v>
      </c>
      <c r="B1869" s="2" t="s">
        <v>11</v>
      </c>
      <c r="C1869" s="2" t="s">
        <v>12</v>
      </c>
      <c r="D1869" s="2" t="s">
        <v>2408</v>
      </c>
      <c r="E1869" s="2" t="s">
        <v>80</v>
      </c>
      <c r="F1869" s="2" t="s">
        <v>2925</v>
      </c>
      <c r="G1869" s="4">
        <v>55037</v>
      </c>
      <c r="H1869" s="5" t="s">
        <v>16</v>
      </c>
      <c r="I1869" s="4">
        <v>0</v>
      </c>
      <c r="J1869" s="6">
        <v>44596</v>
      </c>
      <c r="K1869" t="str">
        <f t="shared" si="58"/>
        <v>Q1 2022</v>
      </c>
      <c r="L1869" t="str">
        <f t="shared" si="59"/>
        <v>Q1 2022</v>
      </c>
    </row>
    <row r="1870" spans="1:12" ht="15.75" customHeight="1" x14ac:dyDescent="0.3">
      <c r="A1870" s="2" t="s">
        <v>2926</v>
      </c>
      <c r="B1870" s="2" t="s">
        <v>20</v>
      </c>
      <c r="C1870" s="2" t="s">
        <v>21</v>
      </c>
      <c r="D1870" s="2" t="s">
        <v>2408</v>
      </c>
      <c r="E1870" s="2" t="s">
        <v>80</v>
      </c>
      <c r="F1870" s="2" t="s">
        <v>2927</v>
      </c>
      <c r="G1870" s="4">
        <v>56363</v>
      </c>
      <c r="H1870" s="6">
        <v>44661</v>
      </c>
      <c r="I1870" s="4">
        <v>14091</v>
      </c>
      <c r="J1870" s="5" t="s">
        <v>97</v>
      </c>
      <c r="K1870" t="str">
        <f t="shared" si="58"/>
        <v>Q4 2022</v>
      </c>
      <c r="L1870" t="str">
        <f t="shared" si="59"/>
        <v>Q4 2022</v>
      </c>
    </row>
    <row r="1871" spans="1:12" ht="15.75" customHeight="1" x14ac:dyDescent="0.3">
      <c r="A1871" s="2" t="s">
        <v>2928</v>
      </c>
      <c r="B1871" s="2" t="s">
        <v>11</v>
      </c>
      <c r="C1871" s="2" t="s">
        <v>12</v>
      </c>
      <c r="D1871" s="2" t="s">
        <v>2408</v>
      </c>
      <c r="E1871" s="2" t="s">
        <v>80</v>
      </c>
      <c r="F1871" s="2" t="s">
        <v>2818</v>
      </c>
      <c r="G1871" s="4">
        <v>157540</v>
      </c>
      <c r="H1871" s="5" t="s">
        <v>25</v>
      </c>
      <c r="I1871" s="4">
        <v>0</v>
      </c>
      <c r="J1871" s="6">
        <v>44603</v>
      </c>
      <c r="K1871" t="str">
        <f t="shared" si="58"/>
        <v>Q1 2022</v>
      </c>
      <c r="L1871" t="str">
        <f t="shared" si="59"/>
        <v>Q1 2022</v>
      </c>
    </row>
    <row r="1872" spans="1:12" ht="15.75" customHeight="1" x14ac:dyDescent="0.3">
      <c r="A1872" s="2" t="s">
        <v>2929</v>
      </c>
      <c r="B1872" s="2" t="s">
        <v>11</v>
      </c>
      <c r="C1872" s="2" t="s">
        <v>12</v>
      </c>
      <c r="D1872" s="2" t="s">
        <v>2408</v>
      </c>
      <c r="E1872" s="2" t="s">
        <v>80</v>
      </c>
      <c r="F1872" s="2" t="s">
        <v>2425</v>
      </c>
      <c r="G1872" s="4">
        <v>42421</v>
      </c>
      <c r="H1872" s="5" t="s">
        <v>265</v>
      </c>
      <c r="I1872" s="4">
        <v>0</v>
      </c>
      <c r="J1872" s="6">
        <v>44601</v>
      </c>
      <c r="K1872" t="str">
        <f t="shared" si="58"/>
        <v>Q1 2022</v>
      </c>
      <c r="L1872" t="str">
        <f t="shared" si="59"/>
        <v>Q1 2022</v>
      </c>
    </row>
    <row r="1873" spans="1:12" ht="15.75" customHeight="1" x14ac:dyDescent="0.3">
      <c r="A1873" s="2" t="s">
        <v>2930</v>
      </c>
      <c r="B1873" s="2" t="s">
        <v>11</v>
      </c>
      <c r="C1873" s="2" t="s">
        <v>12</v>
      </c>
      <c r="D1873" s="2" t="s">
        <v>2408</v>
      </c>
      <c r="E1873" s="2" t="s">
        <v>80</v>
      </c>
      <c r="F1873" s="2" t="s">
        <v>2589</v>
      </c>
      <c r="G1873" s="4">
        <v>120923</v>
      </c>
      <c r="H1873" s="6">
        <v>44629</v>
      </c>
      <c r="I1873" s="4">
        <v>0</v>
      </c>
      <c r="J1873" s="6">
        <v>44603</v>
      </c>
      <c r="K1873" t="str">
        <f t="shared" si="58"/>
        <v>Q1 2022</v>
      </c>
      <c r="L1873" t="str">
        <f t="shared" si="59"/>
        <v>Q1 2022</v>
      </c>
    </row>
    <row r="1874" spans="1:12" ht="15.75" customHeight="1" x14ac:dyDescent="0.3">
      <c r="A1874" s="2" t="s">
        <v>2931</v>
      </c>
      <c r="B1874" s="2" t="s">
        <v>11</v>
      </c>
      <c r="C1874" s="2" t="s">
        <v>12</v>
      </c>
      <c r="D1874" s="2" t="s">
        <v>2408</v>
      </c>
      <c r="E1874" s="2" t="s">
        <v>80</v>
      </c>
      <c r="F1874" s="2" t="s">
        <v>2436</v>
      </c>
      <c r="G1874" s="2"/>
      <c r="H1874" s="6">
        <v>44627</v>
      </c>
      <c r="I1874" s="4">
        <v>0</v>
      </c>
      <c r="J1874" s="6">
        <v>44600</v>
      </c>
      <c r="K1874" t="str">
        <f t="shared" si="58"/>
        <v>Q1 2022</v>
      </c>
      <c r="L1874" t="str">
        <f t="shared" si="59"/>
        <v>Q1 2022</v>
      </c>
    </row>
    <row r="1875" spans="1:12" ht="15.75" customHeight="1" x14ac:dyDescent="0.3">
      <c r="A1875" s="2" t="s">
        <v>2932</v>
      </c>
      <c r="B1875" s="2" t="s">
        <v>11</v>
      </c>
      <c r="C1875" s="2" t="s">
        <v>12</v>
      </c>
      <c r="D1875" s="2" t="s">
        <v>2408</v>
      </c>
      <c r="E1875" s="2" t="s">
        <v>80</v>
      </c>
      <c r="F1875" s="2" t="s">
        <v>2933</v>
      </c>
      <c r="G1875" s="4">
        <v>132000</v>
      </c>
      <c r="H1875" s="5" t="s">
        <v>463</v>
      </c>
      <c r="I1875" s="4">
        <v>0</v>
      </c>
      <c r="J1875" s="6">
        <v>44598</v>
      </c>
      <c r="K1875" t="str">
        <f t="shared" si="58"/>
        <v>Q1 2022</v>
      </c>
      <c r="L1875" t="str">
        <f t="shared" si="59"/>
        <v>Q1 2022</v>
      </c>
    </row>
    <row r="1876" spans="1:12" ht="15.75" customHeight="1" x14ac:dyDescent="0.3">
      <c r="A1876" s="2" t="s">
        <v>2934</v>
      </c>
      <c r="B1876" s="2" t="s">
        <v>11</v>
      </c>
      <c r="C1876" s="2" t="s">
        <v>12</v>
      </c>
      <c r="D1876" s="2" t="s">
        <v>2408</v>
      </c>
      <c r="E1876" s="2" t="s">
        <v>80</v>
      </c>
      <c r="F1876" s="2" t="s">
        <v>2935</v>
      </c>
      <c r="G1876" s="4">
        <v>69400</v>
      </c>
      <c r="H1876" s="5" t="s">
        <v>42</v>
      </c>
      <c r="I1876" s="4">
        <v>0</v>
      </c>
      <c r="J1876" s="6">
        <v>44603</v>
      </c>
      <c r="K1876" t="str">
        <f t="shared" si="58"/>
        <v>Q1 2022</v>
      </c>
      <c r="L1876" t="str">
        <f t="shared" si="59"/>
        <v>Q1 2022</v>
      </c>
    </row>
    <row r="1877" spans="1:12" ht="15.75" customHeight="1" x14ac:dyDescent="0.3">
      <c r="A1877" s="2" t="s">
        <v>2936</v>
      </c>
      <c r="B1877" s="2" t="s">
        <v>11</v>
      </c>
      <c r="C1877" s="2" t="s">
        <v>12</v>
      </c>
      <c r="D1877" s="2" t="s">
        <v>2408</v>
      </c>
      <c r="E1877" s="2" t="s">
        <v>80</v>
      </c>
      <c r="F1877" s="2" t="s">
        <v>2937</v>
      </c>
      <c r="G1877" s="4">
        <v>72913</v>
      </c>
      <c r="H1877" s="5" t="s">
        <v>130</v>
      </c>
      <c r="I1877" s="4">
        <v>0</v>
      </c>
      <c r="J1877" s="6">
        <v>44601</v>
      </c>
      <c r="K1877" t="str">
        <f t="shared" si="58"/>
        <v>Q1 2022</v>
      </c>
      <c r="L1877" t="str">
        <f t="shared" si="59"/>
        <v>Q1 2022</v>
      </c>
    </row>
    <row r="1878" spans="1:12" ht="15.75" customHeight="1" x14ac:dyDescent="0.3">
      <c r="A1878" s="2" t="s">
        <v>2938</v>
      </c>
      <c r="B1878" s="2" t="s">
        <v>11</v>
      </c>
      <c r="C1878" s="2" t="s">
        <v>12</v>
      </c>
      <c r="D1878" s="2" t="s">
        <v>2408</v>
      </c>
      <c r="E1878" s="2" t="s">
        <v>80</v>
      </c>
      <c r="F1878" s="2" t="s">
        <v>2939</v>
      </c>
      <c r="G1878" s="4">
        <v>128388</v>
      </c>
      <c r="H1878" s="6">
        <v>44629</v>
      </c>
      <c r="I1878" s="4">
        <v>0</v>
      </c>
      <c r="J1878" s="6">
        <v>44603</v>
      </c>
      <c r="K1878" t="str">
        <f t="shared" si="58"/>
        <v>Q1 2022</v>
      </c>
      <c r="L1878" t="str">
        <f t="shared" si="59"/>
        <v>Q1 2022</v>
      </c>
    </row>
    <row r="1879" spans="1:12" ht="15.75" customHeight="1" x14ac:dyDescent="0.3">
      <c r="A1879" s="2" t="s">
        <v>2940</v>
      </c>
      <c r="B1879" s="2" t="s">
        <v>11</v>
      </c>
      <c r="C1879" s="2" t="s">
        <v>12</v>
      </c>
      <c r="D1879" s="2" t="s">
        <v>2408</v>
      </c>
      <c r="E1879" s="2" t="s">
        <v>80</v>
      </c>
      <c r="F1879" s="2" t="s">
        <v>2941</v>
      </c>
      <c r="G1879" s="4">
        <v>116939</v>
      </c>
      <c r="H1879" s="5" t="s">
        <v>728</v>
      </c>
      <c r="I1879" s="4">
        <v>0</v>
      </c>
      <c r="J1879" s="6">
        <v>44600</v>
      </c>
      <c r="K1879" t="str">
        <f t="shared" si="58"/>
        <v>Q1 2022</v>
      </c>
      <c r="L1879" t="str">
        <f t="shared" si="59"/>
        <v>Q1 2022</v>
      </c>
    </row>
    <row r="1880" spans="1:12" ht="15.75" customHeight="1" x14ac:dyDescent="0.3">
      <c r="A1880" s="2" t="s">
        <v>2942</v>
      </c>
      <c r="B1880" s="2" t="s">
        <v>20</v>
      </c>
      <c r="C1880" s="2" t="s">
        <v>21</v>
      </c>
      <c r="D1880" s="2" t="s">
        <v>2408</v>
      </c>
      <c r="E1880" s="2" t="s">
        <v>80</v>
      </c>
      <c r="F1880" s="2" t="s">
        <v>2943</v>
      </c>
      <c r="G1880" s="4">
        <v>89781</v>
      </c>
      <c r="H1880" s="5" t="s">
        <v>185</v>
      </c>
      <c r="I1880" s="4">
        <v>89781</v>
      </c>
      <c r="J1880" s="5" t="s">
        <v>97</v>
      </c>
      <c r="K1880" t="str">
        <f t="shared" si="58"/>
        <v>Q4 2022</v>
      </c>
      <c r="L1880" t="str">
        <f t="shared" si="59"/>
        <v>Q4 2022</v>
      </c>
    </row>
    <row r="1881" spans="1:12" ht="15.75" customHeight="1" x14ac:dyDescent="0.3">
      <c r="A1881" s="2" t="s">
        <v>2944</v>
      </c>
      <c r="B1881" s="2" t="s">
        <v>11</v>
      </c>
      <c r="C1881" s="2" t="s">
        <v>12</v>
      </c>
      <c r="D1881" s="2" t="s">
        <v>2408</v>
      </c>
      <c r="E1881" s="2" t="s">
        <v>80</v>
      </c>
      <c r="F1881" s="2" t="s">
        <v>2485</v>
      </c>
      <c r="G1881" s="4">
        <v>364169</v>
      </c>
      <c r="H1881" s="5" t="s">
        <v>123</v>
      </c>
      <c r="I1881" s="4">
        <v>0</v>
      </c>
      <c r="J1881" s="6">
        <v>44594</v>
      </c>
      <c r="K1881" t="str">
        <f t="shared" si="58"/>
        <v>Q1 2022</v>
      </c>
      <c r="L1881" t="str">
        <f t="shared" si="59"/>
        <v>Q1 2022</v>
      </c>
    </row>
    <row r="1882" spans="1:12" ht="15.75" customHeight="1" x14ac:dyDescent="0.3">
      <c r="A1882" s="2" t="s">
        <v>2945</v>
      </c>
      <c r="B1882" s="2" t="s">
        <v>11</v>
      </c>
      <c r="C1882" s="2" t="s">
        <v>12</v>
      </c>
      <c r="D1882" s="2" t="s">
        <v>2408</v>
      </c>
      <c r="E1882" s="2" t="s">
        <v>80</v>
      </c>
      <c r="F1882" s="2" t="s">
        <v>2946</v>
      </c>
      <c r="G1882" s="4">
        <v>88735</v>
      </c>
      <c r="H1882" s="5" t="s">
        <v>1474</v>
      </c>
      <c r="I1882" s="4">
        <v>0</v>
      </c>
      <c r="J1882" s="6">
        <v>44595</v>
      </c>
      <c r="K1882" t="str">
        <f t="shared" si="58"/>
        <v>Q1 2022</v>
      </c>
      <c r="L1882" t="str">
        <f t="shared" si="59"/>
        <v>Q1 2022</v>
      </c>
    </row>
    <row r="1883" spans="1:12" ht="15.75" customHeight="1" x14ac:dyDescent="0.3">
      <c r="A1883" s="2" t="s">
        <v>2947</v>
      </c>
      <c r="B1883" s="2" t="s">
        <v>11</v>
      </c>
      <c r="C1883" s="2" t="s">
        <v>12</v>
      </c>
      <c r="D1883" s="2" t="s">
        <v>2408</v>
      </c>
      <c r="E1883" s="2" t="s">
        <v>80</v>
      </c>
      <c r="F1883" s="2" t="s">
        <v>2948</v>
      </c>
      <c r="G1883" s="4">
        <v>72195</v>
      </c>
      <c r="H1883" s="5" t="s">
        <v>25</v>
      </c>
      <c r="I1883" s="4">
        <v>0</v>
      </c>
      <c r="J1883" s="6">
        <v>44603</v>
      </c>
      <c r="K1883" t="str">
        <f t="shared" si="58"/>
        <v>Q1 2022</v>
      </c>
      <c r="L1883" t="str">
        <f t="shared" si="59"/>
        <v>Q1 2022</v>
      </c>
    </row>
    <row r="1884" spans="1:12" ht="15.75" customHeight="1" x14ac:dyDescent="0.3">
      <c r="A1884" s="2" t="s">
        <v>2949</v>
      </c>
      <c r="B1884" s="2" t="s">
        <v>11</v>
      </c>
      <c r="C1884" s="2" t="s">
        <v>12</v>
      </c>
      <c r="D1884" s="2" t="s">
        <v>2408</v>
      </c>
      <c r="E1884" s="2" t="s">
        <v>80</v>
      </c>
      <c r="F1884" s="2" t="s">
        <v>2950</v>
      </c>
      <c r="G1884" s="4">
        <v>86456</v>
      </c>
      <c r="H1884" s="5" t="s">
        <v>75</v>
      </c>
      <c r="I1884" s="4">
        <v>0</v>
      </c>
      <c r="J1884" s="6">
        <v>44595</v>
      </c>
      <c r="K1884" t="str">
        <f t="shared" si="58"/>
        <v>Q1 2022</v>
      </c>
      <c r="L1884" t="str">
        <f t="shared" si="59"/>
        <v>Q1 2022</v>
      </c>
    </row>
    <row r="1885" spans="1:12" ht="15.75" customHeight="1" x14ac:dyDescent="0.3">
      <c r="A1885" s="2" t="s">
        <v>2951</v>
      </c>
      <c r="B1885" s="2" t="s">
        <v>11</v>
      </c>
      <c r="C1885" s="2" t="s">
        <v>12</v>
      </c>
      <c r="D1885" s="2" t="s">
        <v>2408</v>
      </c>
      <c r="E1885" s="2" t="s">
        <v>80</v>
      </c>
      <c r="F1885" s="2" t="s">
        <v>2952</v>
      </c>
      <c r="G1885" s="4">
        <v>107388</v>
      </c>
      <c r="H1885" s="5" t="s">
        <v>25</v>
      </c>
      <c r="I1885" s="4">
        <v>0</v>
      </c>
      <c r="J1885" s="6">
        <v>44603</v>
      </c>
      <c r="K1885" t="str">
        <f t="shared" si="58"/>
        <v>Q1 2022</v>
      </c>
      <c r="L1885" t="str">
        <f t="shared" si="59"/>
        <v>Q1 2022</v>
      </c>
    </row>
    <row r="1886" spans="1:12" ht="15.75" customHeight="1" x14ac:dyDescent="0.3">
      <c r="A1886" s="2" t="s">
        <v>2953</v>
      </c>
      <c r="B1886" s="2" t="s">
        <v>11</v>
      </c>
      <c r="C1886" s="2" t="s">
        <v>12</v>
      </c>
      <c r="D1886" s="2" t="s">
        <v>2408</v>
      </c>
      <c r="E1886" s="2" t="s">
        <v>80</v>
      </c>
      <c r="F1886" s="2" t="s">
        <v>2954</v>
      </c>
      <c r="G1886" s="4">
        <v>121680</v>
      </c>
      <c r="H1886" s="6">
        <v>44866</v>
      </c>
      <c r="I1886" s="4">
        <v>0</v>
      </c>
      <c r="J1886" s="6">
        <v>44595</v>
      </c>
      <c r="K1886" t="str">
        <f t="shared" si="58"/>
        <v>Q1 2022</v>
      </c>
      <c r="L1886" t="str">
        <f t="shared" si="59"/>
        <v>Q1 2022</v>
      </c>
    </row>
    <row r="1887" spans="1:12" ht="15.75" customHeight="1" x14ac:dyDescent="0.3">
      <c r="A1887" s="2" t="s">
        <v>2955</v>
      </c>
      <c r="B1887" s="2" t="s">
        <v>11</v>
      </c>
      <c r="C1887" s="2" t="s">
        <v>12</v>
      </c>
      <c r="D1887" s="2" t="s">
        <v>2408</v>
      </c>
      <c r="E1887" s="2" t="s">
        <v>80</v>
      </c>
      <c r="F1887" s="2" t="s">
        <v>2436</v>
      </c>
      <c r="G1887" s="4">
        <v>100170</v>
      </c>
      <c r="H1887" s="6">
        <v>44630</v>
      </c>
      <c r="I1887" s="4">
        <v>0</v>
      </c>
      <c r="J1887" s="6">
        <v>44603</v>
      </c>
      <c r="K1887" t="str">
        <f t="shared" si="58"/>
        <v>Q1 2022</v>
      </c>
      <c r="L1887" t="str">
        <f t="shared" si="59"/>
        <v>Q1 2022</v>
      </c>
    </row>
    <row r="1888" spans="1:12" ht="15.75" customHeight="1" x14ac:dyDescent="0.3">
      <c r="A1888" s="2" t="s">
        <v>2956</v>
      </c>
      <c r="B1888" s="2" t="s">
        <v>11</v>
      </c>
      <c r="C1888" s="2" t="s">
        <v>12</v>
      </c>
      <c r="D1888" s="2" t="s">
        <v>2408</v>
      </c>
      <c r="E1888" s="2" t="s">
        <v>80</v>
      </c>
      <c r="F1888" s="2" t="s">
        <v>2436</v>
      </c>
      <c r="G1888" s="4">
        <v>118487</v>
      </c>
      <c r="H1888" s="5" t="s">
        <v>82</v>
      </c>
      <c r="I1888" s="4">
        <v>0</v>
      </c>
      <c r="J1888" s="6">
        <v>44596</v>
      </c>
      <c r="K1888" t="str">
        <f t="shared" si="58"/>
        <v>Q1 2022</v>
      </c>
      <c r="L1888" t="str">
        <f t="shared" si="59"/>
        <v>Q1 2022</v>
      </c>
    </row>
    <row r="1889" spans="1:12" ht="15.75" customHeight="1" x14ac:dyDescent="0.3">
      <c r="A1889" s="2" t="s">
        <v>2957</v>
      </c>
      <c r="B1889" s="2" t="s">
        <v>11</v>
      </c>
      <c r="C1889" s="2" t="s">
        <v>12</v>
      </c>
      <c r="D1889" s="2" t="s">
        <v>2408</v>
      </c>
      <c r="E1889" s="2" t="s">
        <v>80</v>
      </c>
      <c r="F1889" s="2" t="s">
        <v>679</v>
      </c>
      <c r="G1889" s="4">
        <v>123311</v>
      </c>
      <c r="H1889" s="6">
        <v>45201</v>
      </c>
      <c r="I1889" s="4">
        <v>0</v>
      </c>
      <c r="J1889" s="6">
        <v>44960</v>
      </c>
      <c r="K1889" t="str">
        <f t="shared" si="58"/>
        <v>Q1 2023</v>
      </c>
      <c r="L1889" t="str">
        <f t="shared" si="59"/>
        <v>Q1 2023</v>
      </c>
    </row>
    <row r="1890" spans="1:12" ht="15.75" customHeight="1" x14ac:dyDescent="0.3">
      <c r="A1890" s="2" t="s">
        <v>2958</v>
      </c>
      <c r="B1890" s="2" t="s">
        <v>11</v>
      </c>
      <c r="C1890" s="2" t="s">
        <v>12</v>
      </c>
      <c r="D1890" s="2" t="s">
        <v>2408</v>
      </c>
      <c r="E1890" s="2" t="s">
        <v>80</v>
      </c>
      <c r="F1890" s="2" t="s">
        <v>2959</v>
      </c>
      <c r="G1890" s="4">
        <v>53883</v>
      </c>
      <c r="H1890" s="5" t="s">
        <v>42</v>
      </c>
      <c r="I1890" s="4">
        <v>0</v>
      </c>
      <c r="J1890" s="6">
        <v>44603</v>
      </c>
      <c r="K1890" t="str">
        <f t="shared" si="58"/>
        <v>Q1 2022</v>
      </c>
      <c r="L1890" t="str">
        <f t="shared" si="59"/>
        <v>Q1 2022</v>
      </c>
    </row>
    <row r="1891" spans="1:12" ht="15.75" customHeight="1" x14ac:dyDescent="0.3">
      <c r="A1891" s="2" t="s">
        <v>2960</v>
      </c>
      <c r="B1891" s="2" t="s">
        <v>11</v>
      </c>
      <c r="C1891" s="2" t="s">
        <v>12</v>
      </c>
      <c r="D1891" s="2" t="s">
        <v>2408</v>
      </c>
      <c r="E1891" s="2" t="s">
        <v>80</v>
      </c>
      <c r="F1891" s="2" t="s">
        <v>2961</v>
      </c>
      <c r="G1891" s="4">
        <v>205186</v>
      </c>
      <c r="H1891" s="5" t="s">
        <v>30</v>
      </c>
      <c r="I1891" s="4">
        <v>0</v>
      </c>
      <c r="J1891" s="6">
        <v>44603</v>
      </c>
      <c r="K1891" t="str">
        <f t="shared" si="58"/>
        <v>Q1 2022</v>
      </c>
      <c r="L1891" t="str">
        <f t="shared" si="59"/>
        <v>Q1 2022</v>
      </c>
    </row>
    <row r="1892" spans="1:12" ht="15.75" customHeight="1" x14ac:dyDescent="0.3">
      <c r="A1892" s="2" t="s">
        <v>2962</v>
      </c>
      <c r="B1892" s="2" t="s">
        <v>11</v>
      </c>
      <c r="C1892" s="2" t="s">
        <v>12</v>
      </c>
      <c r="D1892" s="2" t="s">
        <v>2408</v>
      </c>
      <c r="E1892" s="2" t="s">
        <v>80</v>
      </c>
      <c r="F1892" s="2" t="s">
        <v>2963</v>
      </c>
      <c r="G1892" s="4">
        <v>184349</v>
      </c>
      <c r="H1892" s="5" t="s">
        <v>39</v>
      </c>
      <c r="I1892" s="4">
        <v>0</v>
      </c>
      <c r="J1892" s="6">
        <v>44603</v>
      </c>
      <c r="K1892" t="str">
        <f t="shared" si="58"/>
        <v>Q1 2022</v>
      </c>
      <c r="L1892" t="str">
        <f t="shared" si="59"/>
        <v>Q1 2022</v>
      </c>
    </row>
    <row r="1893" spans="1:12" ht="15.75" customHeight="1" x14ac:dyDescent="0.3">
      <c r="A1893" s="2" t="s">
        <v>2964</v>
      </c>
      <c r="B1893" s="2" t="s">
        <v>11</v>
      </c>
      <c r="C1893" s="2" t="s">
        <v>12</v>
      </c>
      <c r="D1893" s="2" t="s">
        <v>2408</v>
      </c>
      <c r="E1893" s="2" t="s">
        <v>80</v>
      </c>
      <c r="F1893" s="2" t="s">
        <v>2463</v>
      </c>
      <c r="G1893" s="4">
        <v>67047</v>
      </c>
      <c r="H1893" s="5" t="s">
        <v>255</v>
      </c>
      <c r="I1893" s="4">
        <v>0</v>
      </c>
      <c r="J1893" s="6">
        <v>44959</v>
      </c>
      <c r="K1893" t="str">
        <f t="shared" si="58"/>
        <v>Q1 2023</v>
      </c>
      <c r="L1893" t="str">
        <f t="shared" si="59"/>
        <v>Q1 2023</v>
      </c>
    </row>
    <row r="1894" spans="1:12" ht="15.75" customHeight="1" x14ac:dyDescent="0.3">
      <c r="A1894" s="2" t="s">
        <v>2965</v>
      </c>
      <c r="B1894" s="2" t="s">
        <v>11</v>
      </c>
      <c r="C1894" s="2" t="s">
        <v>12</v>
      </c>
      <c r="D1894" s="2" t="s">
        <v>2408</v>
      </c>
      <c r="E1894" s="2" t="s">
        <v>80</v>
      </c>
      <c r="F1894" s="2" t="s">
        <v>2966</v>
      </c>
      <c r="G1894" s="4">
        <v>77518</v>
      </c>
      <c r="H1894" s="6">
        <v>44867</v>
      </c>
      <c r="I1894" s="4">
        <v>0</v>
      </c>
      <c r="J1894" s="6">
        <v>44596</v>
      </c>
      <c r="K1894" t="str">
        <f t="shared" si="58"/>
        <v>Q1 2022</v>
      </c>
      <c r="L1894" t="str">
        <f t="shared" si="59"/>
        <v>Q1 2022</v>
      </c>
    </row>
    <row r="1895" spans="1:12" ht="15.75" customHeight="1" x14ac:dyDescent="0.3">
      <c r="A1895" s="2" t="s">
        <v>2967</v>
      </c>
      <c r="B1895" s="2" t="s">
        <v>11</v>
      </c>
      <c r="C1895" s="2" t="s">
        <v>12</v>
      </c>
      <c r="D1895" s="2" t="s">
        <v>2408</v>
      </c>
      <c r="E1895" s="2" t="s">
        <v>80</v>
      </c>
      <c r="F1895" s="2" t="s">
        <v>2968</v>
      </c>
      <c r="G1895" s="4">
        <v>107242</v>
      </c>
      <c r="H1895" s="6">
        <v>44563</v>
      </c>
      <c r="I1895" s="4">
        <v>0</v>
      </c>
      <c r="J1895" s="6">
        <v>44596</v>
      </c>
      <c r="K1895" t="str">
        <f t="shared" si="58"/>
        <v>Q1 2022</v>
      </c>
      <c r="L1895" t="str">
        <f t="shared" si="59"/>
        <v>Q1 2022</v>
      </c>
    </row>
    <row r="1896" spans="1:12" ht="15.75" customHeight="1" x14ac:dyDescent="0.3">
      <c r="A1896" s="2" t="s">
        <v>2969</v>
      </c>
      <c r="B1896" s="2" t="s">
        <v>11</v>
      </c>
      <c r="C1896" s="2" t="s">
        <v>12</v>
      </c>
      <c r="D1896" s="2" t="s">
        <v>2408</v>
      </c>
      <c r="E1896" s="2" t="s">
        <v>80</v>
      </c>
      <c r="F1896" s="2" t="s">
        <v>2970</v>
      </c>
      <c r="G1896" s="4">
        <v>76989</v>
      </c>
      <c r="H1896" s="5" t="s">
        <v>333</v>
      </c>
      <c r="I1896" s="4">
        <v>0</v>
      </c>
      <c r="J1896" s="6">
        <v>44599</v>
      </c>
      <c r="K1896" t="str">
        <f t="shared" si="58"/>
        <v>Q1 2022</v>
      </c>
      <c r="L1896" t="str">
        <f t="shared" si="59"/>
        <v>Q1 2022</v>
      </c>
    </row>
    <row r="1897" spans="1:12" ht="15.75" customHeight="1" x14ac:dyDescent="0.3">
      <c r="A1897" s="2" t="s">
        <v>2971</v>
      </c>
      <c r="B1897" s="2" t="s">
        <v>11</v>
      </c>
      <c r="C1897" s="2" t="s">
        <v>12</v>
      </c>
      <c r="D1897" s="2" t="s">
        <v>2408</v>
      </c>
      <c r="E1897" s="2" t="s">
        <v>80</v>
      </c>
      <c r="F1897" s="2" t="s">
        <v>2972</v>
      </c>
      <c r="G1897" s="2"/>
      <c r="H1897" s="6">
        <v>44899</v>
      </c>
      <c r="I1897" s="4">
        <v>0</v>
      </c>
      <c r="J1897" s="6">
        <v>44597</v>
      </c>
      <c r="K1897" t="str">
        <f t="shared" si="58"/>
        <v>Q1 2022</v>
      </c>
      <c r="L1897" t="str">
        <f t="shared" si="59"/>
        <v>Q1 2022</v>
      </c>
    </row>
    <row r="1898" spans="1:12" ht="15.75" customHeight="1" x14ac:dyDescent="0.3">
      <c r="A1898" s="2" t="s">
        <v>2973</v>
      </c>
      <c r="B1898" s="2" t="s">
        <v>11</v>
      </c>
      <c r="C1898" s="2" t="s">
        <v>12</v>
      </c>
      <c r="D1898" s="2" t="s">
        <v>2408</v>
      </c>
      <c r="E1898" s="2" t="s">
        <v>80</v>
      </c>
      <c r="F1898" s="2" t="s">
        <v>2974</v>
      </c>
      <c r="G1898" s="4">
        <v>155755</v>
      </c>
      <c r="H1898" s="5" t="s">
        <v>39</v>
      </c>
      <c r="I1898" s="4">
        <v>0</v>
      </c>
      <c r="J1898" s="6">
        <v>44603</v>
      </c>
      <c r="K1898" t="str">
        <f t="shared" si="58"/>
        <v>Q1 2022</v>
      </c>
      <c r="L1898" t="str">
        <f t="shared" si="59"/>
        <v>Q1 2022</v>
      </c>
    </row>
    <row r="1899" spans="1:12" ht="15.75" customHeight="1" x14ac:dyDescent="0.3">
      <c r="A1899" s="2" t="s">
        <v>2975</v>
      </c>
      <c r="B1899" s="2" t="s">
        <v>11</v>
      </c>
      <c r="C1899" s="2" t="s">
        <v>12</v>
      </c>
      <c r="D1899" s="2" t="s">
        <v>2408</v>
      </c>
      <c r="E1899" s="2" t="s">
        <v>80</v>
      </c>
      <c r="F1899" s="2" t="s">
        <v>2976</v>
      </c>
      <c r="G1899" s="4">
        <v>104884</v>
      </c>
      <c r="H1899" s="5" t="s">
        <v>42</v>
      </c>
      <c r="I1899" s="4">
        <v>0</v>
      </c>
      <c r="J1899" s="6">
        <v>44603</v>
      </c>
      <c r="K1899" t="str">
        <f t="shared" si="58"/>
        <v>Q1 2022</v>
      </c>
      <c r="L1899" t="str">
        <f t="shared" si="59"/>
        <v>Q1 2022</v>
      </c>
    </row>
    <row r="1900" spans="1:12" ht="15.75" customHeight="1" x14ac:dyDescent="0.3">
      <c r="A1900" s="2" t="s">
        <v>2977</v>
      </c>
      <c r="B1900" s="2" t="s">
        <v>11</v>
      </c>
      <c r="C1900" s="2" t="s">
        <v>12</v>
      </c>
      <c r="D1900" s="2" t="s">
        <v>2408</v>
      </c>
      <c r="E1900" s="2" t="s">
        <v>80</v>
      </c>
      <c r="F1900" s="2" t="s">
        <v>2978</v>
      </c>
      <c r="G1900" s="2"/>
      <c r="H1900" s="5" t="s">
        <v>322</v>
      </c>
      <c r="I1900" s="4">
        <v>0</v>
      </c>
      <c r="J1900" s="6">
        <v>44594</v>
      </c>
      <c r="K1900" t="str">
        <f t="shared" si="58"/>
        <v>Q1 2022</v>
      </c>
      <c r="L1900" t="str">
        <f t="shared" si="59"/>
        <v>Q1 2022</v>
      </c>
    </row>
    <row r="1901" spans="1:12" ht="15.75" customHeight="1" x14ac:dyDescent="0.3">
      <c r="A1901" s="2" t="s">
        <v>2979</v>
      </c>
      <c r="B1901" s="2" t="s">
        <v>11</v>
      </c>
      <c r="C1901" s="2" t="s">
        <v>12</v>
      </c>
      <c r="D1901" s="2" t="s">
        <v>2408</v>
      </c>
      <c r="E1901" s="2" t="s">
        <v>80</v>
      </c>
      <c r="F1901" s="2" t="s">
        <v>2171</v>
      </c>
      <c r="G1901" s="4">
        <v>116494</v>
      </c>
      <c r="H1901" s="5" t="s">
        <v>39</v>
      </c>
      <c r="I1901" s="4">
        <v>0</v>
      </c>
      <c r="J1901" s="6">
        <v>44603</v>
      </c>
      <c r="K1901" t="str">
        <f t="shared" si="58"/>
        <v>Q1 2022</v>
      </c>
      <c r="L1901" t="str">
        <f t="shared" si="59"/>
        <v>Q1 2022</v>
      </c>
    </row>
    <row r="1902" spans="1:12" ht="15.75" customHeight="1" x14ac:dyDescent="0.3">
      <c r="A1902" s="2" t="s">
        <v>2980</v>
      </c>
      <c r="B1902" s="2" t="s">
        <v>20</v>
      </c>
      <c r="C1902" s="2" t="s">
        <v>21</v>
      </c>
      <c r="D1902" s="2" t="s">
        <v>2408</v>
      </c>
      <c r="E1902" s="2" t="s">
        <v>80</v>
      </c>
      <c r="F1902" s="2" t="s">
        <v>2981</v>
      </c>
      <c r="G1902" s="4">
        <v>101098</v>
      </c>
      <c r="H1902" s="6">
        <v>44624</v>
      </c>
      <c r="I1902" s="4">
        <v>101098</v>
      </c>
      <c r="J1902" s="5" t="s">
        <v>137</v>
      </c>
      <c r="K1902" t="str">
        <f t="shared" si="58"/>
        <v>Q2 2022</v>
      </c>
      <c r="L1902" t="str">
        <f t="shared" si="59"/>
        <v>Q2 2022</v>
      </c>
    </row>
    <row r="1903" spans="1:12" ht="15.75" customHeight="1" x14ac:dyDescent="0.3">
      <c r="A1903" s="2" t="s">
        <v>2982</v>
      </c>
      <c r="B1903" s="2" t="s">
        <v>11</v>
      </c>
      <c r="C1903" s="2" t="s">
        <v>12</v>
      </c>
      <c r="D1903" s="2" t="s">
        <v>2408</v>
      </c>
      <c r="E1903" s="2" t="s">
        <v>80</v>
      </c>
      <c r="F1903" s="2" t="s">
        <v>2833</v>
      </c>
      <c r="G1903" s="2"/>
      <c r="H1903" s="5" t="s">
        <v>179</v>
      </c>
      <c r="I1903" s="4">
        <v>0</v>
      </c>
      <c r="J1903" s="6">
        <v>44594</v>
      </c>
      <c r="K1903" t="str">
        <f t="shared" si="58"/>
        <v>Q1 2022</v>
      </c>
      <c r="L1903" t="str">
        <f t="shared" si="59"/>
        <v>Q1 2022</v>
      </c>
    </row>
    <row r="1904" spans="1:12" ht="15.75" customHeight="1" x14ac:dyDescent="0.3">
      <c r="A1904" s="2" t="s">
        <v>2983</v>
      </c>
      <c r="B1904" s="2" t="s">
        <v>11</v>
      </c>
      <c r="C1904" s="2" t="s">
        <v>12</v>
      </c>
      <c r="D1904" s="2" t="s">
        <v>2408</v>
      </c>
      <c r="E1904" s="2" t="s">
        <v>80</v>
      </c>
      <c r="F1904" s="2" t="s">
        <v>2436</v>
      </c>
      <c r="G1904" s="4">
        <v>115611</v>
      </c>
      <c r="H1904" s="5" t="s">
        <v>71</v>
      </c>
      <c r="I1904" s="4">
        <v>0</v>
      </c>
      <c r="J1904" s="6">
        <v>44603</v>
      </c>
      <c r="K1904" t="str">
        <f t="shared" si="58"/>
        <v>Q1 2022</v>
      </c>
      <c r="L1904" t="str">
        <f t="shared" si="59"/>
        <v>Q1 2022</v>
      </c>
    </row>
    <row r="1905" spans="1:12" ht="15.75" customHeight="1" x14ac:dyDescent="0.3">
      <c r="A1905" s="2" t="s">
        <v>2984</v>
      </c>
      <c r="B1905" s="2" t="s">
        <v>11</v>
      </c>
      <c r="C1905" s="2" t="s">
        <v>12</v>
      </c>
      <c r="D1905" s="2" t="s">
        <v>2408</v>
      </c>
      <c r="E1905" s="2" t="s">
        <v>80</v>
      </c>
      <c r="F1905" s="2" t="s">
        <v>2985</v>
      </c>
      <c r="G1905" s="4">
        <v>54080</v>
      </c>
      <c r="H1905" s="5" t="s">
        <v>71</v>
      </c>
      <c r="I1905" s="4">
        <v>0</v>
      </c>
      <c r="J1905" s="6">
        <v>44603</v>
      </c>
      <c r="K1905" t="str">
        <f t="shared" si="58"/>
        <v>Q1 2022</v>
      </c>
      <c r="L1905" t="str">
        <f t="shared" si="59"/>
        <v>Q1 2022</v>
      </c>
    </row>
    <row r="1906" spans="1:12" ht="15.75" customHeight="1" x14ac:dyDescent="0.3">
      <c r="A1906" s="2" t="s">
        <v>2986</v>
      </c>
      <c r="B1906" s="2" t="s">
        <v>11</v>
      </c>
      <c r="C1906" s="2" t="s">
        <v>12</v>
      </c>
      <c r="D1906" s="2" t="s">
        <v>2408</v>
      </c>
      <c r="E1906" s="2" t="s">
        <v>80</v>
      </c>
      <c r="F1906" s="2" t="s">
        <v>2987</v>
      </c>
      <c r="G1906" s="4">
        <v>107934</v>
      </c>
      <c r="H1906" s="5" t="s">
        <v>25</v>
      </c>
      <c r="I1906" s="4">
        <v>0</v>
      </c>
      <c r="J1906" s="6">
        <v>44603</v>
      </c>
      <c r="K1906" t="str">
        <f t="shared" si="58"/>
        <v>Q1 2022</v>
      </c>
      <c r="L1906" t="str">
        <f t="shared" si="59"/>
        <v>Q1 2022</v>
      </c>
    </row>
    <row r="1907" spans="1:12" ht="15.75" customHeight="1" x14ac:dyDescent="0.3">
      <c r="A1907" s="2" t="s">
        <v>2988</v>
      </c>
      <c r="B1907" s="2" t="s">
        <v>11</v>
      </c>
      <c r="C1907" s="2" t="s">
        <v>12</v>
      </c>
      <c r="D1907" s="2" t="s">
        <v>2408</v>
      </c>
      <c r="E1907" s="2" t="s">
        <v>80</v>
      </c>
      <c r="F1907" s="2" t="s">
        <v>2963</v>
      </c>
      <c r="G1907" s="4">
        <v>89775</v>
      </c>
      <c r="H1907" s="5" t="s">
        <v>322</v>
      </c>
      <c r="I1907" s="4">
        <v>0</v>
      </c>
      <c r="J1907" s="6">
        <v>44594</v>
      </c>
      <c r="K1907" t="str">
        <f t="shared" si="58"/>
        <v>Q1 2022</v>
      </c>
      <c r="L1907" t="str">
        <f t="shared" si="59"/>
        <v>Q1 2022</v>
      </c>
    </row>
    <row r="1908" spans="1:12" ht="15.75" customHeight="1" x14ac:dyDescent="0.3">
      <c r="A1908" s="2" t="s">
        <v>2989</v>
      </c>
      <c r="B1908" s="2" t="s">
        <v>11</v>
      </c>
      <c r="C1908" s="2" t="s">
        <v>12</v>
      </c>
      <c r="D1908" s="2" t="s">
        <v>2408</v>
      </c>
      <c r="E1908" s="2" t="s">
        <v>80</v>
      </c>
      <c r="F1908" s="2" t="s">
        <v>2593</v>
      </c>
      <c r="G1908" s="4">
        <v>113586</v>
      </c>
      <c r="H1908" s="6">
        <v>44866</v>
      </c>
      <c r="I1908" s="4">
        <v>0</v>
      </c>
      <c r="J1908" s="6">
        <v>44595</v>
      </c>
      <c r="K1908" t="str">
        <f t="shared" si="58"/>
        <v>Q1 2022</v>
      </c>
      <c r="L1908" t="str">
        <f t="shared" si="59"/>
        <v>Q1 2022</v>
      </c>
    </row>
    <row r="1909" spans="1:12" ht="15.75" customHeight="1" x14ac:dyDescent="0.3">
      <c r="A1909" s="2" t="s">
        <v>2990</v>
      </c>
      <c r="B1909" s="2" t="s">
        <v>11</v>
      </c>
      <c r="C1909" s="2" t="s">
        <v>12</v>
      </c>
      <c r="D1909" s="2" t="s">
        <v>2408</v>
      </c>
      <c r="E1909" s="2" t="s">
        <v>80</v>
      </c>
      <c r="F1909" s="2" t="s">
        <v>2465</v>
      </c>
      <c r="G1909" s="4">
        <v>107234</v>
      </c>
      <c r="H1909" s="6">
        <v>44630</v>
      </c>
      <c r="I1909" s="4">
        <v>0</v>
      </c>
      <c r="J1909" s="6">
        <v>44603</v>
      </c>
      <c r="K1909" t="str">
        <f t="shared" si="58"/>
        <v>Q1 2022</v>
      </c>
      <c r="L1909" t="str">
        <f t="shared" si="59"/>
        <v>Q1 2022</v>
      </c>
    </row>
    <row r="1910" spans="1:12" ht="15.75" customHeight="1" x14ac:dyDescent="0.3">
      <c r="A1910" s="2" t="s">
        <v>2991</v>
      </c>
      <c r="B1910" s="2" t="s">
        <v>11</v>
      </c>
      <c r="C1910" s="2" t="s">
        <v>12</v>
      </c>
      <c r="D1910" s="2" t="s">
        <v>2408</v>
      </c>
      <c r="E1910" s="2" t="s">
        <v>80</v>
      </c>
      <c r="F1910" s="2" t="s">
        <v>2992</v>
      </c>
      <c r="G1910" s="4">
        <v>70907</v>
      </c>
      <c r="H1910" s="5" t="s">
        <v>728</v>
      </c>
      <c r="I1910" s="4">
        <v>0</v>
      </c>
      <c r="J1910" s="6">
        <v>44600</v>
      </c>
      <c r="K1910" t="str">
        <f t="shared" si="58"/>
        <v>Q1 2022</v>
      </c>
      <c r="L1910" t="str">
        <f t="shared" si="59"/>
        <v>Q1 2022</v>
      </c>
    </row>
    <row r="1911" spans="1:12" ht="15.75" customHeight="1" x14ac:dyDescent="0.3">
      <c r="A1911" s="2" t="s">
        <v>2993</v>
      </c>
      <c r="B1911" s="2" t="s">
        <v>11</v>
      </c>
      <c r="C1911" s="2" t="s">
        <v>12</v>
      </c>
      <c r="D1911" s="2" t="s">
        <v>2408</v>
      </c>
      <c r="E1911" s="2" t="s">
        <v>80</v>
      </c>
      <c r="F1911" s="2" t="s">
        <v>2994</v>
      </c>
      <c r="G1911" s="4">
        <v>110008</v>
      </c>
      <c r="H1911" s="5" t="s">
        <v>142</v>
      </c>
      <c r="I1911" s="4">
        <v>0</v>
      </c>
      <c r="J1911" s="6">
        <v>44596</v>
      </c>
      <c r="K1911" t="str">
        <f t="shared" si="58"/>
        <v>Q1 2022</v>
      </c>
      <c r="L1911" t="str">
        <f t="shared" si="59"/>
        <v>Q1 2022</v>
      </c>
    </row>
    <row r="1912" spans="1:12" ht="15.75" customHeight="1" x14ac:dyDescent="0.3">
      <c r="A1912" s="2" t="s">
        <v>2995</v>
      </c>
      <c r="B1912" s="2" t="s">
        <v>11</v>
      </c>
      <c r="C1912" s="2" t="s">
        <v>12</v>
      </c>
      <c r="D1912" s="2" t="s">
        <v>2408</v>
      </c>
      <c r="E1912" s="2" t="s">
        <v>80</v>
      </c>
      <c r="F1912" s="2" t="s">
        <v>2436</v>
      </c>
      <c r="G1912" s="4">
        <v>141752</v>
      </c>
      <c r="H1912" s="6">
        <v>44627</v>
      </c>
      <c r="I1912" s="4">
        <v>0</v>
      </c>
      <c r="J1912" s="6">
        <v>44600</v>
      </c>
      <c r="K1912" t="str">
        <f t="shared" si="58"/>
        <v>Q1 2022</v>
      </c>
      <c r="L1912" t="str">
        <f t="shared" si="59"/>
        <v>Q1 2022</v>
      </c>
    </row>
    <row r="1913" spans="1:12" ht="15.75" customHeight="1" x14ac:dyDescent="0.3">
      <c r="A1913" s="2" t="s">
        <v>2996</v>
      </c>
      <c r="B1913" s="2" t="s">
        <v>11</v>
      </c>
      <c r="C1913" s="2" t="s">
        <v>12</v>
      </c>
      <c r="D1913" s="2" t="s">
        <v>2408</v>
      </c>
      <c r="E1913" s="2" t="s">
        <v>80</v>
      </c>
      <c r="F1913" s="2" t="s">
        <v>2997</v>
      </c>
      <c r="G1913" s="4">
        <v>100580</v>
      </c>
      <c r="H1913" s="5" t="s">
        <v>39</v>
      </c>
      <c r="I1913" s="4">
        <v>0</v>
      </c>
      <c r="J1913" s="6">
        <v>44603</v>
      </c>
      <c r="K1913" t="str">
        <f t="shared" si="58"/>
        <v>Q1 2022</v>
      </c>
      <c r="L1913" t="str">
        <f t="shared" si="59"/>
        <v>Q1 2022</v>
      </c>
    </row>
    <row r="1914" spans="1:12" ht="15.75" customHeight="1" x14ac:dyDescent="0.3">
      <c r="A1914" s="2" t="s">
        <v>2998</v>
      </c>
      <c r="B1914" s="2" t="s">
        <v>11</v>
      </c>
      <c r="C1914" s="2" t="s">
        <v>12</v>
      </c>
      <c r="D1914" s="2" t="s">
        <v>2408</v>
      </c>
      <c r="E1914" s="2" t="s">
        <v>80</v>
      </c>
      <c r="F1914" s="2" t="s">
        <v>2999</v>
      </c>
      <c r="G1914" s="4">
        <v>72195</v>
      </c>
      <c r="H1914" s="5" t="s">
        <v>123</v>
      </c>
      <c r="I1914" s="4">
        <v>0</v>
      </c>
      <c r="J1914" s="6">
        <v>44594</v>
      </c>
      <c r="K1914" t="str">
        <f t="shared" si="58"/>
        <v>Q1 2022</v>
      </c>
      <c r="L1914" t="str">
        <f t="shared" si="59"/>
        <v>Q1 2022</v>
      </c>
    </row>
    <row r="1915" spans="1:12" ht="15.75" customHeight="1" x14ac:dyDescent="0.3">
      <c r="A1915" s="2" t="s">
        <v>3000</v>
      </c>
      <c r="B1915" s="2" t="s">
        <v>11</v>
      </c>
      <c r="C1915" s="2" t="s">
        <v>12</v>
      </c>
      <c r="D1915" s="2" t="s">
        <v>2408</v>
      </c>
      <c r="E1915" s="2" t="s">
        <v>80</v>
      </c>
      <c r="F1915" s="2" t="s">
        <v>3001</v>
      </c>
      <c r="G1915" s="4">
        <v>123092</v>
      </c>
      <c r="H1915" s="5" t="s">
        <v>192</v>
      </c>
      <c r="I1915" s="4">
        <v>0</v>
      </c>
      <c r="J1915" s="6">
        <v>44595</v>
      </c>
      <c r="K1915" t="str">
        <f t="shared" si="58"/>
        <v>Q1 2022</v>
      </c>
      <c r="L1915" t="str">
        <f t="shared" si="59"/>
        <v>Q1 2022</v>
      </c>
    </row>
    <row r="1916" spans="1:12" ht="15.75" customHeight="1" x14ac:dyDescent="0.3">
      <c r="A1916" s="2" t="s">
        <v>3002</v>
      </c>
      <c r="B1916" s="2" t="s">
        <v>11</v>
      </c>
      <c r="C1916" s="2" t="s">
        <v>12</v>
      </c>
      <c r="D1916" s="2" t="s">
        <v>2408</v>
      </c>
      <c r="E1916" s="2" t="s">
        <v>80</v>
      </c>
      <c r="F1916" s="2" t="s">
        <v>2436</v>
      </c>
      <c r="G1916" s="4">
        <v>63496</v>
      </c>
      <c r="H1916" s="5" t="s">
        <v>232</v>
      </c>
      <c r="I1916" s="4">
        <v>0</v>
      </c>
      <c r="J1916" s="6">
        <v>44594</v>
      </c>
      <c r="K1916" t="str">
        <f t="shared" si="58"/>
        <v>Q1 2022</v>
      </c>
      <c r="L1916" t="str">
        <f t="shared" si="59"/>
        <v>Q1 2022</v>
      </c>
    </row>
    <row r="1917" spans="1:12" ht="15.75" customHeight="1" x14ac:dyDescent="0.3">
      <c r="A1917" s="2" t="s">
        <v>3003</v>
      </c>
      <c r="B1917" s="2" t="s">
        <v>11</v>
      </c>
      <c r="C1917" s="2" t="s">
        <v>12</v>
      </c>
      <c r="D1917" s="2" t="s">
        <v>2408</v>
      </c>
      <c r="E1917" s="2" t="s">
        <v>80</v>
      </c>
      <c r="F1917" s="2" t="s">
        <v>3004</v>
      </c>
      <c r="G1917" s="4">
        <v>76766</v>
      </c>
      <c r="H1917" s="5" t="s">
        <v>71</v>
      </c>
      <c r="I1917" s="4">
        <v>0</v>
      </c>
      <c r="J1917" s="6">
        <v>44603</v>
      </c>
      <c r="K1917" t="str">
        <f t="shared" si="58"/>
        <v>Q1 2022</v>
      </c>
      <c r="L1917" t="str">
        <f t="shared" si="59"/>
        <v>Q1 2022</v>
      </c>
    </row>
    <row r="1918" spans="1:12" ht="15.75" customHeight="1" x14ac:dyDescent="0.3">
      <c r="A1918" s="2" t="s">
        <v>3005</v>
      </c>
      <c r="B1918" s="2" t="s">
        <v>11</v>
      </c>
      <c r="C1918" s="2" t="s">
        <v>12</v>
      </c>
      <c r="D1918" s="2" t="s">
        <v>2408</v>
      </c>
      <c r="E1918" s="2" t="s">
        <v>80</v>
      </c>
      <c r="F1918" s="2" t="s">
        <v>3006</v>
      </c>
      <c r="G1918" s="4">
        <v>157511</v>
      </c>
      <c r="H1918" s="5" t="s">
        <v>25</v>
      </c>
      <c r="I1918" s="4">
        <v>0</v>
      </c>
      <c r="J1918" s="6">
        <v>44603</v>
      </c>
      <c r="K1918" t="str">
        <f t="shared" si="58"/>
        <v>Q1 2022</v>
      </c>
      <c r="L1918" t="str">
        <f t="shared" si="59"/>
        <v>Q1 2022</v>
      </c>
    </row>
    <row r="1919" spans="1:12" ht="15.75" customHeight="1" x14ac:dyDescent="0.3">
      <c r="A1919" s="2" t="s">
        <v>3007</v>
      </c>
      <c r="B1919" s="2" t="s">
        <v>11</v>
      </c>
      <c r="C1919" s="2" t="s">
        <v>12</v>
      </c>
      <c r="D1919" s="2" t="s">
        <v>2408</v>
      </c>
      <c r="E1919" s="2" t="s">
        <v>80</v>
      </c>
      <c r="F1919" s="2" t="s">
        <v>2963</v>
      </c>
      <c r="G1919" s="4">
        <v>104943</v>
      </c>
      <c r="H1919" s="5" t="s">
        <v>30</v>
      </c>
      <c r="I1919" s="4">
        <v>0</v>
      </c>
      <c r="J1919" s="6">
        <v>44603</v>
      </c>
      <c r="K1919" t="str">
        <f t="shared" si="58"/>
        <v>Q1 2022</v>
      </c>
      <c r="L1919" t="str">
        <f t="shared" si="59"/>
        <v>Q1 2022</v>
      </c>
    </row>
    <row r="1920" spans="1:12" ht="15.75" customHeight="1" x14ac:dyDescent="0.3">
      <c r="A1920" s="2" t="s">
        <v>3008</v>
      </c>
      <c r="B1920" s="2" t="s">
        <v>11</v>
      </c>
      <c r="C1920" s="2" t="s">
        <v>12</v>
      </c>
      <c r="D1920" s="2" t="s">
        <v>2408</v>
      </c>
      <c r="E1920" s="2" t="s">
        <v>80</v>
      </c>
      <c r="F1920" s="2" t="s">
        <v>3009</v>
      </c>
      <c r="G1920" s="4">
        <v>77640</v>
      </c>
      <c r="H1920" s="6">
        <v>44658</v>
      </c>
      <c r="I1920" s="4">
        <v>0</v>
      </c>
      <c r="J1920" s="6">
        <v>44601</v>
      </c>
      <c r="K1920" t="str">
        <f t="shared" si="58"/>
        <v>Q1 2022</v>
      </c>
      <c r="L1920" t="str">
        <f t="shared" si="59"/>
        <v>Q1 2022</v>
      </c>
    </row>
    <row r="1921" spans="1:12" ht="15.75" customHeight="1" x14ac:dyDescent="0.3">
      <c r="A1921" s="2" t="s">
        <v>3010</v>
      </c>
      <c r="B1921" s="2" t="s">
        <v>11</v>
      </c>
      <c r="C1921" s="2" t="s">
        <v>12</v>
      </c>
      <c r="D1921" s="2" t="s">
        <v>2408</v>
      </c>
      <c r="E1921" s="2" t="s">
        <v>80</v>
      </c>
      <c r="F1921" s="2" t="s">
        <v>3011</v>
      </c>
      <c r="G1921" s="4">
        <v>46963</v>
      </c>
      <c r="H1921" s="5" t="s">
        <v>42</v>
      </c>
      <c r="I1921" s="4">
        <v>0</v>
      </c>
      <c r="J1921" s="6">
        <v>44603</v>
      </c>
      <c r="K1921" t="str">
        <f t="shared" si="58"/>
        <v>Q1 2022</v>
      </c>
      <c r="L1921" t="str">
        <f t="shared" si="59"/>
        <v>Q1 2022</v>
      </c>
    </row>
    <row r="1922" spans="1:12" ht="15.75" customHeight="1" x14ac:dyDescent="0.3">
      <c r="A1922" s="2" t="s">
        <v>3012</v>
      </c>
      <c r="B1922" s="2" t="s">
        <v>11</v>
      </c>
      <c r="C1922" s="2" t="s">
        <v>12</v>
      </c>
      <c r="D1922" s="2" t="s">
        <v>2408</v>
      </c>
      <c r="E1922" s="2" t="s">
        <v>80</v>
      </c>
      <c r="F1922" s="2" t="s">
        <v>3013</v>
      </c>
      <c r="G1922" s="4">
        <v>96602</v>
      </c>
      <c r="H1922" s="5" t="s">
        <v>419</v>
      </c>
      <c r="I1922" s="4">
        <v>0</v>
      </c>
      <c r="J1922" s="6">
        <v>44961</v>
      </c>
      <c r="K1922" t="str">
        <f t="shared" ref="K1922:K1985" si="60">"Q" &amp; ROUNDUP(MONTH(J:J)/3,0) &amp; " " &amp; YEAR(J:J)</f>
        <v>Q1 2023</v>
      </c>
      <c r="L1922" t="str">
        <f t="shared" ref="L1922:L1987" si="61">"Q" &amp; ROUNDUP(MONTH(J:J)/3,0) &amp; " " &amp; YEAR(J:J)</f>
        <v>Q1 2023</v>
      </c>
    </row>
    <row r="1923" spans="1:12" ht="15.75" customHeight="1" x14ac:dyDescent="0.3">
      <c r="A1923" s="2" t="s">
        <v>3014</v>
      </c>
      <c r="B1923" s="2" t="s">
        <v>11</v>
      </c>
      <c r="C1923" s="2" t="s">
        <v>12</v>
      </c>
      <c r="D1923" s="2" t="s">
        <v>2408</v>
      </c>
      <c r="E1923" s="2" t="s">
        <v>80</v>
      </c>
      <c r="F1923" s="2" t="s">
        <v>3015</v>
      </c>
      <c r="G1923" s="4">
        <v>101400</v>
      </c>
      <c r="H1923" s="6">
        <v>44598</v>
      </c>
      <c r="I1923" s="4">
        <v>0</v>
      </c>
      <c r="J1923" s="6">
        <v>44599</v>
      </c>
      <c r="K1923" t="str">
        <f t="shared" si="60"/>
        <v>Q1 2022</v>
      </c>
      <c r="L1923" t="str">
        <f t="shared" si="61"/>
        <v>Q1 2022</v>
      </c>
    </row>
    <row r="1924" spans="1:12" ht="15.75" customHeight="1" x14ac:dyDescent="0.3">
      <c r="A1924" s="2" t="s">
        <v>3016</v>
      </c>
      <c r="B1924" s="2" t="s">
        <v>11</v>
      </c>
      <c r="C1924" s="2" t="s">
        <v>12</v>
      </c>
      <c r="D1924" s="2" t="s">
        <v>2408</v>
      </c>
      <c r="E1924" s="2" t="s">
        <v>80</v>
      </c>
      <c r="F1924" s="2" t="s">
        <v>2463</v>
      </c>
      <c r="G1924" s="4">
        <v>77523</v>
      </c>
      <c r="H1924" s="5" t="s">
        <v>189</v>
      </c>
      <c r="I1924" s="4">
        <v>0</v>
      </c>
      <c r="J1924" s="6">
        <v>44601</v>
      </c>
      <c r="K1924" t="str">
        <f t="shared" si="60"/>
        <v>Q1 2022</v>
      </c>
      <c r="L1924" t="str">
        <f t="shared" si="61"/>
        <v>Q1 2022</v>
      </c>
    </row>
    <row r="1925" spans="1:12" ht="15.75" customHeight="1" x14ac:dyDescent="0.3">
      <c r="A1925" s="2" t="s">
        <v>3017</v>
      </c>
      <c r="B1925" s="2" t="s">
        <v>20</v>
      </c>
      <c r="C1925" s="2" t="s">
        <v>21</v>
      </c>
      <c r="D1925" s="2" t="s">
        <v>2408</v>
      </c>
      <c r="E1925" s="2" t="s">
        <v>80</v>
      </c>
      <c r="F1925" s="2" t="s">
        <v>3018</v>
      </c>
      <c r="G1925" s="4">
        <v>120138</v>
      </c>
      <c r="H1925" s="5" t="s">
        <v>1562</v>
      </c>
      <c r="I1925" s="4">
        <v>24028</v>
      </c>
      <c r="J1925" s="5" t="s">
        <v>301</v>
      </c>
      <c r="K1925" t="str">
        <f t="shared" si="60"/>
        <v>Q4 2022</v>
      </c>
      <c r="L1925" t="str">
        <f t="shared" si="61"/>
        <v>Q4 2022</v>
      </c>
    </row>
    <row r="1926" spans="1:12" ht="15.75" customHeight="1" x14ac:dyDescent="0.3">
      <c r="A1926" s="2" t="s">
        <v>3019</v>
      </c>
      <c r="B1926" s="2" t="s">
        <v>11</v>
      </c>
      <c r="C1926" s="2" t="s">
        <v>12</v>
      </c>
      <c r="D1926" s="2" t="s">
        <v>2408</v>
      </c>
      <c r="E1926" s="2" t="s">
        <v>80</v>
      </c>
      <c r="F1926" s="2" t="s">
        <v>2948</v>
      </c>
      <c r="G1926" s="4">
        <v>100556</v>
      </c>
      <c r="H1926" s="6">
        <v>44658</v>
      </c>
      <c r="I1926" s="4">
        <v>0</v>
      </c>
      <c r="J1926" s="6">
        <v>44601</v>
      </c>
      <c r="K1926" t="str">
        <f t="shared" si="60"/>
        <v>Q1 2022</v>
      </c>
      <c r="L1926" t="str">
        <f t="shared" si="61"/>
        <v>Q1 2022</v>
      </c>
    </row>
    <row r="1927" spans="1:12" ht="15.75" customHeight="1" x14ac:dyDescent="0.3">
      <c r="A1927" s="2" t="s">
        <v>3020</v>
      </c>
      <c r="B1927" s="2" t="s">
        <v>11</v>
      </c>
      <c r="C1927" s="2" t="s">
        <v>12</v>
      </c>
      <c r="D1927" s="2" t="s">
        <v>2408</v>
      </c>
      <c r="E1927" s="2" t="s">
        <v>80</v>
      </c>
      <c r="F1927" s="2" t="s">
        <v>2463</v>
      </c>
      <c r="G1927" s="4">
        <v>117492</v>
      </c>
      <c r="H1927" s="5" t="s">
        <v>71</v>
      </c>
      <c r="I1927" s="4">
        <v>0</v>
      </c>
      <c r="J1927" s="6">
        <v>44603</v>
      </c>
      <c r="K1927" t="str">
        <f t="shared" si="60"/>
        <v>Q1 2022</v>
      </c>
      <c r="L1927" t="str">
        <f t="shared" si="61"/>
        <v>Q1 2022</v>
      </c>
    </row>
    <row r="1928" spans="1:12" ht="15.75" customHeight="1" x14ac:dyDescent="0.3">
      <c r="A1928" s="2" t="s">
        <v>3021</v>
      </c>
      <c r="B1928" s="2" t="s">
        <v>11</v>
      </c>
      <c r="C1928" s="2" t="s">
        <v>12</v>
      </c>
      <c r="D1928" s="2" t="s">
        <v>2408</v>
      </c>
      <c r="E1928" s="2" t="s">
        <v>80</v>
      </c>
      <c r="F1928" s="2" t="s">
        <v>2516</v>
      </c>
      <c r="G1928" s="4">
        <v>96626</v>
      </c>
      <c r="H1928" s="5" t="s">
        <v>309</v>
      </c>
      <c r="I1928" s="4">
        <v>0</v>
      </c>
      <c r="J1928" s="6">
        <v>44594</v>
      </c>
      <c r="K1928" t="str">
        <f t="shared" si="60"/>
        <v>Q1 2022</v>
      </c>
      <c r="L1928" t="str">
        <f t="shared" si="61"/>
        <v>Q1 2022</v>
      </c>
    </row>
    <row r="1929" spans="1:12" ht="15.75" customHeight="1" x14ac:dyDescent="0.3">
      <c r="A1929" s="2" t="s">
        <v>3022</v>
      </c>
      <c r="B1929" s="2" t="s">
        <v>11</v>
      </c>
      <c r="C1929" s="2" t="s">
        <v>12</v>
      </c>
      <c r="D1929" s="2" t="s">
        <v>2408</v>
      </c>
      <c r="E1929" s="2" t="s">
        <v>80</v>
      </c>
      <c r="F1929" s="2" t="s">
        <v>3023</v>
      </c>
      <c r="G1929" s="4">
        <v>100528</v>
      </c>
      <c r="H1929" s="6">
        <v>44625</v>
      </c>
      <c r="I1929" s="4">
        <v>0</v>
      </c>
      <c r="J1929" s="6">
        <v>44599</v>
      </c>
      <c r="K1929" t="str">
        <f t="shared" si="60"/>
        <v>Q1 2022</v>
      </c>
      <c r="L1929" t="str">
        <f t="shared" si="61"/>
        <v>Q1 2022</v>
      </c>
    </row>
    <row r="1930" spans="1:12" ht="15.75" customHeight="1" x14ac:dyDescent="0.3">
      <c r="A1930" s="2" t="s">
        <v>3024</v>
      </c>
      <c r="B1930" s="2" t="s">
        <v>11</v>
      </c>
      <c r="C1930" s="2" t="s">
        <v>12</v>
      </c>
      <c r="D1930" s="2" t="s">
        <v>2408</v>
      </c>
      <c r="E1930" s="2" t="s">
        <v>80</v>
      </c>
      <c r="F1930" s="2" t="s">
        <v>46</v>
      </c>
      <c r="G1930" s="4">
        <v>157078</v>
      </c>
      <c r="H1930" s="5" t="s">
        <v>455</v>
      </c>
      <c r="I1930" s="4">
        <v>0</v>
      </c>
      <c r="J1930" s="6">
        <v>44600</v>
      </c>
      <c r="K1930" t="str">
        <f t="shared" si="60"/>
        <v>Q1 2022</v>
      </c>
      <c r="L1930" t="str">
        <f t="shared" si="61"/>
        <v>Q1 2022</v>
      </c>
    </row>
    <row r="1931" spans="1:12" ht="15.75" customHeight="1" x14ac:dyDescent="0.3">
      <c r="A1931" s="2" t="s">
        <v>3025</v>
      </c>
      <c r="B1931" s="2" t="s">
        <v>11</v>
      </c>
      <c r="C1931" s="2" t="s">
        <v>12</v>
      </c>
      <c r="D1931" s="2" t="s">
        <v>2408</v>
      </c>
      <c r="E1931" s="2" t="s">
        <v>80</v>
      </c>
      <c r="F1931" s="2" t="s">
        <v>3026</v>
      </c>
      <c r="G1931" s="4">
        <v>74856</v>
      </c>
      <c r="H1931" s="5" t="s">
        <v>42</v>
      </c>
      <c r="I1931" s="4">
        <v>0</v>
      </c>
      <c r="J1931" s="6">
        <v>44603</v>
      </c>
      <c r="K1931" t="str">
        <f t="shared" si="60"/>
        <v>Q1 2022</v>
      </c>
      <c r="L1931" t="str">
        <f t="shared" si="61"/>
        <v>Q1 2022</v>
      </c>
    </row>
    <row r="1932" spans="1:12" ht="15.75" customHeight="1" x14ac:dyDescent="0.3">
      <c r="A1932" s="2" t="s">
        <v>3027</v>
      </c>
      <c r="B1932" s="2" t="s">
        <v>11</v>
      </c>
      <c r="C1932" s="2" t="s">
        <v>12</v>
      </c>
      <c r="D1932" s="2" t="s">
        <v>2408</v>
      </c>
      <c r="E1932" s="2" t="s">
        <v>80</v>
      </c>
      <c r="F1932" s="2" t="s">
        <v>3028</v>
      </c>
      <c r="G1932" s="4">
        <v>100523</v>
      </c>
      <c r="H1932" s="5" t="s">
        <v>142</v>
      </c>
      <c r="I1932" s="4">
        <v>0</v>
      </c>
      <c r="J1932" s="6">
        <v>44596</v>
      </c>
      <c r="K1932" t="str">
        <f t="shared" si="60"/>
        <v>Q1 2022</v>
      </c>
      <c r="L1932" t="str">
        <f t="shared" si="61"/>
        <v>Q1 2022</v>
      </c>
    </row>
    <row r="1933" spans="1:12" ht="15.75" customHeight="1" x14ac:dyDescent="0.3">
      <c r="A1933" s="2" t="s">
        <v>3029</v>
      </c>
      <c r="B1933" s="2" t="s">
        <v>11</v>
      </c>
      <c r="C1933" s="2" t="s">
        <v>12</v>
      </c>
      <c r="D1933" s="2" t="s">
        <v>2408</v>
      </c>
      <c r="E1933" s="2" t="s">
        <v>80</v>
      </c>
      <c r="F1933" s="2" t="s">
        <v>46</v>
      </c>
      <c r="G1933" s="4">
        <v>135000</v>
      </c>
      <c r="H1933" s="6">
        <v>44629</v>
      </c>
      <c r="I1933" s="4">
        <v>0</v>
      </c>
      <c r="J1933" s="6">
        <v>44603</v>
      </c>
      <c r="K1933" t="str">
        <f t="shared" si="60"/>
        <v>Q1 2022</v>
      </c>
      <c r="L1933" t="str">
        <f t="shared" si="61"/>
        <v>Q1 2022</v>
      </c>
    </row>
    <row r="1934" spans="1:12" ht="15.75" customHeight="1" x14ac:dyDescent="0.3">
      <c r="A1934" s="2" t="s">
        <v>3030</v>
      </c>
      <c r="B1934" s="2" t="s">
        <v>11</v>
      </c>
      <c r="C1934" s="2" t="s">
        <v>12</v>
      </c>
      <c r="D1934" s="2" t="s">
        <v>2408</v>
      </c>
      <c r="E1934" s="2" t="s">
        <v>80</v>
      </c>
      <c r="F1934" s="2" t="s">
        <v>46</v>
      </c>
      <c r="G1934" s="4">
        <v>100829</v>
      </c>
      <c r="H1934" s="5" t="s">
        <v>197</v>
      </c>
      <c r="I1934" s="4">
        <v>0</v>
      </c>
      <c r="J1934" s="6">
        <v>44601</v>
      </c>
      <c r="K1934" t="str">
        <f t="shared" si="60"/>
        <v>Q1 2022</v>
      </c>
      <c r="L1934" t="str">
        <f t="shared" si="61"/>
        <v>Q1 2022</v>
      </c>
    </row>
    <row r="1935" spans="1:12" ht="15.75" customHeight="1" x14ac:dyDescent="0.3">
      <c r="A1935" s="2" t="s">
        <v>3031</v>
      </c>
      <c r="B1935" s="2" t="s">
        <v>11</v>
      </c>
      <c r="C1935" s="2" t="s">
        <v>12</v>
      </c>
      <c r="D1935" s="2" t="s">
        <v>2408</v>
      </c>
      <c r="E1935" s="2" t="s">
        <v>80</v>
      </c>
      <c r="F1935" s="2" t="s">
        <v>3032</v>
      </c>
      <c r="G1935" s="4">
        <v>72195</v>
      </c>
      <c r="H1935" s="5" t="s">
        <v>71</v>
      </c>
      <c r="I1935" s="4">
        <v>0</v>
      </c>
      <c r="J1935" s="6">
        <v>44603</v>
      </c>
      <c r="K1935" t="str">
        <f t="shared" si="60"/>
        <v>Q1 2022</v>
      </c>
      <c r="L1935" t="str">
        <f t="shared" si="61"/>
        <v>Q1 2022</v>
      </c>
    </row>
    <row r="1936" spans="1:12" ht="15.75" customHeight="1" x14ac:dyDescent="0.3">
      <c r="A1936" s="2" t="s">
        <v>3033</v>
      </c>
      <c r="B1936" s="2" t="s">
        <v>11</v>
      </c>
      <c r="C1936" s="2" t="s">
        <v>12</v>
      </c>
      <c r="D1936" s="2" t="s">
        <v>2408</v>
      </c>
      <c r="E1936" s="2" t="s">
        <v>80</v>
      </c>
      <c r="F1936" s="2" t="s">
        <v>3034</v>
      </c>
      <c r="G1936" s="4">
        <v>100546</v>
      </c>
      <c r="H1936" s="5" t="s">
        <v>42</v>
      </c>
      <c r="I1936" s="4">
        <v>0</v>
      </c>
      <c r="J1936" s="6">
        <v>44603</v>
      </c>
      <c r="K1936" t="str">
        <f t="shared" si="60"/>
        <v>Q1 2022</v>
      </c>
      <c r="L1936" t="str">
        <f t="shared" si="61"/>
        <v>Q1 2022</v>
      </c>
    </row>
    <row r="1937" spans="1:12" ht="15.75" customHeight="1" x14ac:dyDescent="0.3">
      <c r="A1937" s="2" t="s">
        <v>3035</v>
      </c>
      <c r="B1937" s="2" t="s">
        <v>11</v>
      </c>
      <c r="C1937" s="2" t="s">
        <v>12</v>
      </c>
      <c r="D1937" s="2" t="s">
        <v>2408</v>
      </c>
      <c r="E1937" s="2" t="s">
        <v>80</v>
      </c>
      <c r="F1937" s="2" t="s">
        <v>2436</v>
      </c>
      <c r="G1937" s="4">
        <v>95472</v>
      </c>
      <c r="H1937" s="5" t="s">
        <v>71</v>
      </c>
      <c r="I1937" s="4">
        <v>0</v>
      </c>
      <c r="J1937" s="6">
        <v>44603</v>
      </c>
      <c r="K1937" t="str">
        <f t="shared" si="60"/>
        <v>Q1 2022</v>
      </c>
      <c r="L1937" t="str">
        <f t="shared" si="61"/>
        <v>Q1 2022</v>
      </c>
    </row>
    <row r="1938" spans="1:12" ht="15.75" customHeight="1" x14ac:dyDescent="0.3">
      <c r="A1938" s="2" t="s">
        <v>3036</v>
      </c>
      <c r="B1938" s="2" t="s">
        <v>11</v>
      </c>
      <c r="C1938" s="2" t="s">
        <v>12</v>
      </c>
      <c r="D1938" s="2" t="s">
        <v>2408</v>
      </c>
      <c r="E1938" s="2" t="s">
        <v>80</v>
      </c>
      <c r="F1938" s="2" t="s">
        <v>2629</v>
      </c>
      <c r="G1938" s="4">
        <v>296027</v>
      </c>
      <c r="H1938" s="6">
        <v>44627</v>
      </c>
      <c r="I1938" s="4">
        <v>0</v>
      </c>
      <c r="J1938" s="6">
        <v>44600</v>
      </c>
      <c r="K1938" t="str">
        <f t="shared" si="60"/>
        <v>Q1 2022</v>
      </c>
      <c r="L1938" t="str">
        <f t="shared" si="61"/>
        <v>Q1 2022</v>
      </c>
    </row>
    <row r="1939" spans="1:12" ht="15.75" customHeight="1" x14ac:dyDescent="0.3">
      <c r="A1939" s="2" t="s">
        <v>3037</v>
      </c>
      <c r="B1939" s="2" t="s">
        <v>11</v>
      </c>
      <c r="C1939" s="2" t="s">
        <v>12</v>
      </c>
      <c r="D1939" s="2" t="s">
        <v>2408</v>
      </c>
      <c r="E1939" s="2" t="s">
        <v>80</v>
      </c>
      <c r="F1939" s="2" t="s">
        <v>3038</v>
      </c>
      <c r="G1939" s="4">
        <v>95734</v>
      </c>
      <c r="H1939" s="6">
        <v>44298</v>
      </c>
      <c r="I1939" s="4">
        <v>0</v>
      </c>
      <c r="J1939" s="6">
        <v>44594</v>
      </c>
      <c r="K1939" t="str">
        <f t="shared" si="60"/>
        <v>Q1 2022</v>
      </c>
      <c r="L1939" t="str">
        <f t="shared" si="61"/>
        <v>Q1 2022</v>
      </c>
    </row>
    <row r="1940" spans="1:12" ht="15.75" customHeight="1" x14ac:dyDescent="0.3">
      <c r="A1940" s="2" t="s">
        <v>3039</v>
      </c>
      <c r="B1940" s="2" t="s">
        <v>11</v>
      </c>
      <c r="C1940" s="2" t="s">
        <v>12</v>
      </c>
      <c r="D1940" s="2" t="s">
        <v>2408</v>
      </c>
      <c r="E1940" s="2" t="s">
        <v>80</v>
      </c>
      <c r="F1940" s="2" t="s">
        <v>3040</v>
      </c>
      <c r="G1940" s="4">
        <v>152453</v>
      </c>
      <c r="H1940" s="5" t="s">
        <v>232</v>
      </c>
      <c r="I1940" s="4">
        <v>0</v>
      </c>
      <c r="J1940" s="6">
        <v>44594</v>
      </c>
      <c r="K1940" t="str">
        <f t="shared" si="60"/>
        <v>Q1 2022</v>
      </c>
      <c r="L1940" t="str">
        <f t="shared" si="61"/>
        <v>Q1 2022</v>
      </c>
    </row>
    <row r="1941" spans="1:12" ht="15.75" customHeight="1" x14ac:dyDescent="0.3">
      <c r="A1941" s="2" t="s">
        <v>3041</v>
      </c>
      <c r="B1941" s="2" t="s">
        <v>11</v>
      </c>
      <c r="C1941" s="2" t="s">
        <v>12</v>
      </c>
      <c r="D1941" s="2" t="s">
        <v>2408</v>
      </c>
      <c r="E1941" s="2" t="s">
        <v>80</v>
      </c>
      <c r="F1941" s="2" t="s">
        <v>2436</v>
      </c>
      <c r="G1941" s="4">
        <v>62373</v>
      </c>
      <c r="H1941" s="5" t="s">
        <v>314</v>
      </c>
      <c r="I1941" s="4">
        <v>0</v>
      </c>
      <c r="J1941" s="6">
        <v>44961</v>
      </c>
      <c r="K1941" t="str">
        <f t="shared" si="60"/>
        <v>Q1 2023</v>
      </c>
      <c r="L1941" t="str">
        <f t="shared" si="61"/>
        <v>Q1 2023</v>
      </c>
    </row>
    <row r="1942" spans="1:12" ht="15.75" customHeight="1" x14ac:dyDescent="0.3">
      <c r="A1942" s="80" t="s">
        <v>3042</v>
      </c>
      <c r="B1942" s="2" t="s">
        <v>11</v>
      </c>
      <c r="C1942" s="2" t="s">
        <v>12</v>
      </c>
      <c r="D1942" s="2" t="s">
        <v>2408</v>
      </c>
      <c r="E1942" s="2" t="s">
        <v>80</v>
      </c>
      <c r="F1942" s="2" t="s">
        <v>3043</v>
      </c>
      <c r="G1942" s="4">
        <v>154020</v>
      </c>
      <c r="H1942" s="5" t="s">
        <v>42</v>
      </c>
      <c r="I1942" s="4">
        <v>0</v>
      </c>
      <c r="J1942" s="6">
        <v>44603</v>
      </c>
      <c r="K1942" t="str">
        <f t="shared" si="60"/>
        <v>Q1 2022</v>
      </c>
      <c r="L1942" t="str">
        <f t="shared" si="61"/>
        <v>Q1 2022</v>
      </c>
    </row>
    <row r="1943" spans="1:12" ht="15.75" customHeight="1" x14ac:dyDescent="0.3">
      <c r="A1943" s="2" t="s">
        <v>3044</v>
      </c>
      <c r="B1943" s="2" t="s">
        <v>11</v>
      </c>
      <c r="C1943" s="2" t="s">
        <v>12</v>
      </c>
      <c r="D1943" s="2" t="s">
        <v>2408</v>
      </c>
      <c r="E1943" s="2" t="s">
        <v>80</v>
      </c>
      <c r="F1943" s="2" t="s">
        <v>3045</v>
      </c>
      <c r="G1943" s="4">
        <v>100785</v>
      </c>
      <c r="H1943" s="6">
        <v>44298</v>
      </c>
      <c r="I1943" s="4">
        <v>0</v>
      </c>
      <c r="J1943" s="6">
        <v>44594</v>
      </c>
      <c r="K1943" t="str">
        <f t="shared" si="60"/>
        <v>Q1 2022</v>
      </c>
      <c r="L1943" t="str">
        <f t="shared" si="61"/>
        <v>Q1 2022</v>
      </c>
    </row>
    <row r="1944" spans="1:12" ht="15.75" customHeight="1" x14ac:dyDescent="0.3">
      <c r="A1944" s="2" t="s">
        <v>3046</v>
      </c>
      <c r="B1944" s="2" t="s">
        <v>11</v>
      </c>
      <c r="C1944" s="2" t="s">
        <v>12</v>
      </c>
      <c r="D1944" s="2" t="s">
        <v>2408</v>
      </c>
      <c r="E1944" s="2" t="s">
        <v>80</v>
      </c>
      <c r="F1944" s="2" t="s">
        <v>3047</v>
      </c>
      <c r="G1944" s="4">
        <v>101449</v>
      </c>
      <c r="H1944" s="5" t="s">
        <v>42</v>
      </c>
      <c r="I1944" s="4">
        <v>0</v>
      </c>
      <c r="J1944" s="6">
        <v>44603</v>
      </c>
      <c r="K1944" t="str">
        <f t="shared" si="60"/>
        <v>Q1 2022</v>
      </c>
      <c r="L1944" t="str">
        <f t="shared" si="61"/>
        <v>Q1 2022</v>
      </c>
    </row>
    <row r="1945" spans="1:12" ht="15.75" customHeight="1" x14ac:dyDescent="0.3">
      <c r="A1945" s="2" t="s">
        <v>3048</v>
      </c>
      <c r="B1945" s="2" t="s">
        <v>11</v>
      </c>
      <c r="C1945" s="2" t="s">
        <v>12</v>
      </c>
      <c r="D1945" s="2" t="s">
        <v>2408</v>
      </c>
      <c r="E1945" s="2" t="s">
        <v>80</v>
      </c>
      <c r="F1945" s="2" t="s">
        <v>3049</v>
      </c>
      <c r="G1945" s="4">
        <v>61423</v>
      </c>
      <c r="H1945" s="5" t="s">
        <v>39</v>
      </c>
      <c r="I1945" s="4">
        <v>0</v>
      </c>
      <c r="J1945" s="6">
        <v>44603</v>
      </c>
      <c r="K1945" t="str">
        <f t="shared" si="60"/>
        <v>Q1 2022</v>
      </c>
      <c r="L1945" t="str">
        <f t="shared" si="61"/>
        <v>Q1 2022</v>
      </c>
    </row>
    <row r="1946" spans="1:12" ht="15.75" customHeight="1" x14ac:dyDescent="0.3">
      <c r="A1946" s="2" t="s">
        <v>3050</v>
      </c>
      <c r="B1946" s="2" t="s">
        <v>11</v>
      </c>
      <c r="C1946" s="2" t="s">
        <v>12</v>
      </c>
      <c r="D1946" s="2" t="s">
        <v>2408</v>
      </c>
      <c r="E1946" s="2" t="s">
        <v>80</v>
      </c>
      <c r="F1946" s="2" t="s">
        <v>3051</v>
      </c>
      <c r="G1946" s="4">
        <v>87997</v>
      </c>
      <c r="H1946" s="6">
        <v>44629</v>
      </c>
      <c r="I1946" s="4">
        <v>0</v>
      </c>
      <c r="J1946" s="6">
        <v>44603</v>
      </c>
      <c r="K1946" t="str">
        <f t="shared" si="60"/>
        <v>Q1 2022</v>
      </c>
      <c r="L1946" t="str">
        <f t="shared" si="61"/>
        <v>Q1 2022</v>
      </c>
    </row>
    <row r="1947" spans="1:12" ht="15.75" customHeight="1" x14ac:dyDescent="0.3">
      <c r="A1947" s="2" t="s">
        <v>3052</v>
      </c>
      <c r="B1947" s="2" t="s">
        <v>11</v>
      </c>
      <c r="C1947" s="2" t="s">
        <v>12</v>
      </c>
      <c r="D1947" s="2" t="s">
        <v>2408</v>
      </c>
      <c r="E1947" s="2" t="s">
        <v>80</v>
      </c>
      <c r="F1947" s="2" t="s">
        <v>3053</v>
      </c>
      <c r="G1947" s="4">
        <v>143565</v>
      </c>
      <c r="H1947" s="5" t="s">
        <v>42</v>
      </c>
      <c r="I1947" s="4">
        <v>0</v>
      </c>
      <c r="J1947" s="6">
        <v>44603</v>
      </c>
      <c r="K1947" t="str">
        <f t="shared" si="60"/>
        <v>Q1 2022</v>
      </c>
      <c r="L1947" t="str">
        <f t="shared" si="61"/>
        <v>Q1 2022</v>
      </c>
    </row>
    <row r="1948" spans="1:12" ht="15.75" customHeight="1" x14ac:dyDescent="0.3">
      <c r="A1948" s="2" t="s">
        <v>3054</v>
      </c>
      <c r="B1948" s="2" t="s">
        <v>11</v>
      </c>
      <c r="C1948" s="2" t="s">
        <v>12</v>
      </c>
      <c r="D1948" s="2" t="s">
        <v>2408</v>
      </c>
      <c r="E1948" s="2" t="s">
        <v>80</v>
      </c>
      <c r="F1948" s="2" t="s">
        <v>3049</v>
      </c>
      <c r="G1948" s="4">
        <v>106651</v>
      </c>
      <c r="H1948" s="5" t="s">
        <v>25</v>
      </c>
      <c r="I1948" s="4">
        <v>0</v>
      </c>
      <c r="J1948" s="6">
        <v>44603</v>
      </c>
      <c r="K1948" t="str">
        <f t="shared" si="60"/>
        <v>Q1 2022</v>
      </c>
      <c r="L1948" t="str">
        <f t="shared" si="61"/>
        <v>Q1 2022</v>
      </c>
    </row>
    <row r="1949" spans="1:12" ht="15.75" customHeight="1" x14ac:dyDescent="0.3">
      <c r="A1949" s="2" t="s">
        <v>3055</v>
      </c>
      <c r="B1949" s="2" t="s">
        <v>11</v>
      </c>
      <c r="C1949" s="2" t="s">
        <v>12</v>
      </c>
      <c r="D1949" s="2" t="s">
        <v>2408</v>
      </c>
      <c r="E1949" s="2" t="s">
        <v>80</v>
      </c>
      <c r="F1949" s="2" t="s">
        <v>3056</v>
      </c>
      <c r="G1949" s="4">
        <v>99320</v>
      </c>
      <c r="H1949" s="6">
        <v>44298</v>
      </c>
      <c r="I1949" s="4">
        <v>0</v>
      </c>
      <c r="J1949" s="6">
        <v>44594</v>
      </c>
      <c r="K1949" t="str">
        <f t="shared" si="60"/>
        <v>Q1 2022</v>
      </c>
      <c r="L1949" t="str">
        <f t="shared" si="61"/>
        <v>Q1 2022</v>
      </c>
    </row>
    <row r="1950" spans="1:12" ht="15.75" customHeight="1" x14ac:dyDescent="0.3">
      <c r="A1950" s="2" t="s">
        <v>3057</v>
      </c>
      <c r="B1950" s="2" t="s">
        <v>11</v>
      </c>
      <c r="C1950" s="2" t="s">
        <v>12</v>
      </c>
      <c r="D1950" s="2" t="s">
        <v>2408</v>
      </c>
      <c r="E1950" s="2" t="s">
        <v>80</v>
      </c>
      <c r="F1950" s="2" t="s">
        <v>3058</v>
      </c>
      <c r="G1950" s="4">
        <v>111003</v>
      </c>
      <c r="H1950" s="6">
        <v>44904</v>
      </c>
      <c r="I1950" s="4">
        <v>0</v>
      </c>
      <c r="J1950" s="6">
        <v>44602</v>
      </c>
      <c r="K1950" t="str">
        <f t="shared" si="60"/>
        <v>Q1 2022</v>
      </c>
      <c r="L1950" t="str">
        <f t="shared" si="61"/>
        <v>Q1 2022</v>
      </c>
    </row>
    <row r="1951" spans="1:12" ht="15.75" customHeight="1" x14ac:dyDescent="0.3">
      <c r="A1951" s="2" t="s">
        <v>3059</v>
      </c>
      <c r="B1951" s="2" t="s">
        <v>11</v>
      </c>
      <c r="C1951" s="2" t="s">
        <v>12</v>
      </c>
      <c r="D1951" s="2" t="s">
        <v>2408</v>
      </c>
      <c r="E1951" s="2" t="s">
        <v>80</v>
      </c>
      <c r="F1951" s="2" t="s">
        <v>2415</v>
      </c>
      <c r="G1951" s="4">
        <v>76356</v>
      </c>
      <c r="H1951" s="5" t="s">
        <v>137</v>
      </c>
      <c r="I1951" s="4">
        <v>0</v>
      </c>
      <c r="J1951" s="6">
        <v>44599</v>
      </c>
      <c r="K1951" t="str">
        <f t="shared" si="60"/>
        <v>Q1 2022</v>
      </c>
      <c r="L1951" t="str">
        <f t="shared" si="61"/>
        <v>Q1 2022</v>
      </c>
    </row>
    <row r="1952" spans="1:12" ht="15.75" customHeight="1" x14ac:dyDescent="0.3">
      <c r="A1952" s="2" t="s">
        <v>3060</v>
      </c>
      <c r="B1952" s="2" t="s">
        <v>11</v>
      </c>
      <c r="C1952" s="2" t="s">
        <v>12</v>
      </c>
      <c r="D1952" s="2" t="s">
        <v>2408</v>
      </c>
      <c r="E1952" s="2" t="s">
        <v>80</v>
      </c>
      <c r="F1952" s="2" t="s">
        <v>3061</v>
      </c>
      <c r="G1952" s="4">
        <v>143452</v>
      </c>
      <c r="H1952" s="5" t="s">
        <v>1016</v>
      </c>
      <c r="I1952" s="4">
        <v>0</v>
      </c>
      <c r="J1952" s="6">
        <v>44595</v>
      </c>
      <c r="K1952" t="str">
        <f t="shared" si="60"/>
        <v>Q1 2022</v>
      </c>
      <c r="L1952" t="str">
        <f t="shared" si="61"/>
        <v>Q1 2022</v>
      </c>
    </row>
    <row r="1953" spans="1:12" ht="15.75" customHeight="1" x14ac:dyDescent="0.3">
      <c r="A1953" s="2" t="s">
        <v>3062</v>
      </c>
      <c r="B1953" s="2" t="s">
        <v>11</v>
      </c>
      <c r="C1953" s="2" t="s">
        <v>12</v>
      </c>
      <c r="D1953" s="2" t="s">
        <v>2408</v>
      </c>
      <c r="E1953" s="2" t="s">
        <v>80</v>
      </c>
      <c r="F1953" s="2" t="s">
        <v>2921</v>
      </c>
      <c r="G1953" s="4">
        <v>202422</v>
      </c>
      <c r="H1953" s="5" t="s">
        <v>71</v>
      </c>
      <c r="I1953" s="4">
        <v>0</v>
      </c>
      <c r="J1953" s="6">
        <v>44603</v>
      </c>
      <c r="K1953" t="str">
        <f t="shared" si="60"/>
        <v>Q1 2022</v>
      </c>
      <c r="L1953" t="str">
        <f t="shared" si="61"/>
        <v>Q1 2022</v>
      </c>
    </row>
    <row r="1954" spans="1:12" ht="15.75" customHeight="1" x14ac:dyDescent="0.3">
      <c r="A1954" s="2" t="s">
        <v>3063</v>
      </c>
      <c r="B1954" s="2" t="s">
        <v>11</v>
      </c>
      <c r="C1954" s="2" t="s">
        <v>12</v>
      </c>
      <c r="D1954" s="2" t="s">
        <v>2408</v>
      </c>
      <c r="E1954" s="2" t="s">
        <v>80</v>
      </c>
      <c r="F1954" s="2" t="s">
        <v>2415</v>
      </c>
      <c r="G1954" s="4">
        <v>86471</v>
      </c>
      <c r="H1954" s="6">
        <v>44630</v>
      </c>
      <c r="I1954" s="4">
        <v>0</v>
      </c>
      <c r="J1954" s="6">
        <v>44603</v>
      </c>
      <c r="K1954" t="str">
        <f t="shared" si="60"/>
        <v>Q1 2022</v>
      </c>
      <c r="L1954" t="str">
        <f t="shared" si="61"/>
        <v>Q1 2022</v>
      </c>
    </row>
    <row r="1955" spans="1:12" ht="15.75" customHeight="1" x14ac:dyDescent="0.3">
      <c r="A1955" s="2" t="s">
        <v>3064</v>
      </c>
      <c r="B1955" s="2" t="s">
        <v>11</v>
      </c>
      <c r="C1955" s="2" t="s">
        <v>12</v>
      </c>
      <c r="D1955" s="2" t="s">
        <v>2408</v>
      </c>
      <c r="E1955" s="2" t="s">
        <v>80</v>
      </c>
      <c r="F1955" s="2" t="s">
        <v>2857</v>
      </c>
      <c r="G1955" s="4">
        <v>101651</v>
      </c>
      <c r="H1955" s="5" t="s">
        <v>71</v>
      </c>
      <c r="I1955" s="4">
        <v>0</v>
      </c>
      <c r="J1955" s="6">
        <v>44603</v>
      </c>
      <c r="K1955" t="str">
        <f t="shared" si="60"/>
        <v>Q1 2022</v>
      </c>
      <c r="L1955" t="str">
        <f t="shared" si="61"/>
        <v>Q1 2022</v>
      </c>
    </row>
    <row r="1956" spans="1:12" ht="15.75" customHeight="1" x14ac:dyDescent="0.3">
      <c r="A1956" s="2" t="s">
        <v>3065</v>
      </c>
      <c r="B1956" s="2" t="s">
        <v>11</v>
      </c>
      <c r="C1956" s="2" t="s">
        <v>12</v>
      </c>
      <c r="D1956" s="2" t="s">
        <v>2408</v>
      </c>
      <c r="E1956" s="2" t="s">
        <v>80</v>
      </c>
      <c r="F1956" s="2" t="s">
        <v>3066</v>
      </c>
      <c r="G1956" s="4">
        <v>56365</v>
      </c>
      <c r="H1956" s="6">
        <v>44629</v>
      </c>
      <c r="I1956" s="4">
        <v>0</v>
      </c>
      <c r="J1956" s="6">
        <v>44603</v>
      </c>
      <c r="K1956" t="str">
        <f t="shared" si="60"/>
        <v>Q1 2022</v>
      </c>
      <c r="L1956" t="str">
        <f t="shared" si="61"/>
        <v>Q1 2022</v>
      </c>
    </row>
    <row r="1957" spans="1:12" ht="15.75" customHeight="1" x14ac:dyDescent="0.3">
      <c r="A1957" s="2" t="s">
        <v>3067</v>
      </c>
      <c r="B1957" s="2" t="s">
        <v>11</v>
      </c>
      <c r="C1957" s="2" t="s">
        <v>12</v>
      </c>
      <c r="D1957" s="2" t="s">
        <v>2408</v>
      </c>
      <c r="E1957" s="2" t="s">
        <v>80</v>
      </c>
      <c r="F1957" s="2" t="s">
        <v>2432</v>
      </c>
      <c r="G1957" s="4">
        <v>185358</v>
      </c>
      <c r="H1957" s="6">
        <v>44562</v>
      </c>
      <c r="I1957" s="4">
        <v>0</v>
      </c>
      <c r="J1957" s="6">
        <v>44595</v>
      </c>
      <c r="K1957" t="str">
        <f t="shared" si="60"/>
        <v>Q1 2022</v>
      </c>
      <c r="L1957" t="str">
        <f t="shared" si="61"/>
        <v>Q1 2022</v>
      </c>
    </row>
    <row r="1958" spans="1:12" ht="15.75" customHeight="1" x14ac:dyDescent="0.3">
      <c r="A1958" s="2" t="s">
        <v>3068</v>
      </c>
      <c r="B1958" s="2" t="s">
        <v>11</v>
      </c>
      <c r="C1958" s="2" t="s">
        <v>12</v>
      </c>
      <c r="D1958" s="2" t="s">
        <v>2408</v>
      </c>
      <c r="E1958" s="2" t="s">
        <v>80</v>
      </c>
      <c r="F1958" s="2" t="s">
        <v>2961</v>
      </c>
      <c r="G1958" s="4">
        <v>109437</v>
      </c>
      <c r="H1958" s="5" t="s">
        <v>829</v>
      </c>
      <c r="I1958" s="4">
        <v>0</v>
      </c>
      <c r="J1958" s="6">
        <v>44604</v>
      </c>
      <c r="K1958" t="str">
        <f t="shared" si="60"/>
        <v>Q1 2022</v>
      </c>
      <c r="L1958" t="str">
        <f t="shared" si="61"/>
        <v>Q1 2022</v>
      </c>
    </row>
    <row r="1959" spans="1:12" ht="15.75" customHeight="1" x14ac:dyDescent="0.3">
      <c r="A1959" s="2" t="s">
        <v>3069</v>
      </c>
      <c r="B1959" s="2" t="s">
        <v>11</v>
      </c>
      <c r="C1959" s="2" t="s">
        <v>12</v>
      </c>
      <c r="D1959" s="2" t="s">
        <v>2408</v>
      </c>
      <c r="E1959" s="2" t="s">
        <v>80</v>
      </c>
      <c r="F1959" s="2" t="s">
        <v>3049</v>
      </c>
      <c r="G1959" s="4">
        <v>109491</v>
      </c>
      <c r="H1959" s="6">
        <v>44658</v>
      </c>
      <c r="I1959" s="4">
        <v>0</v>
      </c>
      <c r="J1959" s="6">
        <v>44601</v>
      </c>
      <c r="K1959" t="str">
        <f t="shared" si="60"/>
        <v>Q1 2022</v>
      </c>
      <c r="L1959" t="str">
        <f t="shared" si="61"/>
        <v>Q1 2022</v>
      </c>
    </row>
    <row r="1960" spans="1:12" ht="15.75" customHeight="1" x14ac:dyDescent="0.3">
      <c r="A1960" s="2" t="s">
        <v>3070</v>
      </c>
      <c r="B1960" s="2" t="s">
        <v>11</v>
      </c>
      <c r="C1960" s="2" t="s">
        <v>12</v>
      </c>
      <c r="D1960" s="2" t="s">
        <v>2408</v>
      </c>
      <c r="E1960" s="2" t="s">
        <v>80</v>
      </c>
      <c r="F1960" s="2" t="s">
        <v>3071</v>
      </c>
      <c r="G1960" s="4">
        <v>75937</v>
      </c>
      <c r="H1960" s="5" t="s">
        <v>30</v>
      </c>
      <c r="I1960" s="4">
        <v>0</v>
      </c>
      <c r="J1960" s="6">
        <v>44603</v>
      </c>
      <c r="K1960" t="str">
        <f t="shared" si="60"/>
        <v>Q1 2022</v>
      </c>
      <c r="L1960" t="str">
        <f t="shared" si="61"/>
        <v>Q1 2022</v>
      </c>
    </row>
    <row r="1961" spans="1:12" ht="15.75" customHeight="1" x14ac:dyDescent="0.3">
      <c r="A1961" s="2" t="s">
        <v>3072</v>
      </c>
      <c r="B1961" s="2" t="s">
        <v>11</v>
      </c>
      <c r="C1961" s="2" t="s">
        <v>12</v>
      </c>
      <c r="D1961" s="2" t="s">
        <v>2408</v>
      </c>
      <c r="E1961" s="2" t="s">
        <v>80</v>
      </c>
      <c r="F1961" s="2" t="s">
        <v>2415</v>
      </c>
      <c r="G1961" s="4">
        <v>98844</v>
      </c>
      <c r="H1961" s="5" t="s">
        <v>179</v>
      </c>
      <c r="I1961" s="4">
        <v>0</v>
      </c>
      <c r="J1961" s="6">
        <v>44594</v>
      </c>
      <c r="K1961" t="str">
        <f t="shared" si="60"/>
        <v>Q1 2022</v>
      </c>
      <c r="L1961" t="str">
        <f t="shared" si="61"/>
        <v>Q1 2022</v>
      </c>
    </row>
    <row r="1962" spans="1:12" ht="15.75" customHeight="1" x14ac:dyDescent="0.3">
      <c r="A1962" s="2" t="s">
        <v>3073</v>
      </c>
      <c r="B1962" s="2" t="s">
        <v>11</v>
      </c>
      <c r="C1962" s="2" t="s">
        <v>12</v>
      </c>
      <c r="D1962" s="2" t="s">
        <v>2408</v>
      </c>
      <c r="E1962" s="2" t="s">
        <v>80</v>
      </c>
      <c r="F1962" s="2" t="s">
        <v>2465</v>
      </c>
      <c r="G1962" s="4">
        <v>77590</v>
      </c>
      <c r="H1962" s="5" t="s">
        <v>179</v>
      </c>
      <c r="I1962" s="4">
        <v>0</v>
      </c>
      <c r="J1962" s="6">
        <v>44594</v>
      </c>
      <c r="K1962" t="str">
        <f t="shared" si="60"/>
        <v>Q1 2022</v>
      </c>
      <c r="L1962" t="str">
        <f t="shared" si="61"/>
        <v>Q1 2022</v>
      </c>
    </row>
    <row r="1963" spans="1:12" ht="15.75" customHeight="1" x14ac:dyDescent="0.3">
      <c r="A1963" s="2" t="s">
        <v>3074</v>
      </c>
      <c r="B1963" s="2" t="s">
        <v>11</v>
      </c>
      <c r="C1963" s="2" t="s">
        <v>12</v>
      </c>
      <c r="D1963" s="2" t="s">
        <v>2408</v>
      </c>
      <c r="E1963" s="2" t="s">
        <v>80</v>
      </c>
      <c r="F1963" s="2" t="s">
        <v>2465</v>
      </c>
      <c r="G1963" s="4">
        <v>202419</v>
      </c>
      <c r="H1963" s="5" t="s">
        <v>42</v>
      </c>
      <c r="I1963" s="4">
        <v>0</v>
      </c>
      <c r="J1963" s="6">
        <v>44603</v>
      </c>
      <c r="K1963" t="str">
        <f t="shared" si="60"/>
        <v>Q1 2022</v>
      </c>
      <c r="L1963" t="str">
        <f t="shared" si="61"/>
        <v>Q1 2022</v>
      </c>
    </row>
    <row r="1964" spans="1:12" ht="15.75" customHeight="1" x14ac:dyDescent="0.3">
      <c r="A1964" s="2" t="s">
        <v>3075</v>
      </c>
      <c r="B1964" s="2" t="s">
        <v>11</v>
      </c>
      <c r="C1964" s="2" t="s">
        <v>12</v>
      </c>
      <c r="D1964" s="2" t="s">
        <v>2408</v>
      </c>
      <c r="E1964" s="2" t="s">
        <v>80</v>
      </c>
      <c r="F1964" s="2" t="s">
        <v>353</v>
      </c>
      <c r="G1964" s="4">
        <v>81223</v>
      </c>
      <c r="H1964" s="6">
        <v>44562</v>
      </c>
      <c r="I1964" s="4">
        <v>0</v>
      </c>
      <c r="J1964" s="6">
        <v>44595</v>
      </c>
      <c r="K1964" t="str">
        <f t="shared" si="60"/>
        <v>Q1 2022</v>
      </c>
      <c r="L1964" t="str">
        <f t="shared" si="61"/>
        <v>Q1 2022</v>
      </c>
    </row>
    <row r="1965" spans="1:12" ht="15.75" customHeight="1" x14ac:dyDescent="0.3">
      <c r="A1965" s="2" t="s">
        <v>3076</v>
      </c>
      <c r="B1965" s="2" t="s">
        <v>11</v>
      </c>
      <c r="C1965" s="2" t="s">
        <v>12</v>
      </c>
      <c r="D1965" s="2" t="s">
        <v>2408</v>
      </c>
      <c r="E1965" s="2" t="s">
        <v>80</v>
      </c>
      <c r="F1965" s="2" t="s">
        <v>2923</v>
      </c>
      <c r="G1965" s="4">
        <v>91652</v>
      </c>
      <c r="H1965" s="6">
        <v>44899</v>
      </c>
      <c r="I1965" s="4">
        <v>0</v>
      </c>
      <c r="J1965" s="6">
        <v>44597</v>
      </c>
      <c r="K1965" t="str">
        <f t="shared" si="60"/>
        <v>Q1 2022</v>
      </c>
      <c r="L1965" t="str">
        <f t="shared" si="61"/>
        <v>Q1 2022</v>
      </c>
    </row>
    <row r="1966" spans="1:12" ht="15.75" customHeight="1" x14ac:dyDescent="0.3">
      <c r="A1966" s="2" t="s">
        <v>3077</v>
      </c>
      <c r="B1966" s="2" t="s">
        <v>11</v>
      </c>
      <c r="C1966" s="2" t="s">
        <v>12</v>
      </c>
      <c r="D1966" s="2" t="s">
        <v>2408</v>
      </c>
      <c r="E1966" s="2" t="s">
        <v>80</v>
      </c>
      <c r="F1966" s="2" t="s">
        <v>3078</v>
      </c>
      <c r="G1966" s="4">
        <v>84327</v>
      </c>
      <c r="H1966" s="5" t="s">
        <v>42</v>
      </c>
      <c r="I1966" s="4">
        <v>0</v>
      </c>
      <c r="J1966" s="6">
        <v>44603</v>
      </c>
      <c r="K1966" t="str">
        <f t="shared" si="60"/>
        <v>Q1 2022</v>
      </c>
      <c r="L1966" t="str">
        <f t="shared" si="61"/>
        <v>Q1 2022</v>
      </c>
    </row>
    <row r="1967" spans="1:12" ht="15.75" customHeight="1" x14ac:dyDescent="0.3">
      <c r="A1967" s="2" t="s">
        <v>3079</v>
      </c>
      <c r="B1967" s="2" t="s">
        <v>11</v>
      </c>
      <c r="C1967" s="2" t="s">
        <v>12</v>
      </c>
      <c r="D1967" s="2" t="s">
        <v>2408</v>
      </c>
      <c r="E1967" s="2" t="s">
        <v>80</v>
      </c>
      <c r="F1967" s="2" t="s">
        <v>2415</v>
      </c>
      <c r="G1967" s="4">
        <v>100533</v>
      </c>
      <c r="H1967" s="6">
        <v>44630</v>
      </c>
      <c r="I1967" s="4">
        <v>0</v>
      </c>
      <c r="J1967" s="6">
        <v>44603</v>
      </c>
      <c r="K1967" t="str">
        <f t="shared" si="60"/>
        <v>Q1 2022</v>
      </c>
      <c r="L1967" t="str">
        <f t="shared" si="61"/>
        <v>Q1 2022</v>
      </c>
    </row>
    <row r="1968" spans="1:12" ht="15.75" customHeight="1" x14ac:dyDescent="0.3">
      <c r="A1968" s="2" t="s">
        <v>2454</v>
      </c>
      <c r="B1968" s="2" t="s">
        <v>11</v>
      </c>
      <c r="C1968" s="2" t="s">
        <v>12</v>
      </c>
      <c r="D1968" s="2" t="s">
        <v>2408</v>
      </c>
      <c r="E1968" s="2" t="s">
        <v>1118</v>
      </c>
      <c r="F1968" s="2" t="s">
        <v>46</v>
      </c>
      <c r="G1968" s="4">
        <v>93814</v>
      </c>
      <c r="H1968" s="5" t="s">
        <v>282</v>
      </c>
      <c r="I1968" s="4">
        <v>0</v>
      </c>
      <c r="J1968" s="6">
        <v>44599</v>
      </c>
      <c r="K1968" t="str">
        <f t="shared" si="60"/>
        <v>Q1 2022</v>
      </c>
      <c r="L1968" t="str">
        <f t="shared" si="61"/>
        <v>Q1 2022</v>
      </c>
    </row>
    <row r="1969" spans="1:12" ht="15.75" customHeight="1" x14ac:dyDescent="0.3">
      <c r="A1969" s="2" t="s">
        <v>3080</v>
      </c>
      <c r="B1969" s="2" t="s">
        <v>11</v>
      </c>
      <c r="C1969" s="2" t="s">
        <v>12</v>
      </c>
      <c r="D1969" s="2" t="s">
        <v>2408</v>
      </c>
      <c r="E1969" s="2" t="s">
        <v>80</v>
      </c>
      <c r="F1969" s="2" t="s">
        <v>2610</v>
      </c>
      <c r="G1969" s="4">
        <v>80514</v>
      </c>
      <c r="H1969" s="5" t="s">
        <v>333</v>
      </c>
      <c r="I1969" s="4">
        <v>0</v>
      </c>
      <c r="J1969" s="6">
        <v>44599</v>
      </c>
      <c r="K1969" t="str">
        <f t="shared" si="60"/>
        <v>Q1 2022</v>
      </c>
      <c r="L1969" t="str">
        <f t="shared" si="61"/>
        <v>Q1 2022</v>
      </c>
    </row>
    <row r="1970" spans="1:12" ht="15.75" customHeight="1" x14ac:dyDescent="0.3">
      <c r="A1970" s="2" t="s">
        <v>3081</v>
      </c>
      <c r="B1970" s="2" t="s">
        <v>11</v>
      </c>
      <c r="C1970" s="2" t="s">
        <v>12</v>
      </c>
      <c r="D1970" s="2" t="s">
        <v>2408</v>
      </c>
      <c r="E1970" s="2" t="s">
        <v>80</v>
      </c>
      <c r="F1970" s="2" t="s">
        <v>3082</v>
      </c>
      <c r="G1970" s="4">
        <v>110101</v>
      </c>
      <c r="H1970" s="6">
        <v>44563</v>
      </c>
      <c r="I1970" s="4">
        <v>0</v>
      </c>
      <c r="J1970" s="6">
        <v>44596</v>
      </c>
      <c r="K1970" t="str">
        <f t="shared" si="60"/>
        <v>Q1 2022</v>
      </c>
      <c r="L1970" t="str">
        <f t="shared" si="61"/>
        <v>Q1 2022</v>
      </c>
    </row>
    <row r="1971" spans="1:12" ht="15.75" customHeight="1" x14ac:dyDescent="0.3">
      <c r="A1971" s="2" t="s">
        <v>3083</v>
      </c>
      <c r="B1971" s="2" t="s">
        <v>11</v>
      </c>
      <c r="C1971" s="2" t="s">
        <v>12</v>
      </c>
      <c r="D1971" s="2" t="s">
        <v>2408</v>
      </c>
      <c r="E1971" s="2" t="s">
        <v>80</v>
      </c>
      <c r="F1971" s="2" t="s">
        <v>2684</v>
      </c>
      <c r="G1971" s="4">
        <v>55016</v>
      </c>
      <c r="H1971" s="6">
        <v>44629</v>
      </c>
      <c r="I1971" s="4">
        <v>0</v>
      </c>
      <c r="J1971" s="6">
        <v>44603</v>
      </c>
      <c r="K1971" t="str">
        <f t="shared" si="60"/>
        <v>Q1 2022</v>
      </c>
      <c r="L1971" t="str">
        <f t="shared" si="61"/>
        <v>Q1 2022</v>
      </c>
    </row>
    <row r="1972" spans="1:12" ht="15.75" customHeight="1" x14ac:dyDescent="0.3">
      <c r="A1972" s="2" t="s">
        <v>3084</v>
      </c>
      <c r="B1972" s="2" t="s">
        <v>11</v>
      </c>
      <c r="C1972" s="2" t="s">
        <v>12</v>
      </c>
      <c r="D1972" s="2" t="s">
        <v>2408</v>
      </c>
      <c r="E1972" s="2" t="s">
        <v>80</v>
      </c>
      <c r="F1972" s="2" t="s">
        <v>3085</v>
      </c>
      <c r="G1972" s="4">
        <v>94110</v>
      </c>
      <c r="H1972" s="5" t="s">
        <v>97</v>
      </c>
      <c r="I1972" s="4">
        <v>0</v>
      </c>
      <c r="J1972" s="6">
        <v>44958</v>
      </c>
      <c r="K1972" t="str">
        <f t="shared" si="60"/>
        <v>Q1 2023</v>
      </c>
      <c r="L1972" t="str">
        <f t="shared" si="61"/>
        <v>Q1 2023</v>
      </c>
    </row>
    <row r="1973" spans="1:12" ht="15.75" customHeight="1" x14ac:dyDescent="0.3">
      <c r="A1973" s="2" t="s">
        <v>3086</v>
      </c>
      <c r="B1973" s="2" t="s">
        <v>11</v>
      </c>
      <c r="C1973" s="2" t="s">
        <v>12</v>
      </c>
      <c r="D1973" s="2" t="s">
        <v>2408</v>
      </c>
      <c r="E1973" s="2" t="s">
        <v>80</v>
      </c>
      <c r="F1973" s="2" t="s">
        <v>2752</v>
      </c>
      <c r="G1973" s="4">
        <v>103308</v>
      </c>
      <c r="H1973" s="6">
        <v>44630</v>
      </c>
      <c r="I1973" s="4">
        <v>0</v>
      </c>
      <c r="J1973" s="6">
        <v>44603</v>
      </c>
      <c r="K1973" t="str">
        <f t="shared" si="60"/>
        <v>Q1 2022</v>
      </c>
      <c r="L1973" t="str">
        <f t="shared" si="61"/>
        <v>Q1 2022</v>
      </c>
    </row>
    <row r="1974" spans="1:12" ht="15.75" customHeight="1" x14ac:dyDescent="0.3">
      <c r="A1974" s="2" t="s">
        <v>3087</v>
      </c>
      <c r="B1974" s="2" t="s">
        <v>11</v>
      </c>
      <c r="C1974" s="2" t="s">
        <v>12</v>
      </c>
      <c r="D1974" s="2" t="s">
        <v>2408</v>
      </c>
      <c r="E1974" s="2" t="s">
        <v>80</v>
      </c>
      <c r="F1974" s="2" t="s">
        <v>2409</v>
      </c>
      <c r="G1974" s="4">
        <v>128469</v>
      </c>
      <c r="H1974" s="5" t="s">
        <v>232</v>
      </c>
      <c r="I1974" s="4">
        <v>0</v>
      </c>
      <c r="J1974" s="6">
        <v>44594</v>
      </c>
      <c r="K1974" t="str">
        <f t="shared" si="60"/>
        <v>Q1 2022</v>
      </c>
      <c r="L1974" t="str">
        <f t="shared" si="61"/>
        <v>Q1 2022</v>
      </c>
    </row>
    <row r="1975" spans="1:12" ht="15.75" customHeight="1" x14ac:dyDescent="0.3">
      <c r="A1975" s="2" t="s">
        <v>3088</v>
      </c>
      <c r="B1975" s="2" t="s">
        <v>11</v>
      </c>
      <c r="C1975" s="2" t="s">
        <v>12</v>
      </c>
      <c r="D1975" s="2" t="s">
        <v>2408</v>
      </c>
      <c r="E1975" s="2" t="s">
        <v>80</v>
      </c>
      <c r="F1975" s="2" t="s">
        <v>3089</v>
      </c>
      <c r="G1975" s="4">
        <v>92123</v>
      </c>
      <c r="H1975" s="5" t="s">
        <v>82</v>
      </c>
      <c r="I1975" s="4">
        <v>0</v>
      </c>
      <c r="J1975" s="6">
        <v>44597</v>
      </c>
      <c r="K1975" t="str">
        <f t="shared" si="60"/>
        <v>Q1 2022</v>
      </c>
      <c r="L1975" t="str">
        <f t="shared" si="61"/>
        <v>Q1 2022</v>
      </c>
    </row>
    <row r="1976" spans="1:12" ht="15.75" customHeight="1" x14ac:dyDescent="0.3">
      <c r="A1976" s="2" t="s">
        <v>3090</v>
      </c>
      <c r="B1976" s="2" t="s">
        <v>11</v>
      </c>
      <c r="C1976" s="2" t="s">
        <v>12</v>
      </c>
      <c r="D1976" s="2" t="s">
        <v>2408</v>
      </c>
      <c r="E1976" s="2" t="s">
        <v>80</v>
      </c>
      <c r="F1976" s="2" t="s">
        <v>2591</v>
      </c>
      <c r="G1976" s="4">
        <v>95391</v>
      </c>
      <c r="H1976" s="6">
        <v>44866</v>
      </c>
      <c r="I1976" s="4">
        <v>0</v>
      </c>
      <c r="J1976" s="6">
        <v>44595</v>
      </c>
      <c r="K1976" t="str">
        <f t="shared" si="60"/>
        <v>Q1 2022</v>
      </c>
      <c r="L1976" t="str">
        <f t="shared" si="61"/>
        <v>Q1 2022</v>
      </c>
    </row>
    <row r="1977" spans="1:12" ht="15.75" customHeight="1" x14ac:dyDescent="0.3">
      <c r="A1977" s="2" t="s">
        <v>3091</v>
      </c>
      <c r="B1977" s="2" t="s">
        <v>11</v>
      </c>
      <c r="C1977" s="2" t="s">
        <v>12</v>
      </c>
      <c r="D1977" s="2" t="s">
        <v>2408</v>
      </c>
      <c r="E1977" s="2" t="s">
        <v>80</v>
      </c>
      <c r="F1977" s="2" t="s">
        <v>3092</v>
      </c>
      <c r="G1977" s="4">
        <v>61835</v>
      </c>
      <c r="H1977" s="5" t="s">
        <v>3093</v>
      </c>
      <c r="I1977" s="4">
        <v>0</v>
      </c>
      <c r="J1977" s="6">
        <v>44239</v>
      </c>
      <c r="K1977" t="str">
        <f t="shared" si="60"/>
        <v>Q1 2021</v>
      </c>
      <c r="L1977" t="str">
        <f t="shared" si="61"/>
        <v>Q1 2021</v>
      </c>
    </row>
    <row r="1978" spans="1:12" ht="15.75" customHeight="1" x14ac:dyDescent="0.3">
      <c r="A1978" s="2" t="s">
        <v>3094</v>
      </c>
      <c r="B1978" s="2" t="s">
        <v>11</v>
      </c>
      <c r="C1978" s="2" t="s">
        <v>12</v>
      </c>
      <c r="D1978" s="2" t="s">
        <v>2408</v>
      </c>
      <c r="E1978" s="2" t="s">
        <v>80</v>
      </c>
      <c r="F1978" s="2" t="s">
        <v>3095</v>
      </c>
      <c r="G1978" s="4">
        <v>100176</v>
      </c>
      <c r="H1978" s="5" t="s">
        <v>123</v>
      </c>
      <c r="I1978" s="4">
        <v>0</v>
      </c>
      <c r="J1978" s="6">
        <v>44594</v>
      </c>
      <c r="K1978" t="str">
        <f t="shared" si="60"/>
        <v>Q1 2022</v>
      </c>
      <c r="L1978" t="str">
        <f t="shared" si="61"/>
        <v>Q1 2022</v>
      </c>
    </row>
    <row r="1979" spans="1:12" ht="15.75" customHeight="1" x14ac:dyDescent="0.3">
      <c r="A1979" s="2" t="s">
        <v>3096</v>
      </c>
      <c r="B1979" s="2" t="s">
        <v>11</v>
      </c>
      <c r="C1979" s="2" t="s">
        <v>12</v>
      </c>
      <c r="D1979" s="2" t="s">
        <v>2408</v>
      </c>
      <c r="E1979" s="2" t="s">
        <v>80</v>
      </c>
      <c r="F1979" s="2" t="s">
        <v>3097</v>
      </c>
      <c r="G1979" s="4">
        <v>75938</v>
      </c>
      <c r="H1979" s="6">
        <v>44623</v>
      </c>
      <c r="I1979" s="4">
        <v>0</v>
      </c>
      <c r="J1979" s="6">
        <v>44597</v>
      </c>
      <c r="K1979" t="str">
        <f t="shared" si="60"/>
        <v>Q1 2022</v>
      </c>
      <c r="L1979" t="str">
        <f t="shared" si="61"/>
        <v>Q1 2022</v>
      </c>
    </row>
    <row r="1980" spans="1:12" ht="15.75" customHeight="1" x14ac:dyDescent="0.3">
      <c r="A1980" s="2" t="s">
        <v>3098</v>
      </c>
      <c r="B1980" s="2" t="s">
        <v>11</v>
      </c>
      <c r="C1980" s="2" t="s">
        <v>12</v>
      </c>
      <c r="D1980" s="2" t="s">
        <v>2408</v>
      </c>
      <c r="E1980" s="2" t="s">
        <v>80</v>
      </c>
      <c r="F1980" s="2" t="s">
        <v>2692</v>
      </c>
      <c r="G1980" s="4">
        <v>218958</v>
      </c>
      <c r="H1980" s="5" t="s">
        <v>265</v>
      </c>
      <c r="I1980" s="4">
        <v>0</v>
      </c>
      <c r="J1980" s="6">
        <v>44601</v>
      </c>
      <c r="K1980" t="str">
        <f t="shared" si="60"/>
        <v>Q1 2022</v>
      </c>
      <c r="L1980" t="str">
        <f t="shared" si="61"/>
        <v>Q1 2022</v>
      </c>
    </row>
    <row r="1981" spans="1:12" ht="15.75" customHeight="1" x14ac:dyDescent="0.3">
      <c r="A1981" s="2" t="s">
        <v>3099</v>
      </c>
      <c r="B1981" s="2" t="s">
        <v>11</v>
      </c>
      <c r="C1981" s="2" t="s">
        <v>12</v>
      </c>
      <c r="D1981" s="2" t="s">
        <v>2408</v>
      </c>
      <c r="E1981" s="2" t="s">
        <v>80</v>
      </c>
      <c r="F1981" s="5">
        <v>35010</v>
      </c>
      <c r="G1981" s="4">
        <v>184680</v>
      </c>
      <c r="H1981" s="6">
        <v>44629</v>
      </c>
      <c r="I1981" s="4">
        <v>0</v>
      </c>
      <c r="J1981" s="6">
        <v>44603</v>
      </c>
      <c r="K1981" t="str">
        <f t="shared" si="60"/>
        <v>Q1 2022</v>
      </c>
      <c r="L1981" t="str">
        <f t="shared" si="61"/>
        <v>Q1 2022</v>
      </c>
    </row>
    <row r="1982" spans="1:12" ht="15.75" customHeight="1" x14ac:dyDescent="0.3">
      <c r="A1982" s="2" t="s">
        <v>3100</v>
      </c>
      <c r="B1982" s="2" t="s">
        <v>11</v>
      </c>
      <c r="C1982" s="2" t="s">
        <v>12</v>
      </c>
      <c r="D1982" s="2" t="s">
        <v>2408</v>
      </c>
      <c r="E1982" s="2" t="s">
        <v>80</v>
      </c>
      <c r="F1982" s="2" t="s">
        <v>3101</v>
      </c>
      <c r="G1982" s="4">
        <v>107228</v>
      </c>
      <c r="H1982" s="5" t="s">
        <v>42</v>
      </c>
      <c r="I1982" s="4">
        <v>0</v>
      </c>
      <c r="J1982" s="6">
        <v>44603</v>
      </c>
      <c r="K1982" t="str">
        <f t="shared" si="60"/>
        <v>Q1 2022</v>
      </c>
      <c r="L1982" t="str">
        <f t="shared" si="61"/>
        <v>Q1 2022</v>
      </c>
    </row>
    <row r="1983" spans="1:12" ht="15.75" customHeight="1" x14ac:dyDescent="0.3">
      <c r="A1983" s="2" t="s">
        <v>3102</v>
      </c>
      <c r="B1983" s="2" t="s">
        <v>11</v>
      </c>
      <c r="C1983" s="2" t="s">
        <v>12</v>
      </c>
      <c r="D1983" s="2" t="s">
        <v>2408</v>
      </c>
      <c r="E1983" s="2" t="s">
        <v>80</v>
      </c>
      <c r="F1983" s="2" t="s">
        <v>3103</v>
      </c>
      <c r="G1983" s="4">
        <v>100791</v>
      </c>
      <c r="H1983" s="5" t="s">
        <v>179</v>
      </c>
      <c r="I1983" s="4">
        <v>0</v>
      </c>
      <c r="J1983" s="6">
        <v>44594</v>
      </c>
      <c r="K1983" t="str">
        <f t="shared" si="60"/>
        <v>Q1 2022</v>
      </c>
      <c r="L1983" t="str">
        <f t="shared" si="61"/>
        <v>Q1 2022</v>
      </c>
    </row>
    <row r="1984" spans="1:12" ht="15.75" customHeight="1" x14ac:dyDescent="0.3">
      <c r="A1984" s="2" t="s">
        <v>3104</v>
      </c>
      <c r="B1984" s="2" t="s">
        <v>11</v>
      </c>
      <c r="C1984" s="2" t="s">
        <v>12</v>
      </c>
      <c r="D1984" s="2" t="s">
        <v>2408</v>
      </c>
      <c r="E1984" s="2" t="s">
        <v>80</v>
      </c>
      <c r="F1984" s="2" t="s">
        <v>3105</v>
      </c>
      <c r="G1984" s="4">
        <v>101707</v>
      </c>
      <c r="H1984" s="6">
        <v>44621</v>
      </c>
      <c r="I1984" s="4">
        <v>0</v>
      </c>
      <c r="J1984" s="6">
        <v>44594</v>
      </c>
      <c r="K1984" t="str">
        <f t="shared" si="60"/>
        <v>Q1 2022</v>
      </c>
      <c r="L1984" t="str">
        <f t="shared" si="61"/>
        <v>Q1 2022</v>
      </c>
    </row>
    <row r="1985" spans="1:12" ht="15.75" customHeight="1" x14ac:dyDescent="0.3">
      <c r="A1985" s="2" t="s">
        <v>3106</v>
      </c>
      <c r="B1985" s="2" t="s">
        <v>11</v>
      </c>
      <c r="C1985" s="2" t="s">
        <v>12</v>
      </c>
      <c r="D1985" s="2" t="s">
        <v>2408</v>
      </c>
      <c r="E1985" s="2" t="s">
        <v>80</v>
      </c>
      <c r="F1985" s="2" t="s">
        <v>3107</v>
      </c>
      <c r="G1985" s="4">
        <v>121682</v>
      </c>
      <c r="H1985" s="5" t="s">
        <v>71</v>
      </c>
      <c r="I1985" s="4">
        <v>0</v>
      </c>
      <c r="J1985" s="6">
        <v>44603</v>
      </c>
      <c r="K1985" t="str">
        <f t="shared" si="60"/>
        <v>Q1 2022</v>
      </c>
      <c r="L1985" t="str">
        <f t="shared" si="61"/>
        <v>Q1 2022</v>
      </c>
    </row>
    <row r="1986" spans="1:12" ht="15.75" customHeight="1" x14ac:dyDescent="0.3">
      <c r="A1986" s="2" t="s">
        <v>3108</v>
      </c>
      <c r="B1986" s="2" t="s">
        <v>11</v>
      </c>
      <c r="C1986" s="2" t="s">
        <v>12</v>
      </c>
      <c r="D1986" s="2" t="s">
        <v>2408</v>
      </c>
      <c r="E1986" s="2" t="s">
        <v>80</v>
      </c>
      <c r="F1986" s="2" t="s">
        <v>3109</v>
      </c>
      <c r="G1986" s="4">
        <v>141917</v>
      </c>
      <c r="H1986" s="6">
        <v>44601</v>
      </c>
      <c r="I1986" s="4">
        <v>0</v>
      </c>
      <c r="J1986" s="6">
        <v>44602</v>
      </c>
      <c r="K1986" t="str">
        <f t="shared" ref="K1986:K2049" si="62">"Q" &amp; ROUNDUP(MONTH(J:J)/3,0) &amp; " " &amp; YEAR(J:J)</f>
        <v>Q1 2022</v>
      </c>
      <c r="L1986" t="str">
        <f t="shared" si="61"/>
        <v>Q1 2022</v>
      </c>
    </row>
    <row r="1987" spans="1:12" ht="15" customHeight="1" x14ac:dyDescent="0.3">
      <c r="A1987" s="2" t="s">
        <v>3110</v>
      </c>
      <c r="B1987" s="2" t="s">
        <v>11</v>
      </c>
      <c r="C1987" s="2" t="s">
        <v>12</v>
      </c>
      <c r="D1987" s="2" t="s">
        <v>2408</v>
      </c>
      <c r="E1987" s="2" t="s">
        <v>80</v>
      </c>
      <c r="F1987" s="2" t="s">
        <v>3111</v>
      </c>
      <c r="G1987" s="4">
        <v>139026</v>
      </c>
      <c r="H1987" s="6">
        <v>44630</v>
      </c>
      <c r="I1987" s="4">
        <v>0</v>
      </c>
      <c r="J1987" s="6">
        <v>44604</v>
      </c>
      <c r="K1987" t="str">
        <f t="shared" si="62"/>
        <v>Q1 2022</v>
      </c>
      <c r="L1987" t="str">
        <f t="shared" si="61"/>
        <v>Q1 2022</v>
      </c>
    </row>
  </sheetData>
  <hyperlinks>
    <hyperlink ref="A157" r:id="rId1" xr:uid="{00000000-0004-0000-0000-000000000000}"/>
    <hyperlink ref="A187" r:id="rId2" xr:uid="{00000000-0004-0000-0000-000001000000}"/>
    <hyperlink ref="A210" r:id="rId3" xr:uid="{00000000-0004-0000-0000-000002000000}"/>
    <hyperlink ref="A318" r:id="rId4" xr:uid="{00000000-0004-0000-0000-000003000000}"/>
    <hyperlink ref="A392" r:id="rId5" xr:uid="{00000000-0004-0000-0000-000004000000}"/>
    <hyperlink ref="A397" r:id="rId6" xr:uid="{00000000-0004-0000-0000-000005000000}"/>
    <hyperlink ref="A422" r:id="rId7" xr:uid="{00000000-0004-0000-0000-000006000000}"/>
    <hyperlink ref="A446" r:id="rId8" xr:uid="{00000000-0004-0000-0000-000007000000}"/>
    <hyperlink ref="A460" r:id="rId9" xr:uid="{00000000-0004-0000-0000-000008000000}"/>
    <hyperlink ref="A479" r:id="rId10" xr:uid="{00000000-0004-0000-0000-000009000000}"/>
    <hyperlink ref="A503" r:id="rId11" xr:uid="{00000000-0004-0000-0000-00000A000000}"/>
    <hyperlink ref="A529" r:id="rId12" xr:uid="{00000000-0004-0000-0000-00000B000000}"/>
    <hyperlink ref="A563" r:id="rId13" xr:uid="{00000000-0004-0000-0000-00000C000000}"/>
    <hyperlink ref="A628" r:id="rId14" xr:uid="{00000000-0004-0000-0000-00000D000000}"/>
    <hyperlink ref="A723" r:id="rId15" xr:uid="{00000000-0004-0000-0000-00000E000000}"/>
    <hyperlink ref="A800" r:id="rId16" xr:uid="{00000000-0004-0000-0000-00000F000000}"/>
    <hyperlink ref="A823" r:id="rId17" xr:uid="{00000000-0004-0000-0000-000010000000}"/>
    <hyperlink ref="A1097" r:id="rId18" xr:uid="{00000000-0004-0000-0000-000011000000}"/>
    <hyperlink ref="A1501" r:id="rId19" xr:uid="{00000000-0004-0000-0000-000012000000}"/>
    <hyperlink ref="A1942" r:id="rId20" xr:uid="{00000000-0004-0000-0000-000013000000}"/>
  </hyperlinks>
  <pageMargins left="0.7" right="0.7" top="0.75" bottom="0.75" header="0.3" footer="0.3"/>
  <tableParts count="1"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showGridLines="0" topLeftCell="A13" workbookViewId="0">
      <selection activeCell="G31" sqref="G31"/>
    </sheetView>
  </sheetViews>
  <sheetFormatPr defaultColWidth="12.6640625" defaultRowHeight="15" customHeight="1" x14ac:dyDescent="0.25"/>
  <cols>
    <col min="1" max="2" width="12.6640625" customWidth="1"/>
    <col min="3" max="3" width="69.21875" customWidth="1"/>
    <col min="4" max="6" width="12.6640625" customWidth="1"/>
  </cols>
  <sheetData>
    <row r="1" spans="1:4" ht="15.75" customHeight="1" x14ac:dyDescent="0.3">
      <c r="A1" s="10"/>
      <c r="B1" s="11"/>
      <c r="C1" s="10"/>
      <c r="D1" s="10"/>
    </row>
    <row r="2" spans="1:4" ht="15.75" customHeight="1" x14ac:dyDescent="0.3">
      <c r="A2" s="10"/>
      <c r="B2" s="94" t="s">
        <v>3112</v>
      </c>
      <c r="C2" s="95"/>
      <c r="D2" s="10"/>
    </row>
    <row r="3" spans="1:4" ht="15.75" customHeight="1" x14ac:dyDescent="0.3">
      <c r="A3" s="10"/>
      <c r="B3" s="11"/>
      <c r="C3" s="12" t="s">
        <v>3113</v>
      </c>
      <c r="D3" s="12"/>
    </row>
    <row r="4" spans="1:4" ht="15.75" customHeight="1" x14ac:dyDescent="0.3">
      <c r="A4" s="10"/>
      <c r="B4" s="11"/>
      <c r="C4" s="12" t="s">
        <v>3114</v>
      </c>
      <c r="D4" s="12"/>
    </row>
    <row r="5" spans="1:4" ht="15.75" customHeight="1" x14ac:dyDescent="0.3">
      <c r="A5" s="10"/>
      <c r="B5" s="11"/>
      <c r="C5" s="12" t="s">
        <v>3115</v>
      </c>
      <c r="D5" s="12"/>
    </row>
    <row r="6" spans="1:4" ht="15.75" customHeight="1" x14ac:dyDescent="0.3">
      <c r="A6" s="10"/>
      <c r="B6" s="11"/>
      <c r="C6" s="12" t="s">
        <v>3116</v>
      </c>
      <c r="D6" s="12"/>
    </row>
    <row r="7" spans="1:4" ht="15.75" customHeight="1" x14ac:dyDescent="0.3">
      <c r="A7" s="10"/>
      <c r="B7" s="11"/>
      <c r="C7" s="12" t="s">
        <v>3117</v>
      </c>
      <c r="D7" s="12"/>
    </row>
    <row r="8" spans="1:4" ht="15.75" customHeight="1" x14ac:dyDescent="0.3">
      <c r="A8" s="10"/>
      <c r="B8" s="11"/>
      <c r="C8" s="96" t="s">
        <v>3118</v>
      </c>
      <c r="D8" s="95"/>
    </row>
    <row r="9" spans="1:4" ht="15.75" customHeight="1" x14ac:dyDescent="0.3">
      <c r="A9" s="10"/>
      <c r="B9" s="11"/>
      <c r="C9" s="12" t="s">
        <v>3119</v>
      </c>
      <c r="D9" s="12"/>
    </row>
    <row r="10" spans="1:4" ht="15.75" customHeight="1" x14ac:dyDescent="0.3">
      <c r="A10" s="10"/>
      <c r="B10" s="11"/>
      <c r="C10" s="12" t="s">
        <v>3120</v>
      </c>
      <c r="D10" s="12"/>
    </row>
    <row r="11" spans="1:4" ht="15.75" customHeight="1" x14ac:dyDescent="0.3">
      <c r="A11" s="10"/>
      <c r="B11" s="11"/>
      <c r="C11" s="10"/>
      <c r="D11" s="10"/>
    </row>
    <row r="12" spans="1:4" ht="15.75" customHeight="1" x14ac:dyDescent="0.3">
      <c r="A12" s="10"/>
      <c r="B12" s="11"/>
      <c r="C12" s="10"/>
      <c r="D12" s="10"/>
    </row>
    <row r="13" spans="1:4" ht="15.75" customHeight="1" x14ac:dyDescent="0.3">
      <c r="A13" s="10"/>
      <c r="B13" s="11" t="s">
        <v>3121</v>
      </c>
      <c r="C13" s="10"/>
      <c r="D13" s="10"/>
    </row>
    <row r="14" spans="1:4" ht="15.75" customHeight="1" x14ac:dyDescent="0.3">
      <c r="A14" s="10"/>
      <c r="B14" s="11"/>
      <c r="C14" s="10" t="s">
        <v>3122</v>
      </c>
      <c r="D14" s="10"/>
    </row>
    <row r="15" spans="1:4" ht="15.75" customHeight="1" x14ac:dyDescent="0.3">
      <c r="A15" s="10"/>
      <c r="B15" s="11"/>
      <c r="C15" s="10"/>
      <c r="D15" s="10"/>
    </row>
    <row r="16" spans="1:4" ht="15.75" customHeight="1" x14ac:dyDescent="0.3">
      <c r="A16" s="10"/>
      <c r="B16" s="11"/>
      <c r="C16" s="97" t="s">
        <v>3123</v>
      </c>
      <c r="D16" s="95"/>
    </row>
    <row r="17" spans="1:4" ht="15.75" customHeight="1" x14ac:dyDescent="0.3">
      <c r="A17" s="10"/>
      <c r="B17" s="11"/>
      <c r="C17" s="10" t="s">
        <v>3124</v>
      </c>
      <c r="D17" s="10"/>
    </row>
    <row r="18" spans="1:4" ht="15.75" customHeight="1" x14ac:dyDescent="0.3">
      <c r="A18" s="10"/>
      <c r="B18" s="11"/>
      <c r="C18" s="10" t="s">
        <v>3125</v>
      </c>
      <c r="D18" s="10"/>
    </row>
    <row r="19" spans="1:4" ht="15.75" customHeight="1" x14ac:dyDescent="0.3">
      <c r="A19" s="10"/>
      <c r="B19" s="11"/>
      <c r="C19" s="10" t="s">
        <v>3126</v>
      </c>
      <c r="D19" s="10"/>
    </row>
    <row r="20" spans="1:4" ht="15.75" customHeight="1" x14ac:dyDescent="0.3">
      <c r="A20" s="10"/>
      <c r="B20" s="11"/>
      <c r="C20" s="10"/>
      <c r="D20" s="10"/>
    </row>
    <row r="21" spans="1:4" ht="15.75" customHeight="1" x14ac:dyDescent="0.3">
      <c r="A21" s="10"/>
      <c r="B21" s="11"/>
      <c r="C21" s="10" t="s">
        <v>3127</v>
      </c>
      <c r="D21" s="10"/>
    </row>
    <row r="22" spans="1:4" ht="15.75" customHeight="1" x14ac:dyDescent="0.3">
      <c r="A22" s="10"/>
      <c r="B22" s="11"/>
      <c r="C22" s="10"/>
      <c r="D22" s="10"/>
    </row>
    <row r="23" spans="1:4" ht="15.75" customHeight="1" x14ac:dyDescent="0.3">
      <c r="A23" s="10"/>
      <c r="B23" s="11"/>
      <c r="C23" s="10" t="s">
        <v>3128</v>
      </c>
      <c r="D23" s="10"/>
    </row>
    <row r="24" spans="1:4" ht="15.75" customHeight="1" x14ac:dyDescent="0.3">
      <c r="A24" s="10"/>
      <c r="B24" s="11"/>
      <c r="C24" s="10"/>
      <c r="D24" s="10"/>
    </row>
    <row r="25" spans="1:4" ht="15.75" customHeight="1" x14ac:dyDescent="0.3">
      <c r="A25" s="10"/>
      <c r="B25" s="11"/>
      <c r="C25" s="10" t="s">
        <v>3129</v>
      </c>
      <c r="D25" s="10"/>
    </row>
    <row r="26" spans="1:4" ht="15.75" customHeight="1" x14ac:dyDescent="0.3">
      <c r="A26" s="10"/>
      <c r="B26" s="11"/>
      <c r="C26" s="10" t="s">
        <v>3130</v>
      </c>
      <c r="D26" s="10" t="s">
        <v>3131</v>
      </c>
    </row>
    <row r="27" spans="1:4" ht="15.75" customHeight="1" x14ac:dyDescent="0.3">
      <c r="A27" s="10"/>
      <c r="B27" s="11"/>
      <c r="C27" s="10" t="s">
        <v>3132</v>
      </c>
      <c r="D27" s="10" t="s">
        <v>3133</v>
      </c>
    </row>
    <row r="28" spans="1:4" ht="15.75" customHeight="1" x14ac:dyDescent="0.3">
      <c r="A28" s="10"/>
      <c r="B28" s="11"/>
      <c r="C28" s="10" t="s">
        <v>3134</v>
      </c>
      <c r="D28" s="10"/>
    </row>
    <row r="29" spans="1:4" ht="15.75" customHeight="1" x14ac:dyDescent="0.3">
      <c r="A29" s="10"/>
      <c r="B29" s="11"/>
      <c r="C29" s="10" t="s">
        <v>3135</v>
      </c>
      <c r="D29" s="10"/>
    </row>
    <row r="30" spans="1:4" ht="15.75" customHeight="1" x14ac:dyDescent="0.3">
      <c r="A30" s="10"/>
      <c r="B30" s="11"/>
      <c r="C30" s="10" t="s">
        <v>3136</v>
      </c>
      <c r="D30" s="10"/>
    </row>
    <row r="31" spans="1:4" ht="15.75" customHeight="1" x14ac:dyDescent="0.3">
      <c r="A31" s="10"/>
      <c r="B31" s="11"/>
      <c r="C31" s="10"/>
      <c r="D31" s="10"/>
    </row>
    <row r="32" spans="1:4" ht="15.75" customHeight="1" x14ac:dyDescent="0.3">
      <c r="A32" s="10"/>
      <c r="B32" s="94" t="s">
        <v>3137</v>
      </c>
      <c r="C32" s="95"/>
      <c r="D32" s="10"/>
    </row>
    <row r="33" spans="1:4" ht="15.75" customHeight="1" x14ac:dyDescent="0.3">
      <c r="A33" s="10"/>
      <c r="B33" s="11"/>
      <c r="C33" s="10"/>
      <c r="D33" s="10"/>
    </row>
    <row r="34" spans="1:4" ht="15.75" customHeight="1" x14ac:dyDescent="0.3">
      <c r="A34" s="10"/>
      <c r="B34" s="11"/>
      <c r="C34" s="10" t="s">
        <v>3138</v>
      </c>
      <c r="D34" s="10"/>
    </row>
    <row r="35" spans="1:4" ht="15.75" customHeight="1" x14ac:dyDescent="0.3">
      <c r="A35" s="10"/>
      <c r="B35" s="11"/>
      <c r="C35" s="10" t="s">
        <v>3139</v>
      </c>
      <c r="D35" s="10"/>
    </row>
    <row r="36" spans="1:4" ht="15.75" customHeight="1" x14ac:dyDescent="0.3">
      <c r="A36" s="10"/>
      <c r="B36" s="11"/>
      <c r="C36" s="10" t="s">
        <v>3140</v>
      </c>
      <c r="D36" s="10"/>
    </row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C8:D8"/>
    <mergeCell ref="C16:D16"/>
    <mergeCell ref="B32:C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showGridLines="0" workbookViewId="0">
      <selection activeCell="R18" sqref="R18"/>
    </sheetView>
  </sheetViews>
  <sheetFormatPr defaultColWidth="12.6640625" defaultRowHeight="15" customHeight="1" x14ac:dyDescent="0.25"/>
  <cols>
    <col min="1" max="1" width="12.6640625" customWidth="1"/>
    <col min="2" max="2" width="5.33203125" customWidth="1"/>
    <col min="3" max="3" width="10.21875" customWidth="1"/>
    <col min="4" max="4" width="6" customWidth="1"/>
    <col min="5" max="6" width="0.33203125" customWidth="1"/>
    <col min="7" max="7" width="12.6640625" hidden="1" customWidth="1"/>
    <col min="8" max="8" width="5.77734375" customWidth="1"/>
    <col min="9" max="9" width="13.21875" customWidth="1"/>
    <col min="10" max="10" width="6.21875" customWidth="1"/>
    <col min="11" max="11" width="5.109375" hidden="1" customWidth="1"/>
    <col min="12" max="12" width="3.77734375" hidden="1" customWidth="1"/>
    <col min="13" max="13" width="5.33203125" customWidth="1"/>
    <col min="14" max="14" width="5.88671875" customWidth="1"/>
    <col min="15" max="15" width="5.77734375" customWidth="1"/>
    <col min="16" max="16" width="5.33203125" hidden="1" customWidth="1"/>
    <col min="17" max="17" width="3.77734375" hidden="1" customWidth="1"/>
    <col min="18" max="18" width="5.44140625" customWidth="1"/>
    <col min="19" max="19" width="4.33203125" customWidth="1"/>
    <col min="20" max="20" width="4.77734375" customWidth="1"/>
    <col min="21" max="21" width="5.77734375" customWidth="1"/>
    <col min="22" max="22" width="4.33203125" customWidth="1"/>
    <col min="23" max="23" width="4.21875" customWidth="1"/>
    <col min="24" max="24" width="5" customWidth="1"/>
  </cols>
  <sheetData>
    <row r="1" spans="1:24" ht="15.75" customHeight="1" x14ac:dyDescent="0.25">
      <c r="A1" s="101" t="s">
        <v>3141</v>
      </c>
      <c r="B1" s="102"/>
      <c r="C1" s="102"/>
      <c r="D1" s="102"/>
      <c r="E1" s="103"/>
      <c r="G1" s="101" t="s">
        <v>3142</v>
      </c>
      <c r="H1" s="102"/>
      <c r="I1" s="102"/>
      <c r="J1" s="102"/>
      <c r="K1" s="103"/>
      <c r="M1" s="104" t="s">
        <v>3143</v>
      </c>
      <c r="N1" s="102"/>
      <c r="O1" s="102"/>
      <c r="P1" s="103"/>
      <c r="Q1" s="13"/>
      <c r="R1" s="101" t="s">
        <v>3144</v>
      </c>
      <c r="S1" s="102"/>
      <c r="T1" s="102"/>
      <c r="U1" s="102"/>
      <c r="V1" s="103"/>
    </row>
    <row r="2" spans="1:24" ht="15.75" customHeight="1" x14ac:dyDescent="0.25">
      <c r="A2" s="77" t="s">
        <v>1</v>
      </c>
      <c r="B2" s="76" t="s">
        <v>20</v>
      </c>
      <c r="E2" s="14"/>
      <c r="G2" s="77" t="s">
        <v>1</v>
      </c>
      <c r="H2" s="76" t="s">
        <v>3163</v>
      </c>
      <c r="K2" s="14"/>
      <c r="M2" s="15" t="s">
        <v>3145</v>
      </c>
      <c r="P2" s="14"/>
      <c r="R2" s="77" t="s">
        <v>1</v>
      </c>
      <c r="S2" s="76" t="s">
        <v>20</v>
      </c>
    </row>
    <row r="3" spans="1:24" ht="15.75" customHeight="1" x14ac:dyDescent="0.25">
      <c r="E3" s="14"/>
      <c r="K3" s="14"/>
      <c r="M3" s="16">
        <v>21</v>
      </c>
      <c r="N3" s="17">
        <v>22</v>
      </c>
      <c r="O3" s="17">
        <v>23</v>
      </c>
      <c r="P3" s="18" t="s">
        <v>3146</v>
      </c>
    </row>
    <row r="4" spans="1:24" ht="15.75" customHeight="1" x14ac:dyDescent="0.25">
      <c r="A4" s="70" t="s">
        <v>3</v>
      </c>
      <c r="B4" s="71" t="s">
        <v>3147</v>
      </c>
      <c r="E4" s="20"/>
      <c r="G4" s="70" t="s">
        <v>3</v>
      </c>
      <c r="H4" s="71" t="s">
        <v>3148</v>
      </c>
      <c r="K4" s="20"/>
      <c r="M4" s="21" t="str">
        <f t="shared" ref="M4:P4" si="0">IFERROR(B4/H4,"")</f>
        <v/>
      </c>
      <c r="N4" s="22" t="str">
        <f t="shared" si="0"/>
        <v/>
      </c>
      <c r="O4" s="22" t="str">
        <f t="shared" si="0"/>
        <v/>
      </c>
      <c r="P4" s="23" t="str">
        <f t="shared" si="0"/>
        <v/>
      </c>
      <c r="R4" s="70" t="s">
        <v>3</v>
      </c>
      <c r="S4" s="71" t="s">
        <v>3149</v>
      </c>
    </row>
    <row r="5" spans="1:24" ht="15.75" customHeight="1" x14ac:dyDescent="0.25">
      <c r="A5" s="72" t="s">
        <v>1618</v>
      </c>
      <c r="B5" s="71">
        <v>1427909</v>
      </c>
      <c r="E5" s="20"/>
      <c r="G5" s="72" t="s">
        <v>1618</v>
      </c>
      <c r="H5" s="71">
        <v>56632074</v>
      </c>
      <c r="K5" s="20"/>
      <c r="M5" s="21">
        <f t="shared" ref="M5:P5" si="1">IFERROR(B5/H5,"")</f>
        <v>2.5213786095843849E-2</v>
      </c>
      <c r="N5" s="22" t="str">
        <f t="shared" si="1"/>
        <v/>
      </c>
      <c r="O5" s="22" t="str">
        <f t="shared" si="1"/>
        <v/>
      </c>
      <c r="P5" s="23" t="str">
        <f t="shared" si="1"/>
        <v/>
      </c>
      <c r="R5" s="72" t="s">
        <v>1618</v>
      </c>
      <c r="S5" s="71">
        <v>25</v>
      </c>
    </row>
    <row r="6" spans="1:24" ht="15.75" customHeight="1" x14ac:dyDescent="0.25">
      <c r="A6" s="73" t="s">
        <v>1551</v>
      </c>
      <c r="B6" s="74">
        <v>653733</v>
      </c>
      <c r="E6" s="20"/>
      <c r="G6" s="73" t="s">
        <v>1551</v>
      </c>
      <c r="H6" s="74">
        <v>2377582</v>
      </c>
      <c r="K6" s="20"/>
      <c r="M6" s="21">
        <f t="shared" ref="M6:P6" si="2">IFERROR(B6/H6,"")</f>
        <v>0.27495707824167581</v>
      </c>
      <c r="N6" s="22" t="str">
        <f t="shared" si="2"/>
        <v/>
      </c>
      <c r="O6" s="22" t="str">
        <f t="shared" si="2"/>
        <v/>
      </c>
      <c r="P6" s="23" t="str">
        <f t="shared" si="2"/>
        <v/>
      </c>
      <c r="R6" s="73" t="s">
        <v>1551</v>
      </c>
      <c r="S6" s="74">
        <v>23</v>
      </c>
    </row>
    <row r="7" spans="1:24" ht="15.75" customHeight="1" x14ac:dyDescent="0.25">
      <c r="A7" s="73" t="s">
        <v>1224</v>
      </c>
      <c r="B7" s="74">
        <v>750470</v>
      </c>
      <c r="E7" s="20"/>
      <c r="G7" s="73" t="s">
        <v>1224</v>
      </c>
      <c r="H7" s="74">
        <v>28071241</v>
      </c>
      <c r="K7" s="20"/>
      <c r="M7" s="21">
        <f t="shared" ref="M7:P7" si="3">IFERROR(B7/H7,"")</f>
        <v>2.6734478892472192E-2</v>
      </c>
      <c r="N7" s="22" t="str">
        <f t="shared" si="3"/>
        <v/>
      </c>
      <c r="O7" s="22" t="str">
        <f t="shared" si="3"/>
        <v/>
      </c>
      <c r="P7" s="23" t="str">
        <f t="shared" si="3"/>
        <v/>
      </c>
      <c r="R7" s="73" t="s">
        <v>1224</v>
      </c>
      <c r="S7" s="74">
        <v>14</v>
      </c>
    </row>
    <row r="8" spans="1:24" ht="15.75" customHeight="1" x14ac:dyDescent="0.25">
      <c r="A8" s="73" t="s">
        <v>2265</v>
      </c>
      <c r="B8" s="74">
        <v>678441</v>
      </c>
      <c r="E8" s="20"/>
      <c r="G8" s="73" t="s">
        <v>2265</v>
      </c>
      <c r="H8" s="74">
        <v>9009088</v>
      </c>
      <c r="K8" s="20"/>
      <c r="M8" s="21">
        <f t="shared" ref="M8:P8" si="4">IFERROR(B8/H8,"")</f>
        <v>7.5306290714443017E-2</v>
      </c>
      <c r="N8" s="22" t="str">
        <f t="shared" si="4"/>
        <v/>
      </c>
      <c r="O8" s="22" t="str">
        <f t="shared" si="4"/>
        <v/>
      </c>
      <c r="P8" s="23" t="str">
        <f t="shared" si="4"/>
        <v/>
      </c>
      <c r="R8" s="73" t="s">
        <v>2265</v>
      </c>
      <c r="S8" s="74">
        <v>15</v>
      </c>
    </row>
    <row r="9" spans="1:24" ht="15.75" customHeight="1" x14ac:dyDescent="0.25">
      <c r="A9" s="73" t="s">
        <v>1051</v>
      </c>
      <c r="B9" s="74">
        <v>2253431</v>
      </c>
      <c r="E9" s="20"/>
      <c r="G9" s="73" t="s">
        <v>1051</v>
      </c>
      <c r="H9" s="74">
        <v>7388949</v>
      </c>
      <c r="K9" s="20"/>
      <c r="M9" s="21">
        <f t="shared" ref="M9:P9" si="5">IFERROR(B9/H9,"")</f>
        <v>0.30497314300044565</v>
      </c>
      <c r="N9" s="22" t="str">
        <f t="shared" si="5"/>
        <v/>
      </c>
      <c r="O9" s="22" t="str">
        <f t="shared" si="5"/>
        <v/>
      </c>
      <c r="P9" s="23" t="str">
        <f t="shared" si="5"/>
        <v/>
      </c>
      <c r="R9" s="73" t="s">
        <v>1051</v>
      </c>
      <c r="S9" s="74">
        <v>62</v>
      </c>
    </row>
    <row r="10" spans="1:24" ht="15.75" customHeight="1" x14ac:dyDescent="0.25">
      <c r="A10" s="73" t="s">
        <v>2408</v>
      </c>
      <c r="B10" s="74">
        <v>1081226</v>
      </c>
      <c r="E10" s="20"/>
      <c r="G10" s="73" t="s">
        <v>2408</v>
      </c>
      <c r="H10" s="74">
        <v>46006703</v>
      </c>
      <c r="K10" s="20"/>
      <c r="M10" s="21">
        <f t="shared" ref="M10:P10" si="6">IFERROR(B10/H10,"")</f>
        <v>2.3501488467886952E-2</v>
      </c>
      <c r="N10" s="22" t="str">
        <f t="shared" si="6"/>
        <v/>
      </c>
      <c r="O10" s="22" t="str">
        <f t="shared" si="6"/>
        <v/>
      </c>
      <c r="P10" s="23" t="str">
        <f t="shared" si="6"/>
        <v/>
      </c>
      <c r="R10" s="73" t="s">
        <v>2408</v>
      </c>
      <c r="S10" s="74">
        <v>31</v>
      </c>
    </row>
    <row r="11" spans="1:24" ht="15.75" customHeight="1" x14ac:dyDescent="0.25">
      <c r="A11" s="73" t="s">
        <v>2395</v>
      </c>
      <c r="B11" s="74">
        <v>189158</v>
      </c>
      <c r="E11" s="20"/>
      <c r="G11" s="73" t="s">
        <v>2395</v>
      </c>
      <c r="H11" s="74">
        <v>709183</v>
      </c>
      <c r="K11" s="20"/>
      <c r="M11" s="21">
        <f t="shared" ref="M11:P11" si="7">IFERROR(B11/H11,"")</f>
        <v>0.26672664178357347</v>
      </c>
      <c r="N11" s="22" t="str">
        <f t="shared" si="7"/>
        <v/>
      </c>
      <c r="O11" s="22" t="str">
        <f t="shared" si="7"/>
        <v/>
      </c>
      <c r="P11" s="23" t="str">
        <f t="shared" si="7"/>
        <v/>
      </c>
      <c r="R11" s="73" t="s">
        <v>2395</v>
      </c>
      <c r="S11" s="74">
        <v>6</v>
      </c>
    </row>
    <row r="12" spans="1:24" ht="15.75" customHeight="1" x14ac:dyDescent="0.25">
      <c r="A12" s="73" t="s">
        <v>2244</v>
      </c>
      <c r="B12" s="74">
        <v>201399</v>
      </c>
      <c r="E12" s="24"/>
      <c r="G12" s="73" t="s">
        <v>2244</v>
      </c>
      <c r="H12" s="74">
        <v>586979</v>
      </c>
      <c r="K12" s="20"/>
      <c r="M12" s="21">
        <f t="shared" ref="M12:P12" si="8">IFERROR(B12/H12,"")</f>
        <v>0.34311108233855042</v>
      </c>
      <c r="N12" s="22" t="str">
        <f t="shared" si="8"/>
        <v/>
      </c>
      <c r="O12" s="22" t="str">
        <f t="shared" si="8"/>
        <v/>
      </c>
      <c r="P12" s="23" t="str">
        <f t="shared" si="8"/>
        <v/>
      </c>
      <c r="R12" s="73" t="s">
        <v>2244</v>
      </c>
      <c r="S12" s="74">
        <v>6</v>
      </c>
      <c r="X12" s="3" t="b">
        <f>ISBLANK(RANK(M5,M5:M12))</f>
        <v>0</v>
      </c>
    </row>
    <row r="13" spans="1:24" ht="15.75" customHeight="1" x14ac:dyDescent="0.25">
      <c r="A13" s="73" t="s">
        <v>13</v>
      </c>
      <c r="B13" s="74">
        <v>1441132</v>
      </c>
      <c r="E13" s="24"/>
      <c r="G13" s="73" t="s">
        <v>13</v>
      </c>
      <c r="H13" s="74">
        <v>112361947</v>
      </c>
      <c r="K13" s="24"/>
      <c r="M13" s="25"/>
      <c r="N13" s="26"/>
      <c r="O13" s="26"/>
      <c r="P13" s="27"/>
      <c r="R13" s="73" t="s">
        <v>13</v>
      </c>
      <c r="S13" s="74">
        <v>43</v>
      </c>
    </row>
    <row r="14" spans="1:24" ht="15.75" customHeight="1" x14ac:dyDescent="0.25">
      <c r="A14" s="75" t="s">
        <v>3146</v>
      </c>
      <c r="B14" s="76">
        <v>8676899</v>
      </c>
      <c r="G14" s="75" t="s">
        <v>3146</v>
      </c>
      <c r="H14" s="76">
        <v>263143746</v>
      </c>
      <c r="R14" s="75" t="s">
        <v>3146</v>
      </c>
      <c r="S14" s="76">
        <v>225</v>
      </c>
    </row>
    <row r="15" spans="1:24" ht="15.75" customHeight="1" x14ac:dyDescent="0.25"/>
    <row r="16" spans="1:24" ht="15.75" customHeight="1" x14ac:dyDescent="0.25">
      <c r="A16" s="105" t="e">
        <f>R16</f>
        <v>#REF!</v>
      </c>
      <c r="B16" s="99"/>
      <c r="C16" s="99"/>
      <c r="D16" s="99"/>
      <c r="E16" s="100"/>
      <c r="H16" s="106" t="e">
        <f>S16</f>
        <v>#REF!</v>
      </c>
      <c r="I16" s="102"/>
      <c r="J16" s="102"/>
      <c r="K16" s="103"/>
      <c r="L16" s="28"/>
      <c r="M16" s="106" t="e">
        <f>T16</f>
        <v>#REF!</v>
      </c>
      <c r="N16" s="102"/>
      <c r="O16" s="102"/>
      <c r="P16" s="103"/>
      <c r="Q16" s="28"/>
      <c r="R16" s="29" t="e">
        <f>'[1]Input data'!C3</f>
        <v>#REF!</v>
      </c>
      <c r="S16" s="29" t="e">
        <f>'[1]Input data'!C4</f>
        <v>#REF!</v>
      </c>
      <c r="T16" s="29" t="e">
        <f>'[1]Input data'!C5</f>
        <v>#REF!</v>
      </c>
      <c r="U16" s="30"/>
    </row>
    <row r="17" spans="1:23" ht="15.75" customHeight="1" x14ac:dyDescent="0.25">
      <c r="A17" s="98" t="s">
        <v>3150</v>
      </c>
      <c r="B17" s="99"/>
      <c r="C17" s="99"/>
      <c r="D17" s="99"/>
      <c r="E17" s="100"/>
      <c r="H17" s="107" t="s">
        <v>3151</v>
      </c>
      <c r="I17" s="108"/>
      <c r="J17" s="108"/>
      <c r="K17" s="108"/>
      <c r="L17" s="109"/>
      <c r="M17" s="107" t="s">
        <v>3152</v>
      </c>
      <c r="N17" s="108"/>
      <c r="O17" s="108"/>
      <c r="P17" s="108"/>
      <c r="Q17" s="109"/>
      <c r="R17" s="110" t="s">
        <v>3153</v>
      </c>
      <c r="S17" s="108"/>
      <c r="T17" s="108"/>
      <c r="U17" s="110" t="s">
        <v>3154</v>
      </c>
      <c r="V17" s="108"/>
      <c r="W17" s="109"/>
    </row>
    <row r="18" spans="1:23" ht="15.75" customHeight="1" x14ac:dyDescent="0.25">
      <c r="A18" s="31" t="s">
        <v>3</v>
      </c>
      <c r="B18" s="32">
        <v>21</v>
      </c>
      <c r="C18" s="32">
        <v>22</v>
      </c>
      <c r="D18" s="32">
        <v>23</v>
      </c>
      <c r="E18" s="33"/>
      <c r="F18" s="13"/>
      <c r="G18" s="13"/>
      <c r="H18" s="34">
        <v>21</v>
      </c>
      <c r="I18" s="32">
        <v>22</v>
      </c>
      <c r="J18" s="32">
        <v>23</v>
      </c>
      <c r="K18" s="33"/>
      <c r="L18" s="35"/>
      <c r="M18" s="34">
        <v>21</v>
      </c>
      <c r="N18" s="32">
        <v>22</v>
      </c>
      <c r="O18" s="32">
        <v>23</v>
      </c>
      <c r="P18" s="33"/>
      <c r="Q18" s="35"/>
      <c r="R18" s="34">
        <v>21</v>
      </c>
      <c r="S18" s="32">
        <v>22</v>
      </c>
      <c r="T18" s="36">
        <v>23</v>
      </c>
      <c r="U18" s="34">
        <v>21</v>
      </c>
      <c r="V18" s="32">
        <v>22</v>
      </c>
      <c r="W18" s="33">
        <v>23</v>
      </c>
    </row>
    <row r="19" spans="1:23" ht="15.75" customHeight="1" x14ac:dyDescent="0.25">
      <c r="A19" s="37" t="s">
        <v>1618</v>
      </c>
      <c r="B19" s="38" t="str">
        <f t="shared" ref="B19:B27" si="9">IFERROR(RANK(B4,B$4:B$12),"")</f>
        <v/>
      </c>
      <c r="C19" s="38" t="e">
        <f t="shared" ref="C19:C27" si="10">RANK(C4,C$4:C$12)</f>
        <v>#N/A</v>
      </c>
      <c r="D19" s="38" t="str">
        <f t="shared" ref="D19:D27" si="11">IFERROR(RANK(D4,D$4:D$12),"")</f>
        <v/>
      </c>
      <c r="E19" s="39"/>
      <c r="F19" s="40"/>
      <c r="G19" s="40"/>
      <c r="H19" s="41" t="e">
        <f>RANK(M4,M$4:M$12)</f>
        <v>#VALUE!</v>
      </c>
      <c r="I19" s="38" t="str">
        <f t="shared" ref="I19:J19" si="12">IFERROR(RANK(N4,N$4:N$12),"")</f>
        <v/>
      </c>
      <c r="J19" s="38" t="str">
        <f t="shared" si="12"/>
        <v/>
      </c>
      <c r="K19" s="38"/>
      <c r="L19" s="42"/>
      <c r="M19" s="41" t="str">
        <f t="shared" ref="M19:O19" si="13">IFERROR(RANK(S4,S$4:S$12),"")</f>
        <v/>
      </c>
      <c r="N19" s="38" t="str">
        <f t="shared" si="13"/>
        <v/>
      </c>
      <c r="O19" s="38" t="str">
        <f t="shared" si="13"/>
        <v/>
      </c>
      <c r="P19" s="38"/>
      <c r="Q19" s="42"/>
      <c r="R19" s="41" t="e">
        <f t="shared" ref="R19:T19" si="14">B19*$R$16+H19*$S$16+M19*$T$16</f>
        <v>#VALUE!</v>
      </c>
      <c r="S19" s="38" t="e">
        <f t="shared" si="14"/>
        <v>#N/A</v>
      </c>
      <c r="T19" s="43" t="e">
        <f t="shared" si="14"/>
        <v>#VALUE!</v>
      </c>
      <c r="U19" s="44" t="e">
        <f t="shared" ref="U19:U27" ca="1" si="15">_xludf.ifna(RANK(R19,R$19:R$27)+COUNTIF(R$19:R19,R19)-1,"")</f>
        <v>#NAME?</v>
      </c>
      <c r="V19" s="41" t="e">
        <f t="shared" ref="V19:W19" si="16">RANK(S19,S$19:S$27,TRUE)</f>
        <v>#N/A</v>
      </c>
      <c r="W19" s="41" t="e">
        <f t="shared" si="16"/>
        <v>#VALUE!</v>
      </c>
    </row>
    <row r="20" spans="1:23" ht="15.75" customHeight="1" x14ac:dyDescent="0.25">
      <c r="A20" s="45" t="s">
        <v>1551</v>
      </c>
      <c r="B20" s="46">
        <f t="shared" si="9"/>
        <v>2</v>
      </c>
      <c r="C20" s="46" t="e">
        <f t="shared" si="10"/>
        <v>#N/A</v>
      </c>
      <c r="D20" s="46" t="str">
        <f t="shared" si="11"/>
        <v/>
      </c>
      <c r="E20" s="47"/>
      <c r="H20" s="48"/>
      <c r="I20" s="46" t="str">
        <f t="shared" ref="I20:J20" si="17">IFERROR(RANK(N5,N$4:N$12),"")</f>
        <v/>
      </c>
      <c r="J20" s="46" t="str">
        <f t="shared" si="17"/>
        <v/>
      </c>
      <c r="K20" s="46"/>
      <c r="L20" s="49"/>
      <c r="M20" s="48">
        <f t="shared" ref="M20:O20" si="18">IFERROR(RANK(S5,S$4:S$12),"")</f>
        <v>3</v>
      </c>
      <c r="N20" s="46" t="str">
        <f t="shared" si="18"/>
        <v/>
      </c>
      <c r="O20" s="46" t="str">
        <f t="shared" si="18"/>
        <v/>
      </c>
      <c r="P20" s="46"/>
      <c r="Q20" s="49"/>
      <c r="R20" s="48"/>
      <c r="S20" s="46" t="e">
        <f t="shared" ref="S20:T20" si="19">C20*$R$16+I20*$S$16+N20*$T$16</f>
        <v>#N/A</v>
      </c>
      <c r="T20" s="35" t="e">
        <f t="shared" si="19"/>
        <v>#VALUE!</v>
      </c>
      <c r="U20" s="44" t="e">
        <f t="shared" ca="1" si="15"/>
        <v>#NAME?</v>
      </c>
      <c r="V20" s="48" t="e">
        <f t="shared" ref="V20:W20" si="20">RANK(S20,S$19:S$27,TRUE)</f>
        <v>#N/A</v>
      </c>
      <c r="W20" s="48" t="e">
        <f t="shared" si="20"/>
        <v>#VALUE!</v>
      </c>
    </row>
    <row r="21" spans="1:23" ht="15.75" customHeight="1" x14ac:dyDescent="0.25">
      <c r="A21" s="45" t="s">
        <v>1224</v>
      </c>
      <c r="B21" s="46">
        <f t="shared" si="9"/>
        <v>6</v>
      </c>
      <c r="C21" s="46" t="e">
        <f t="shared" si="10"/>
        <v>#N/A</v>
      </c>
      <c r="D21" s="46" t="str">
        <f t="shared" si="11"/>
        <v/>
      </c>
      <c r="E21" s="47"/>
      <c r="H21" s="48">
        <f t="shared" ref="H21:J21" si="21">IFERROR(RANK(M6,M$4:M$12),"")</f>
        <v>3</v>
      </c>
      <c r="I21" s="46" t="str">
        <f t="shared" si="21"/>
        <v/>
      </c>
      <c r="J21" s="46" t="str">
        <f t="shared" si="21"/>
        <v/>
      </c>
      <c r="K21" s="46"/>
      <c r="L21" s="49"/>
      <c r="M21" s="48">
        <f t="shared" ref="M21:O21" si="22">IFERROR(RANK(S6,S$4:S$12),"")</f>
        <v>4</v>
      </c>
      <c r="N21" s="46" t="str">
        <f t="shared" si="22"/>
        <v/>
      </c>
      <c r="O21" s="46" t="str">
        <f t="shared" si="22"/>
        <v/>
      </c>
      <c r="P21" s="46"/>
      <c r="Q21" s="49"/>
      <c r="R21" s="48" t="e">
        <f t="shared" ref="R21:T21" si="23">B21*$R$16+H21*$S$16+M21*$T$16</f>
        <v>#REF!</v>
      </c>
      <c r="S21" s="46" t="e">
        <f t="shared" si="23"/>
        <v>#N/A</v>
      </c>
      <c r="T21" s="35" t="e">
        <f t="shared" si="23"/>
        <v>#VALUE!</v>
      </c>
      <c r="U21" s="44" t="e">
        <f t="shared" ca="1" si="15"/>
        <v>#NAME?</v>
      </c>
      <c r="V21" s="48" t="e">
        <f t="shared" ref="V21:W21" si="24">RANK(S21,S$19:S$27,TRUE)</f>
        <v>#N/A</v>
      </c>
      <c r="W21" s="48" t="e">
        <f t="shared" si="24"/>
        <v>#VALUE!</v>
      </c>
    </row>
    <row r="22" spans="1:23" ht="15.75" customHeight="1" x14ac:dyDescent="0.25">
      <c r="A22" s="45" t="s">
        <v>2265</v>
      </c>
      <c r="B22" s="46">
        <f t="shared" si="9"/>
        <v>4</v>
      </c>
      <c r="C22" s="46" t="e">
        <f t="shared" si="10"/>
        <v>#N/A</v>
      </c>
      <c r="D22" s="46" t="str">
        <f t="shared" si="11"/>
        <v/>
      </c>
      <c r="E22" s="47"/>
      <c r="H22" s="48"/>
      <c r="I22" s="46" t="str">
        <f t="shared" ref="I22:J22" si="25">IFERROR(RANK(N7,N$4:N$12),"")</f>
        <v/>
      </c>
      <c r="J22" s="46" t="str">
        <f t="shared" si="25"/>
        <v/>
      </c>
      <c r="K22" s="46"/>
      <c r="L22" s="49"/>
      <c r="M22" s="48">
        <f t="shared" ref="M22:O22" si="26">IFERROR(RANK(S7,S$4:S$12),"")</f>
        <v>6</v>
      </c>
      <c r="N22" s="46" t="str">
        <f t="shared" si="26"/>
        <v/>
      </c>
      <c r="O22" s="46" t="str">
        <f t="shared" si="26"/>
        <v/>
      </c>
      <c r="P22" s="46"/>
      <c r="Q22" s="49"/>
      <c r="R22" s="48"/>
      <c r="S22" s="46" t="e">
        <f t="shared" ref="S22:T22" si="27">C22*$R$16+I22*$S$16+N22*$T$16</f>
        <v>#N/A</v>
      </c>
      <c r="T22" s="35" t="e">
        <f t="shared" si="27"/>
        <v>#VALUE!</v>
      </c>
      <c r="U22" s="44" t="e">
        <f t="shared" ca="1" si="15"/>
        <v>#NAME?</v>
      </c>
      <c r="V22" s="48" t="e">
        <f t="shared" ref="V22:W22" si="28">RANK(S22,S$19:S$27,TRUE)</f>
        <v>#N/A</v>
      </c>
      <c r="W22" s="48" t="e">
        <f t="shared" si="28"/>
        <v>#VALUE!</v>
      </c>
    </row>
    <row r="23" spans="1:23" ht="15.75" customHeight="1" x14ac:dyDescent="0.25">
      <c r="A23" s="37" t="s">
        <v>1051</v>
      </c>
      <c r="B23" s="38">
        <f t="shared" si="9"/>
        <v>5</v>
      </c>
      <c r="C23" s="38" t="e">
        <f t="shared" si="10"/>
        <v>#N/A</v>
      </c>
      <c r="D23" s="38" t="str">
        <f t="shared" si="11"/>
        <v/>
      </c>
      <c r="E23" s="39"/>
      <c r="F23" s="40"/>
      <c r="G23" s="40"/>
      <c r="H23" s="41">
        <f t="shared" ref="H23:J23" si="29">IFERROR(RANK(M8,M$4:M$12),"")</f>
        <v>5</v>
      </c>
      <c r="I23" s="38" t="str">
        <f t="shared" si="29"/>
        <v/>
      </c>
      <c r="J23" s="38" t="str">
        <f t="shared" si="29"/>
        <v/>
      </c>
      <c r="K23" s="38"/>
      <c r="L23" s="42"/>
      <c r="M23" s="41">
        <f t="shared" ref="M23:O23" si="30">IFERROR(RANK(S8,S$4:S$12),"")</f>
        <v>5</v>
      </c>
      <c r="N23" s="38" t="str">
        <f t="shared" si="30"/>
        <v/>
      </c>
      <c r="O23" s="38" t="str">
        <f t="shared" si="30"/>
        <v/>
      </c>
      <c r="P23" s="38"/>
      <c r="Q23" s="42"/>
      <c r="R23" s="41" t="e">
        <f t="shared" ref="R23:T23" si="31">B23*$R$16+H23*$S$16+M23*$T$16</f>
        <v>#REF!</v>
      </c>
      <c r="S23" s="38" t="e">
        <f t="shared" si="31"/>
        <v>#N/A</v>
      </c>
      <c r="T23" s="43" t="e">
        <f t="shared" si="31"/>
        <v>#VALUE!</v>
      </c>
      <c r="U23" s="44" t="e">
        <f t="shared" ca="1" si="15"/>
        <v>#NAME?</v>
      </c>
      <c r="V23" s="41" t="e">
        <f t="shared" ref="V23:W23" si="32">RANK(S23,S$19:S$27,TRUE)</f>
        <v>#N/A</v>
      </c>
      <c r="W23" s="41" t="e">
        <f t="shared" si="32"/>
        <v>#VALUE!</v>
      </c>
    </row>
    <row r="24" spans="1:23" ht="15.75" customHeight="1" x14ac:dyDescent="0.25">
      <c r="A24" s="45" t="s">
        <v>2408</v>
      </c>
      <c r="B24" s="46">
        <f t="shared" si="9"/>
        <v>1</v>
      </c>
      <c r="C24" s="46" t="e">
        <f t="shared" si="10"/>
        <v>#N/A</v>
      </c>
      <c r="D24" s="46" t="str">
        <f t="shared" si="11"/>
        <v/>
      </c>
      <c r="E24" s="47"/>
      <c r="H24" s="48">
        <f t="shared" ref="H24:J24" si="33">IFERROR(RANK(M9,M$4:M$12),"")</f>
        <v>2</v>
      </c>
      <c r="I24" s="46" t="str">
        <f t="shared" si="33"/>
        <v/>
      </c>
      <c r="J24" s="46" t="str">
        <f t="shared" si="33"/>
        <v/>
      </c>
      <c r="K24" s="46"/>
      <c r="L24" s="49"/>
      <c r="M24" s="48">
        <f t="shared" ref="M24:O24" si="34">IFERROR(RANK(S9,S$4:S$12),"")</f>
        <v>1</v>
      </c>
      <c r="N24" s="46" t="str">
        <f t="shared" si="34"/>
        <v/>
      </c>
      <c r="O24" s="46" t="str">
        <f t="shared" si="34"/>
        <v/>
      </c>
      <c r="P24" s="46"/>
      <c r="Q24" s="49"/>
      <c r="R24" s="48" t="e">
        <f t="shared" ref="R24:T24" si="35">B24*$R$16+H24*$S$16+M24*$T$16</f>
        <v>#REF!</v>
      </c>
      <c r="S24" s="46" t="e">
        <f t="shared" si="35"/>
        <v>#N/A</v>
      </c>
      <c r="T24" s="35" t="e">
        <f t="shared" si="35"/>
        <v>#VALUE!</v>
      </c>
      <c r="U24" s="44" t="e">
        <f t="shared" ca="1" si="15"/>
        <v>#NAME?</v>
      </c>
      <c r="V24" s="48" t="e">
        <f t="shared" ref="V24:W24" si="36">RANK(S24,S$19:S$27,TRUE)</f>
        <v>#N/A</v>
      </c>
      <c r="W24" s="48" t="e">
        <f t="shared" si="36"/>
        <v>#VALUE!</v>
      </c>
    </row>
    <row r="25" spans="1:23" ht="15.75" customHeight="1" x14ac:dyDescent="0.25">
      <c r="A25" s="45" t="s">
        <v>2395</v>
      </c>
      <c r="B25" s="46">
        <f t="shared" si="9"/>
        <v>3</v>
      </c>
      <c r="C25" s="46" t="e">
        <f t="shared" si="10"/>
        <v>#N/A</v>
      </c>
      <c r="D25" s="46" t="str">
        <f t="shared" si="11"/>
        <v/>
      </c>
      <c r="E25" s="47"/>
      <c r="H25" s="48"/>
      <c r="I25" s="46" t="str">
        <f t="shared" ref="I25:I26" si="37">IFERROR(RANK(N10,N$4:N$12),"")</f>
        <v/>
      </c>
      <c r="J25" s="46"/>
      <c r="K25" s="46"/>
      <c r="L25" s="49"/>
      <c r="M25" s="48">
        <f t="shared" ref="M25:O25" si="38">IFERROR(RANK(S10,S$4:S$12),"")</f>
        <v>2</v>
      </c>
      <c r="N25" s="46" t="str">
        <f t="shared" si="38"/>
        <v/>
      </c>
      <c r="O25" s="46" t="str">
        <f t="shared" si="38"/>
        <v/>
      </c>
      <c r="P25" s="46"/>
      <c r="Q25" s="49"/>
      <c r="R25" s="48"/>
      <c r="S25" s="46" t="e">
        <f t="shared" ref="S25:T25" si="39">C25*$R$16+I25*$S$16+N25*$T$16</f>
        <v>#N/A</v>
      </c>
      <c r="T25" s="35" t="e">
        <f t="shared" si="39"/>
        <v>#VALUE!</v>
      </c>
      <c r="U25" s="44" t="e">
        <f t="shared" ca="1" si="15"/>
        <v>#NAME?</v>
      </c>
      <c r="V25" s="48" t="e">
        <f t="shared" ref="V25:W25" si="40">RANK(S25,S$19:S$27,TRUE)</f>
        <v>#N/A</v>
      </c>
      <c r="W25" s="48" t="e">
        <f t="shared" si="40"/>
        <v>#VALUE!</v>
      </c>
    </row>
    <row r="26" spans="1:23" ht="15.75" customHeight="1" x14ac:dyDescent="0.25">
      <c r="A26" s="45" t="s">
        <v>2244</v>
      </c>
      <c r="B26" s="46">
        <f t="shared" si="9"/>
        <v>8</v>
      </c>
      <c r="C26" s="46" t="e">
        <f t="shared" si="10"/>
        <v>#N/A</v>
      </c>
      <c r="D26" s="46" t="str">
        <f t="shared" si="11"/>
        <v/>
      </c>
      <c r="E26" s="47"/>
      <c r="H26" s="48"/>
      <c r="I26" s="46" t="str">
        <f t="shared" si="37"/>
        <v/>
      </c>
      <c r="J26" s="46" t="str">
        <f>IFERROR(RANK(O11,O$4:O$12),"")</f>
        <v/>
      </c>
      <c r="K26" s="46"/>
      <c r="L26" s="49"/>
      <c r="M26" s="48">
        <f t="shared" ref="M26:O26" si="41">IFERROR(RANK(S11,S$4:S$12),"")</f>
        <v>7</v>
      </c>
      <c r="N26" s="46" t="str">
        <f t="shared" si="41"/>
        <v/>
      </c>
      <c r="O26" s="46" t="str">
        <f t="shared" si="41"/>
        <v/>
      </c>
      <c r="P26" s="46"/>
      <c r="Q26" s="49"/>
      <c r="R26" s="48"/>
      <c r="S26" s="46" t="e">
        <f t="shared" ref="S26:T26" si="42">C26*$R$16+I26*$S$16+N26*$T$16</f>
        <v>#N/A</v>
      </c>
      <c r="T26" s="35" t="e">
        <f t="shared" si="42"/>
        <v>#VALUE!</v>
      </c>
      <c r="U26" s="44" t="e">
        <f t="shared" ca="1" si="15"/>
        <v>#NAME?</v>
      </c>
      <c r="V26" s="48" t="e">
        <f t="shared" ref="V26:W26" si="43">RANK(S26,S$19:S$27,TRUE)</f>
        <v>#N/A</v>
      </c>
      <c r="W26" s="48" t="e">
        <f t="shared" si="43"/>
        <v>#VALUE!</v>
      </c>
    </row>
    <row r="27" spans="1:23" ht="15.75" customHeight="1" x14ac:dyDescent="0.25">
      <c r="A27" s="50" t="s">
        <v>13</v>
      </c>
      <c r="B27" s="51">
        <f t="shared" si="9"/>
        <v>7</v>
      </c>
      <c r="C27" s="51" t="e">
        <f t="shared" si="10"/>
        <v>#N/A</v>
      </c>
      <c r="D27" s="51" t="str">
        <f t="shared" si="11"/>
        <v/>
      </c>
      <c r="E27" s="52"/>
      <c r="F27" s="40"/>
      <c r="G27" s="40"/>
      <c r="H27" s="53">
        <f t="shared" ref="H27:J27" si="44">IFERROR(RANK(M12,M$4:M$12),"")</f>
        <v>1</v>
      </c>
      <c r="I27" s="51" t="str">
        <f t="shared" si="44"/>
        <v/>
      </c>
      <c r="J27" s="51" t="str">
        <f t="shared" si="44"/>
        <v/>
      </c>
      <c r="K27" s="51"/>
      <c r="L27" s="54"/>
      <c r="M27" s="53">
        <f t="shared" ref="M27:O27" si="45">IFERROR(RANK(S12,S$4:S$12),"")</f>
        <v>7</v>
      </c>
      <c r="N27" s="51" t="str">
        <f t="shared" si="45"/>
        <v/>
      </c>
      <c r="O27" s="51" t="str">
        <f t="shared" si="45"/>
        <v/>
      </c>
      <c r="P27" s="51"/>
      <c r="Q27" s="54"/>
      <c r="R27" s="53" t="e">
        <f t="shared" ref="R27:T27" si="46">B27*$R$16+H27*$S$16+M27*$T$16</f>
        <v>#REF!</v>
      </c>
      <c r="S27" s="51" t="e">
        <f t="shared" si="46"/>
        <v>#N/A</v>
      </c>
      <c r="T27" s="55" t="e">
        <f t="shared" si="46"/>
        <v>#VALUE!</v>
      </c>
      <c r="U27" s="44" t="e">
        <f t="shared" ca="1" si="15"/>
        <v>#NAME?</v>
      </c>
      <c r="V27" s="53" t="e">
        <f t="shared" ref="V27:W27" si="47">RANK(S27,S$19:S$27,TRUE)</f>
        <v>#N/A</v>
      </c>
      <c r="W27" s="53" t="e">
        <f t="shared" si="47"/>
        <v>#VALUE!</v>
      </c>
    </row>
    <row r="28" spans="1:23" ht="15.75" customHeight="1" x14ac:dyDescent="0.25"/>
    <row r="29" spans="1:23" ht="15.75" customHeight="1" x14ac:dyDescent="0.25"/>
    <row r="30" spans="1:23" ht="15.75" customHeight="1" x14ac:dyDescent="0.25">
      <c r="B30" s="13"/>
      <c r="C30" s="13"/>
      <c r="D30" s="13"/>
    </row>
    <row r="31" spans="1:23" ht="15.75" customHeight="1" x14ac:dyDescent="0.25">
      <c r="B31" s="13"/>
      <c r="C31" s="13"/>
      <c r="D31" s="13"/>
      <c r="E31" s="13"/>
      <c r="H31" s="13"/>
    </row>
    <row r="32" spans="1:23" ht="15.75" customHeight="1" x14ac:dyDescent="0.25">
      <c r="B32" s="13"/>
      <c r="C32" s="13"/>
      <c r="D32" s="13"/>
      <c r="E32" s="13"/>
      <c r="H32" s="13"/>
    </row>
    <row r="33" spans="2:8" ht="15.75" customHeight="1" x14ac:dyDescent="0.25">
      <c r="B33" s="13"/>
      <c r="C33" s="13"/>
      <c r="D33" s="13"/>
      <c r="E33" s="13"/>
      <c r="H33" s="13"/>
    </row>
    <row r="34" spans="2:8" ht="15.75" customHeight="1" x14ac:dyDescent="0.25">
      <c r="B34" s="13"/>
      <c r="C34" s="13"/>
      <c r="D34" s="13"/>
      <c r="E34" s="13"/>
      <c r="H34" s="13"/>
    </row>
    <row r="35" spans="2:8" ht="15.75" customHeight="1" x14ac:dyDescent="0.25">
      <c r="B35" s="13"/>
      <c r="C35" s="13"/>
      <c r="D35" s="13"/>
      <c r="E35" s="13"/>
      <c r="H35" s="13"/>
    </row>
    <row r="36" spans="2:8" ht="15.75" customHeight="1" x14ac:dyDescent="0.25">
      <c r="B36" s="13"/>
      <c r="C36" s="13"/>
      <c r="D36" s="13"/>
      <c r="E36" s="13"/>
      <c r="H36" s="13"/>
    </row>
    <row r="37" spans="2:8" ht="15.75" customHeight="1" x14ac:dyDescent="0.25">
      <c r="B37" s="13"/>
      <c r="C37" s="13"/>
      <c r="D37" s="13"/>
      <c r="E37" s="13"/>
      <c r="H37" s="13"/>
    </row>
    <row r="38" spans="2:8" ht="15.75" customHeight="1" x14ac:dyDescent="0.25">
      <c r="B38" s="13"/>
      <c r="C38" s="13"/>
      <c r="D38" s="13"/>
      <c r="E38" s="13"/>
      <c r="H38" s="13"/>
    </row>
    <row r="39" spans="2:8" ht="15.75" customHeight="1" x14ac:dyDescent="0.25">
      <c r="B39" s="13"/>
      <c r="C39" s="13"/>
      <c r="D39" s="13"/>
      <c r="E39" s="13"/>
      <c r="H39" s="13"/>
    </row>
    <row r="40" spans="2:8" ht="15.75" customHeight="1" x14ac:dyDescent="0.25"/>
    <row r="41" spans="2:8" ht="15.75" customHeight="1" x14ac:dyDescent="0.25"/>
    <row r="42" spans="2:8" ht="15.75" customHeight="1" x14ac:dyDescent="0.25"/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7:E17"/>
    <mergeCell ref="A1:E1"/>
    <mergeCell ref="G1:K1"/>
    <mergeCell ref="M1:P1"/>
    <mergeCell ref="R1:V1"/>
    <mergeCell ref="A16:E16"/>
    <mergeCell ref="M16:P16"/>
    <mergeCell ref="H16:K16"/>
    <mergeCell ref="H17:L17"/>
    <mergeCell ref="M17:Q17"/>
    <mergeCell ref="R17:T17"/>
    <mergeCell ref="U17:W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9.77734375" customWidth="1"/>
    <col min="3" max="3" width="9.21875" customWidth="1"/>
    <col min="4" max="5" width="8" customWidth="1"/>
    <col min="6" max="6" width="21.109375" customWidth="1"/>
    <col min="7" max="7" width="9.33203125" customWidth="1"/>
    <col min="8" max="8" width="4.77734375" customWidth="1"/>
    <col min="9" max="9" width="3.77734375" customWidth="1"/>
    <col min="11" max="11" width="4.21875" customWidth="1"/>
    <col min="12" max="12" width="8" hidden="1" customWidth="1"/>
    <col min="13" max="13" width="5.88671875" customWidth="1"/>
    <col min="14" max="14" width="8" customWidth="1"/>
    <col min="15" max="15" width="7" customWidth="1"/>
    <col min="17" max="17" width="9.6640625" customWidth="1"/>
    <col min="18" max="18" width="5.88671875" customWidth="1"/>
    <col min="19" max="19" width="6.33203125" customWidth="1"/>
    <col min="20" max="20" width="9.6640625" customWidth="1"/>
    <col min="27" max="27" width="4.6640625" customWidth="1"/>
    <col min="28" max="28" width="12.6640625" hidden="1" customWidth="1"/>
  </cols>
  <sheetData>
    <row r="1" spans="1:38" ht="15.75" customHeight="1" x14ac:dyDescent="0.25">
      <c r="A1" s="56"/>
      <c r="B1" s="111" t="s">
        <v>3155</v>
      </c>
      <c r="C1" s="95"/>
      <c r="D1" s="95"/>
      <c r="E1" s="95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ht="15.75" customHeight="1" x14ac:dyDescent="0.25">
      <c r="A2" s="77" t="s">
        <v>1</v>
      </c>
      <c r="B2" s="76" t="s">
        <v>20</v>
      </c>
      <c r="J2" s="77" t="s">
        <v>1</v>
      </c>
      <c r="K2" s="76" t="s">
        <v>20</v>
      </c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</row>
    <row r="3" spans="1:38" ht="15.75" customHeight="1" x14ac:dyDescent="0.25"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</row>
    <row r="4" spans="1:38" ht="15.75" customHeight="1" x14ac:dyDescent="0.25">
      <c r="A4" s="70" t="s">
        <v>4</v>
      </c>
      <c r="B4" s="71" t="s">
        <v>3147</v>
      </c>
      <c r="J4" s="70" t="s">
        <v>4</v>
      </c>
      <c r="K4" s="71" t="s">
        <v>3147</v>
      </c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</row>
    <row r="5" spans="1:38" ht="15.75" customHeight="1" x14ac:dyDescent="0.25">
      <c r="A5" s="72" t="s">
        <v>1072</v>
      </c>
      <c r="B5" s="71">
        <v>260699</v>
      </c>
      <c r="J5" s="72" t="s">
        <v>1052</v>
      </c>
      <c r="K5" s="71">
        <v>4039839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</row>
    <row r="6" spans="1:38" ht="15.75" customHeight="1" x14ac:dyDescent="0.25">
      <c r="A6" s="73" t="s">
        <v>2247</v>
      </c>
      <c r="B6" s="74">
        <v>27890</v>
      </c>
      <c r="J6" s="73" t="s">
        <v>14</v>
      </c>
      <c r="K6" s="74">
        <v>1398148</v>
      </c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</row>
    <row r="7" spans="1:38" ht="15.75" customHeight="1" x14ac:dyDescent="0.25">
      <c r="A7" s="73" t="s">
        <v>2258</v>
      </c>
      <c r="B7" s="74">
        <v>9129</v>
      </c>
      <c r="J7" s="73" t="s">
        <v>187</v>
      </c>
      <c r="K7" s="74">
        <v>1195384</v>
      </c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</row>
    <row r="8" spans="1:38" ht="15.75" customHeight="1" x14ac:dyDescent="0.25">
      <c r="A8" s="73" t="s">
        <v>187</v>
      </c>
      <c r="B8" s="74">
        <v>1195384</v>
      </c>
      <c r="J8" s="73" t="s">
        <v>80</v>
      </c>
      <c r="K8" s="74">
        <v>1052220</v>
      </c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</row>
    <row r="9" spans="1:38" ht="15.75" customHeight="1" x14ac:dyDescent="0.25">
      <c r="A9" s="73" t="s">
        <v>1052</v>
      </c>
      <c r="B9" s="74">
        <v>4039839</v>
      </c>
      <c r="J9" s="73" t="s">
        <v>1075</v>
      </c>
      <c r="K9" s="74">
        <v>442933</v>
      </c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</row>
    <row r="10" spans="1:38" ht="15.75" customHeight="1" x14ac:dyDescent="0.25">
      <c r="A10" s="73" t="s">
        <v>2255</v>
      </c>
      <c r="B10" s="74">
        <v>15999</v>
      </c>
      <c r="J10" s="73" t="s">
        <v>1072</v>
      </c>
      <c r="K10" s="74">
        <v>260699</v>
      </c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</row>
    <row r="11" spans="1:38" ht="15.75" customHeight="1" x14ac:dyDescent="0.25">
      <c r="A11" s="73" t="s">
        <v>80</v>
      </c>
      <c r="B11" s="74">
        <v>1052220</v>
      </c>
      <c r="J11" s="73" t="s">
        <v>1158</v>
      </c>
      <c r="K11" s="74">
        <v>96596</v>
      </c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</row>
    <row r="12" spans="1:38" ht="15.75" customHeight="1" x14ac:dyDescent="0.25">
      <c r="A12" s="73" t="s">
        <v>1158</v>
      </c>
      <c r="B12" s="74">
        <v>96596</v>
      </c>
      <c r="J12" s="73" t="s">
        <v>2252</v>
      </c>
      <c r="K12" s="74">
        <v>50854</v>
      </c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</row>
    <row r="13" spans="1:38" ht="15.75" customHeight="1" x14ac:dyDescent="0.25">
      <c r="A13" s="73" t="s">
        <v>22</v>
      </c>
      <c r="B13" s="74">
        <v>42984</v>
      </c>
      <c r="J13" s="73" t="s">
        <v>22</v>
      </c>
      <c r="K13" s="74">
        <v>42984</v>
      </c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</row>
    <row r="14" spans="1:38" ht="15.75" customHeight="1" x14ac:dyDescent="0.25">
      <c r="A14" s="73" t="s">
        <v>2252</v>
      </c>
      <c r="B14" s="74">
        <v>50854</v>
      </c>
      <c r="J14" s="73" t="s">
        <v>2247</v>
      </c>
      <c r="K14" s="74">
        <v>27890</v>
      </c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</row>
    <row r="15" spans="1:38" ht="15.75" customHeight="1" x14ac:dyDescent="0.25">
      <c r="A15" s="73" t="s">
        <v>2261</v>
      </c>
      <c r="B15" s="74">
        <v>25158</v>
      </c>
      <c r="J15" s="73" t="s">
        <v>2261</v>
      </c>
      <c r="K15" s="74">
        <v>25158</v>
      </c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</row>
    <row r="16" spans="1:38" ht="15.75" customHeight="1" x14ac:dyDescent="0.25">
      <c r="A16" s="73" t="s">
        <v>14</v>
      </c>
      <c r="B16" s="74">
        <v>1398148</v>
      </c>
      <c r="J16" s="73" t="s">
        <v>2255</v>
      </c>
      <c r="K16" s="74">
        <v>15999</v>
      </c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</row>
    <row r="17" spans="1:38" ht="15.75" customHeight="1" x14ac:dyDescent="0.25">
      <c r="A17" s="73" t="s">
        <v>1075</v>
      </c>
      <c r="B17" s="74">
        <v>442933</v>
      </c>
      <c r="J17" s="73" t="s">
        <v>1118</v>
      </c>
      <c r="K17" s="74">
        <v>14506</v>
      </c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</row>
    <row r="18" spans="1:38" ht="15.75" customHeight="1" x14ac:dyDescent="0.25">
      <c r="A18" s="73" t="s">
        <v>1065</v>
      </c>
      <c r="B18" s="74">
        <v>4560</v>
      </c>
      <c r="J18" s="73" t="s">
        <v>2258</v>
      </c>
      <c r="K18" s="74">
        <v>9129</v>
      </c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</row>
    <row r="19" spans="1:38" ht="15.75" customHeight="1" x14ac:dyDescent="0.25">
      <c r="A19" s="73" t="s">
        <v>1118</v>
      </c>
      <c r="B19" s="74">
        <v>14506</v>
      </c>
      <c r="J19" s="73" t="s">
        <v>1065</v>
      </c>
      <c r="K19" s="74">
        <v>4560</v>
      </c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</row>
    <row r="20" spans="1:38" ht="15.75" customHeight="1" x14ac:dyDescent="0.25">
      <c r="A20" s="75" t="s">
        <v>3146</v>
      </c>
      <c r="B20" s="76">
        <v>8676899</v>
      </c>
      <c r="C20" s="56"/>
      <c r="D20" s="56"/>
      <c r="E20" s="56"/>
      <c r="F20" s="56"/>
      <c r="G20" s="56"/>
      <c r="H20" s="56"/>
      <c r="I20" s="56"/>
      <c r="J20" s="75" t="s">
        <v>3146</v>
      </c>
      <c r="K20" s="76">
        <v>8676899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</row>
    <row r="21" spans="1:38" ht="15.75" customHeight="1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</row>
    <row r="22" spans="1:38" ht="15.75" customHeight="1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</row>
    <row r="23" spans="1:38" ht="15.75" customHeight="1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</row>
    <row r="24" spans="1:38" ht="15.75" customHeight="1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</row>
    <row r="25" spans="1:38" ht="13.2" x14ac:dyDescent="0.25">
      <c r="A25" s="77" t="s">
        <v>1</v>
      </c>
      <c r="B25" s="76" t="s">
        <v>3163</v>
      </c>
      <c r="C25" s="56"/>
      <c r="D25" s="56"/>
      <c r="E25" s="56"/>
      <c r="F25" s="77" t="s">
        <v>1</v>
      </c>
      <c r="G25" s="76" t="s">
        <v>3163</v>
      </c>
      <c r="H25" s="56"/>
      <c r="I25" s="56"/>
      <c r="J25" s="56"/>
      <c r="K25" s="56"/>
      <c r="L25" s="77" t="s">
        <v>1</v>
      </c>
      <c r="M25" s="76" t="s">
        <v>20</v>
      </c>
      <c r="N25" s="56"/>
      <c r="O25" s="56"/>
      <c r="P25" s="56"/>
      <c r="Q25" s="56"/>
      <c r="R25" s="56"/>
      <c r="S25" s="56"/>
      <c r="T25" s="56"/>
      <c r="U25" s="56"/>
      <c r="V25" s="77" t="s">
        <v>1</v>
      </c>
      <c r="W25" s="76" t="s">
        <v>3163</v>
      </c>
      <c r="X25" s="56"/>
      <c r="Y25" s="56"/>
      <c r="Z25" s="56"/>
      <c r="AA25" s="56"/>
      <c r="AB25" s="77" t="s">
        <v>1</v>
      </c>
      <c r="AC25" s="76" t="s">
        <v>20</v>
      </c>
      <c r="AD25" s="56"/>
      <c r="AE25" s="56"/>
      <c r="AF25" s="56"/>
      <c r="AG25" s="56"/>
      <c r="AH25" s="56"/>
      <c r="AI25" s="56"/>
      <c r="AJ25" s="56"/>
      <c r="AK25" s="56"/>
      <c r="AL25" s="56"/>
    </row>
    <row r="26" spans="1:38" ht="15.75" customHeight="1" x14ac:dyDescent="0.25">
      <c r="A26" s="56"/>
      <c r="B26" s="56"/>
      <c r="C26" s="56"/>
      <c r="D26" s="56"/>
      <c r="E26" s="56"/>
      <c r="F26" s="111"/>
      <c r="G26" s="95"/>
      <c r="H26" s="95"/>
      <c r="I26" s="95"/>
      <c r="J26" s="95"/>
      <c r="K26" s="56"/>
      <c r="L26" s="111"/>
      <c r="M26" s="95"/>
      <c r="N26" s="95"/>
      <c r="O26" s="95"/>
      <c r="P26" s="95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</row>
    <row r="27" spans="1:38" ht="15.75" customHeight="1" x14ac:dyDescent="0.25">
      <c r="A27" s="70" t="s">
        <v>3</v>
      </c>
      <c r="B27" s="71" t="s">
        <v>3156</v>
      </c>
      <c r="C27" s="56"/>
      <c r="D27" s="56"/>
      <c r="E27" s="56"/>
      <c r="F27" s="70" t="s">
        <v>3</v>
      </c>
      <c r="G27" s="71" t="s">
        <v>3157</v>
      </c>
      <c r="K27" s="56"/>
      <c r="L27" s="70" t="s">
        <v>3</v>
      </c>
      <c r="M27" s="71" t="s">
        <v>3157</v>
      </c>
      <c r="Q27" s="56"/>
      <c r="R27" s="56"/>
      <c r="S27" s="56"/>
      <c r="T27" s="56"/>
      <c r="U27" s="56"/>
      <c r="V27" s="70" t="s">
        <v>3</v>
      </c>
      <c r="W27" s="71" t="s">
        <v>3148</v>
      </c>
      <c r="AA27" s="56"/>
      <c r="AB27" s="70" t="s">
        <v>3</v>
      </c>
      <c r="AC27" s="71" t="s">
        <v>3148</v>
      </c>
      <c r="AG27" s="56"/>
      <c r="AH27" s="56"/>
      <c r="AI27" s="56"/>
      <c r="AJ27" s="56"/>
      <c r="AK27" s="56"/>
      <c r="AL27" s="56"/>
    </row>
    <row r="28" spans="1:38" ht="15.75" customHeight="1" x14ac:dyDescent="0.25">
      <c r="A28" s="72" t="s">
        <v>1618</v>
      </c>
      <c r="B28" s="71">
        <v>1427909</v>
      </c>
      <c r="C28" s="56"/>
      <c r="D28" s="58">
        <f t="shared" ref="D28:D36" si="0">B28/$B$37</f>
        <v>0.16456443713358884</v>
      </c>
      <c r="E28" s="58"/>
      <c r="F28" s="72" t="s">
        <v>1618</v>
      </c>
      <c r="G28" s="71">
        <v>408</v>
      </c>
      <c r="K28" s="56"/>
      <c r="L28" s="72" t="s">
        <v>1618</v>
      </c>
      <c r="M28" s="71">
        <v>25</v>
      </c>
      <c r="Q28" s="59">
        <v>21</v>
      </c>
      <c r="R28" s="60">
        <v>22</v>
      </c>
      <c r="S28" s="60">
        <v>23</v>
      </c>
      <c r="T28" s="60" t="s">
        <v>3146</v>
      </c>
      <c r="U28" s="56"/>
      <c r="V28" s="72" t="s">
        <v>1618</v>
      </c>
      <c r="W28" s="71">
        <v>56632074</v>
      </c>
      <c r="AA28" s="56"/>
      <c r="AB28" s="72" t="s">
        <v>1618</v>
      </c>
      <c r="AC28" s="71">
        <v>3735594</v>
      </c>
      <c r="AG28" s="61">
        <v>0.5</v>
      </c>
      <c r="AH28" s="61">
        <v>0.3</v>
      </c>
      <c r="AI28" s="61">
        <v>0.2</v>
      </c>
      <c r="AJ28" s="60"/>
      <c r="AK28" s="56"/>
      <c r="AL28" s="56"/>
    </row>
    <row r="29" spans="1:38" ht="15.75" customHeight="1" x14ac:dyDescent="0.25">
      <c r="A29" s="73" t="s">
        <v>1551</v>
      </c>
      <c r="B29" s="74">
        <v>653733</v>
      </c>
      <c r="C29" s="57"/>
      <c r="D29" s="58">
        <f t="shared" si="0"/>
        <v>7.5341778209012222E-2</v>
      </c>
      <c r="E29" s="58"/>
      <c r="F29" s="73" t="s">
        <v>1551</v>
      </c>
      <c r="G29" s="74">
        <v>32</v>
      </c>
      <c r="K29" s="56"/>
      <c r="L29" s="73" t="s">
        <v>1551</v>
      </c>
      <c r="M29" s="74">
        <v>23</v>
      </c>
      <c r="Q29" s="61">
        <f t="shared" ref="Q29:T29" si="1">IFERROR(M29/G29,"")</f>
        <v>0.71875</v>
      </c>
      <c r="R29" s="61" t="str">
        <f t="shared" si="1"/>
        <v/>
      </c>
      <c r="S29" s="61" t="str">
        <f t="shared" si="1"/>
        <v/>
      </c>
      <c r="T29" s="61" t="str">
        <f t="shared" si="1"/>
        <v/>
      </c>
      <c r="U29" s="58"/>
      <c r="V29" s="73" t="s">
        <v>1551</v>
      </c>
      <c r="W29" s="74">
        <v>2377582</v>
      </c>
      <c r="AA29" s="56"/>
      <c r="AB29" s="73" t="s">
        <v>1551</v>
      </c>
      <c r="AC29" s="74">
        <v>2252202</v>
      </c>
      <c r="AG29" s="59" t="e">
        <f t="shared" ref="AG29:AG37" si="2">RANK(AF29,AF$29:AF$37)</f>
        <v>#N/A</v>
      </c>
      <c r="AH29" s="59" t="e">
        <f t="shared" ref="AH29:AH37" si="3">RANK(T29,T$29:T$37)</f>
        <v>#VALUE!</v>
      </c>
      <c r="AI29" s="59" t="e">
        <f t="shared" ref="AI29:AI37" si="4">RANK(P29,P$29:P$37)</f>
        <v>#N/A</v>
      </c>
      <c r="AJ29" s="62" t="e">
        <f t="shared" ref="AJ29:AJ37" si="5">SUMPRODUCT(AG29:AI29,$AG$28:$AI$28)</f>
        <v>#N/A</v>
      </c>
      <c r="AK29" s="62" t="e">
        <f>AG29*AG28+AH29*AH28+AI29*AI28</f>
        <v>#N/A</v>
      </c>
      <c r="AL29" s="59"/>
    </row>
    <row r="30" spans="1:38" ht="15.75" customHeight="1" x14ac:dyDescent="0.25">
      <c r="A30" s="73" t="s">
        <v>1224</v>
      </c>
      <c r="B30" s="74">
        <v>750470</v>
      </c>
      <c r="C30" s="57"/>
      <c r="D30" s="58">
        <f t="shared" si="0"/>
        <v>8.6490576875448241E-2</v>
      </c>
      <c r="E30" s="58"/>
      <c r="F30" s="73" t="s">
        <v>1224</v>
      </c>
      <c r="G30" s="74">
        <v>246</v>
      </c>
      <c r="K30" s="56"/>
      <c r="L30" s="73" t="s">
        <v>1224</v>
      </c>
      <c r="M30" s="74">
        <v>14</v>
      </c>
      <c r="Q30" s="61">
        <f t="shared" ref="Q30:T30" si="6">IFERROR(M30/G30,"")</f>
        <v>5.6910569105691054E-2</v>
      </c>
      <c r="R30" s="61" t="str">
        <f t="shared" si="6"/>
        <v/>
      </c>
      <c r="S30" s="61" t="str">
        <f t="shared" si="6"/>
        <v/>
      </c>
      <c r="T30" s="63" t="str">
        <f t="shared" si="6"/>
        <v/>
      </c>
      <c r="U30" s="58"/>
      <c r="V30" s="73" t="s">
        <v>1224</v>
      </c>
      <c r="W30" s="74">
        <v>28071241</v>
      </c>
      <c r="AA30" s="56"/>
      <c r="AB30" s="73" t="s">
        <v>1224</v>
      </c>
      <c r="AC30" s="74">
        <v>1998306</v>
      </c>
      <c r="AG30" s="59" t="e">
        <f t="shared" si="2"/>
        <v>#N/A</v>
      </c>
      <c r="AH30" s="59" t="e">
        <f t="shared" si="3"/>
        <v>#VALUE!</v>
      </c>
      <c r="AI30" s="59" t="e">
        <f t="shared" si="4"/>
        <v>#N/A</v>
      </c>
      <c r="AJ30" s="62" t="e">
        <f t="shared" si="5"/>
        <v>#N/A</v>
      </c>
      <c r="AK30" s="62"/>
      <c r="AL30" s="59"/>
    </row>
    <row r="31" spans="1:38" ht="15.75" customHeight="1" x14ac:dyDescent="0.25">
      <c r="A31" s="73" t="s">
        <v>2265</v>
      </c>
      <c r="B31" s="74">
        <v>678441</v>
      </c>
      <c r="C31" s="57"/>
      <c r="D31" s="58">
        <f t="shared" si="0"/>
        <v>7.818933930197873E-2</v>
      </c>
      <c r="E31" s="58"/>
      <c r="F31" s="73" t="s">
        <v>2265</v>
      </c>
      <c r="G31" s="74">
        <v>73</v>
      </c>
      <c r="K31" s="56"/>
      <c r="L31" s="73" t="s">
        <v>2265</v>
      </c>
      <c r="M31" s="74">
        <v>15</v>
      </c>
      <c r="Q31" s="61">
        <f t="shared" ref="Q31:T31" si="7">IFERROR(M31/G31,"")</f>
        <v>0.20547945205479451</v>
      </c>
      <c r="R31" s="61" t="str">
        <f t="shared" si="7"/>
        <v/>
      </c>
      <c r="S31" s="61" t="str">
        <f t="shared" si="7"/>
        <v/>
      </c>
      <c r="T31" s="61" t="str">
        <f t="shared" si="7"/>
        <v/>
      </c>
      <c r="U31" s="58"/>
      <c r="V31" s="73" t="s">
        <v>2265</v>
      </c>
      <c r="W31" s="74">
        <v>9009088</v>
      </c>
      <c r="AA31" s="56"/>
      <c r="AB31" s="73" t="s">
        <v>2265</v>
      </c>
      <c r="AC31" s="74">
        <v>2375176</v>
      </c>
      <c r="AG31" s="59" t="e">
        <f t="shared" si="2"/>
        <v>#N/A</v>
      </c>
      <c r="AH31" s="59" t="e">
        <f t="shared" si="3"/>
        <v>#VALUE!</v>
      </c>
      <c r="AI31" s="59" t="e">
        <f t="shared" si="4"/>
        <v>#N/A</v>
      </c>
      <c r="AJ31" s="62" t="e">
        <f t="shared" si="5"/>
        <v>#N/A</v>
      </c>
      <c r="AK31" s="62"/>
      <c r="AL31" s="59"/>
    </row>
    <row r="32" spans="1:38" ht="15.75" customHeight="1" x14ac:dyDescent="0.25">
      <c r="A32" s="73" t="s">
        <v>1051</v>
      </c>
      <c r="B32" s="74">
        <v>2253431</v>
      </c>
      <c r="C32" s="57"/>
      <c r="D32" s="58">
        <f t="shared" si="0"/>
        <v>0.25970464793931564</v>
      </c>
      <c r="E32" s="58"/>
      <c r="F32" s="73" t="s">
        <v>1051</v>
      </c>
      <c r="G32" s="74">
        <v>75</v>
      </c>
      <c r="K32" s="56"/>
      <c r="L32" s="73" t="s">
        <v>1051</v>
      </c>
      <c r="M32" s="74">
        <v>62</v>
      </c>
      <c r="Q32" s="61">
        <f t="shared" ref="Q32:T32" si="8">IFERROR(M32/G32,"")</f>
        <v>0.82666666666666666</v>
      </c>
      <c r="R32" s="61" t="str">
        <f t="shared" si="8"/>
        <v/>
      </c>
      <c r="S32" s="61" t="str">
        <f t="shared" si="8"/>
        <v/>
      </c>
      <c r="T32" s="63" t="str">
        <f t="shared" si="8"/>
        <v/>
      </c>
      <c r="U32" s="58"/>
      <c r="V32" s="73" t="s">
        <v>1051</v>
      </c>
      <c r="W32" s="74">
        <v>7388949</v>
      </c>
      <c r="AA32" s="56"/>
      <c r="AB32" s="73" t="s">
        <v>1051</v>
      </c>
      <c r="AC32" s="74">
        <v>6931193</v>
      </c>
      <c r="AG32" s="59" t="e">
        <f t="shared" si="2"/>
        <v>#N/A</v>
      </c>
      <c r="AH32" s="59" t="e">
        <f t="shared" si="3"/>
        <v>#VALUE!</v>
      </c>
      <c r="AI32" s="59" t="e">
        <f t="shared" si="4"/>
        <v>#N/A</v>
      </c>
      <c r="AJ32" s="62" t="e">
        <f t="shared" si="5"/>
        <v>#N/A</v>
      </c>
      <c r="AK32" s="62"/>
      <c r="AL32" s="59"/>
    </row>
    <row r="33" spans="1:38" ht="15.75" customHeight="1" x14ac:dyDescent="0.25">
      <c r="A33" s="73" t="s">
        <v>2408</v>
      </c>
      <c r="B33" s="74">
        <v>1081226</v>
      </c>
      <c r="C33" s="56"/>
      <c r="D33" s="58">
        <f t="shared" si="0"/>
        <v>0.12460972520251763</v>
      </c>
      <c r="E33" s="58"/>
      <c r="F33" s="73" t="s">
        <v>2408</v>
      </c>
      <c r="G33" s="74">
        <v>417</v>
      </c>
      <c r="K33" s="56"/>
      <c r="L33" s="73" t="s">
        <v>2408</v>
      </c>
      <c r="M33" s="74">
        <v>31</v>
      </c>
      <c r="Q33" s="61">
        <f t="shared" ref="Q33:T33" si="9">IFERROR(M33/G33,"")</f>
        <v>7.4340527577937646E-2</v>
      </c>
      <c r="R33" s="61" t="str">
        <f t="shared" si="9"/>
        <v/>
      </c>
      <c r="S33" s="61" t="str">
        <f t="shared" si="9"/>
        <v/>
      </c>
      <c r="T33" s="61" t="str">
        <f t="shared" si="9"/>
        <v/>
      </c>
      <c r="U33" s="58"/>
      <c r="V33" s="73" t="s">
        <v>2408</v>
      </c>
      <c r="W33" s="74">
        <v>46006703</v>
      </c>
      <c r="AA33" s="64"/>
      <c r="AB33" s="73" t="s">
        <v>2408</v>
      </c>
      <c r="AC33" s="74">
        <v>3225855</v>
      </c>
      <c r="AG33" s="59" t="e">
        <f t="shared" si="2"/>
        <v>#N/A</v>
      </c>
      <c r="AH33" s="59" t="e">
        <f t="shared" si="3"/>
        <v>#VALUE!</v>
      </c>
      <c r="AI33" s="59" t="e">
        <f t="shared" si="4"/>
        <v>#N/A</v>
      </c>
      <c r="AJ33" s="62" t="e">
        <f t="shared" si="5"/>
        <v>#N/A</v>
      </c>
      <c r="AK33" s="62"/>
      <c r="AL33" s="59"/>
    </row>
    <row r="34" spans="1:38" ht="15.75" customHeight="1" x14ac:dyDescent="0.25">
      <c r="A34" s="73" t="s">
        <v>2395</v>
      </c>
      <c r="B34" s="74">
        <v>189158</v>
      </c>
      <c r="C34" s="56"/>
      <c r="D34" s="58">
        <f t="shared" si="0"/>
        <v>2.1800184605122175E-2</v>
      </c>
      <c r="E34" s="58"/>
      <c r="F34" s="73" t="s">
        <v>2395</v>
      </c>
      <c r="G34" s="74">
        <v>7</v>
      </c>
      <c r="K34" s="56"/>
      <c r="L34" s="73" t="s">
        <v>2395</v>
      </c>
      <c r="M34" s="74">
        <v>6</v>
      </c>
      <c r="Q34" s="61">
        <f t="shared" ref="Q34:T34" si="10">IFERROR(M34/G34,"")</f>
        <v>0.8571428571428571</v>
      </c>
      <c r="R34" s="61" t="str">
        <f t="shared" si="10"/>
        <v/>
      </c>
      <c r="S34" s="61" t="str">
        <f t="shared" si="10"/>
        <v/>
      </c>
      <c r="T34" s="61" t="str">
        <f t="shared" si="10"/>
        <v/>
      </c>
      <c r="U34" s="58"/>
      <c r="V34" s="73" t="s">
        <v>2395</v>
      </c>
      <c r="W34" s="74">
        <v>709183</v>
      </c>
      <c r="AA34" s="56"/>
      <c r="AB34" s="73" t="s">
        <v>2395</v>
      </c>
      <c r="AC34" s="74">
        <v>649184</v>
      </c>
      <c r="AG34" s="59" t="e">
        <f t="shared" si="2"/>
        <v>#N/A</v>
      </c>
      <c r="AH34" s="59" t="e">
        <f t="shared" si="3"/>
        <v>#VALUE!</v>
      </c>
      <c r="AI34" s="59" t="e">
        <f t="shared" si="4"/>
        <v>#N/A</v>
      </c>
      <c r="AJ34" s="62" t="e">
        <f t="shared" si="5"/>
        <v>#N/A</v>
      </c>
      <c r="AK34" s="62"/>
      <c r="AL34" s="59"/>
    </row>
    <row r="35" spans="1:38" ht="15.75" customHeight="1" x14ac:dyDescent="0.25">
      <c r="A35" s="73" t="s">
        <v>2244</v>
      </c>
      <c r="B35" s="74">
        <v>201399</v>
      </c>
      <c r="C35" s="56"/>
      <c r="D35" s="58">
        <f t="shared" si="0"/>
        <v>2.3210942065823286E-2</v>
      </c>
      <c r="E35" s="58"/>
      <c r="F35" s="73" t="s">
        <v>2244</v>
      </c>
      <c r="G35" s="74">
        <v>6</v>
      </c>
      <c r="K35" s="56"/>
      <c r="L35" s="73" t="s">
        <v>2244</v>
      </c>
      <c r="M35" s="74">
        <v>6</v>
      </c>
      <c r="Q35" s="61">
        <f t="shared" ref="Q35:T35" si="11">IFERROR(M35/G35,"")</f>
        <v>1</v>
      </c>
      <c r="R35" s="61" t="str">
        <f t="shared" si="11"/>
        <v/>
      </c>
      <c r="S35" s="61" t="str">
        <f t="shared" si="11"/>
        <v/>
      </c>
      <c r="T35" s="63" t="str">
        <f t="shared" si="11"/>
        <v/>
      </c>
      <c r="U35" s="58"/>
      <c r="V35" s="73" t="s">
        <v>2244</v>
      </c>
      <c r="W35" s="74">
        <v>586979</v>
      </c>
      <c r="AA35" s="56"/>
      <c r="AB35" s="73" t="s">
        <v>2244</v>
      </c>
      <c r="AC35" s="74">
        <v>586979</v>
      </c>
      <c r="AG35" s="59" t="e">
        <f t="shared" si="2"/>
        <v>#N/A</v>
      </c>
      <c r="AH35" s="59" t="e">
        <f t="shared" si="3"/>
        <v>#VALUE!</v>
      </c>
      <c r="AI35" s="59" t="e">
        <f t="shared" si="4"/>
        <v>#N/A</v>
      </c>
      <c r="AJ35" s="62" t="e">
        <f t="shared" si="5"/>
        <v>#N/A</v>
      </c>
      <c r="AK35" s="62"/>
      <c r="AL35" s="59"/>
    </row>
    <row r="36" spans="1:38" ht="15.75" customHeight="1" x14ac:dyDescent="0.25">
      <c r="A36" s="73" t="s">
        <v>13</v>
      </c>
      <c r="B36" s="74">
        <v>1441132</v>
      </c>
      <c r="C36" s="56"/>
      <c r="D36" s="58">
        <f t="shared" si="0"/>
        <v>0.1660883686671932</v>
      </c>
      <c r="E36" s="58"/>
      <c r="F36" s="73" t="s">
        <v>13</v>
      </c>
      <c r="G36" s="74">
        <v>722</v>
      </c>
      <c r="K36" s="56"/>
      <c r="L36" s="73" t="s">
        <v>13</v>
      </c>
      <c r="M36" s="74">
        <v>43</v>
      </c>
      <c r="Q36" s="61">
        <f t="shared" ref="Q36:T36" si="12">IFERROR(M36/G36,"")</f>
        <v>5.9556786703601108E-2</v>
      </c>
      <c r="R36" s="61" t="str">
        <f t="shared" si="12"/>
        <v/>
      </c>
      <c r="S36" s="61" t="str">
        <f t="shared" si="12"/>
        <v/>
      </c>
      <c r="T36" s="63" t="str">
        <f t="shared" si="12"/>
        <v/>
      </c>
      <c r="U36" s="58"/>
      <c r="V36" s="73" t="s">
        <v>13</v>
      </c>
      <c r="W36" s="74">
        <v>112361947</v>
      </c>
      <c r="AA36" s="56"/>
      <c r="AB36" s="73" t="s">
        <v>13</v>
      </c>
      <c r="AC36" s="74">
        <v>4846499</v>
      </c>
      <c r="AG36" s="59" t="e">
        <f t="shared" si="2"/>
        <v>#N/A</v>
      </c>
      <c r="AH36" s="59" t="e">
        <f t="shared" si="3"/>
        <v>#VALUE!</v>
      </c>
      <c r="AI36" s="59" t="e">
        <f t="shared" si="4"/>
        <v>#N/A</v>
      </c>
      <c r="AJ36" s="62" t="e">
        <f t="shared" si="5"/>
        <v>#N/A</v>
      </c>
      <c r="AK36" s="62"/>
      <c r="AL36" s="59"/>
    </row>
    <row r="37" spans="1:38" ht="15.75" customHeight="1" x14ac:dyDescent="0.25">
      <c r="A37" s="75" t="s">
        <v>3146</v>
      </c>
      <c r="B37" s="76">
        <v>8676899</v>
      </c>
      <c r="C37" s="56"/>
      <c r="D37" s="58"/>
      <c r="E37" s="58"/>
      <c r="F37" s="75" t="s">
        <v>3146</v>
      </c>
      <c r="G37" s="76">
        <v>1986</v>
      </c>
      <c r="K37" s="56"/>
      <c r="L37" s="75" t="s">
        <v>3146</v>
      </c>
      <c r="M37" s="76">
        <v>225</v>
      </c>
      <c r="Q37" s="61">
        <f t="shared" ref="Q37:T37" si="13">IFERROR(M37/G37,"")</f>
        <v>0.11329305135951662</v>
      </c>
      <c r="R37" s="61" t="str">
        <f t="shared" si="13"/>
        <v/>
      </c>
      <c r="S37" s="61" t="str">
        <f t="shared" si="13"/>
        <v/>
      </c>
      <c r="T37" s="61" t="str">
        <f t="shared" si="13"/>
        <v/>
      </c>
      <c r="U37" s="58"/>
      <c r="V37" s="75" t="s">
        <v>3146</v>
      </c>
      <c r="W37" s="76">
        <v>263143746</v>
      </c>
      <c r="AA37" s="56"/>
      <c r="AB37" s="75" t="s">
        <v>3146</v>
      </c>
      <c r="AC37" s="76">
        <v>26600988</v>
      </c>
      <c r="AG37" s="59" t="e">
        <f t="shared" si="2"/>
        <v>#N/A</v>
      </c>
      <c r="AH37" s="59" t="e">
        <f t="shared" si="3"/>
        <v>#VALUE!</v>
      </c>
      <c r="AI37" s="59" t="e">
        <f t="shared" si="4"/>
        <v>#N/A</v>
      </c>
      <c r="AJ37" s="62" t="e">
        <f t="shared" si="5"/>
        <v>#N/A</v>
      </c>
      <c r="AK37" s="62"/>
      <c r="AL37" s="59"/>
    </row>
    <row r="38" spans="1:38" ht="15.75" customHeight="1" x14ac:dyDescent="0.25">
      <c r="A38" s="56"/>
      <c r="B38" s="56"/>
      <c r="C38" s="56"/>
      <c r="D38" s="56"/>
      <c r="E38" s="56"/>
      <c r="K38" s="56"/>
      <c r="Q38" s="61" t="str">
        <f t="shared" ref="Q38:T38" si="14">IFERROR(M38/G38,"")</f>
        <v/>
      </c>
      <c r="R38" s="61" t="str">
        <f t="shared" si="14"/>
        <v/>
      </c>
      <c r="S38" s="61" t="str">
        <f t="shared" si="14"/>
        <v/>
      </c>
      <c r="T38" s="61" t="str">
        <f t="shared" si="14"/>
        <v/>
      </c>
      <c r="U38" s="58"/>
      <c r="AA38" s="56"/>
      <c r="AG38" s="56"/>
      <c r="AH38" s="56"/>
      <c r="AI38" s="59"/>
      <c r="AJ38" s="59"/>
      <c r="AK38" s="59" t="e">
        <f t="shared" ref="AK38:AK39" si="15">AG38*AG37+AH38*AH37+AI38*AI37</f>
        <v>#N/A</v>
      </c>
      <c r="AL38" s="59"/>
    </row>
    <row r="39" spans="1:38" ht="15.75" customHeight="1" x14ac:dyDescent="0.2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9">
        <v>21</v>
      </c>
      <c r="X39" s="56">
        <v>22</v>
      </c>
      <c r="Y39" s="56">
        <v>23</v>
      </c>
      <c r="Z39" s="56" t="s">
        <v>3146</v>
      </c>
      <c r="AA39" s="56"/>
      <c r="AB39" s="56"/>
      <c r="AC39" s="58" t="e">
        <f t="shared" ref="AC39:AF39" si="16">AC38/W38</f>
        <v>#DIV/0!</v>
      </c>
      <c r="AD39" s="58" t="e">
        <f t="shared" si="16"/>
        <v>#DIV/0!</v>
      </c>
      <c r="AE39" s="58" t="e">
        <f t="shared" si="16"/>
        <v>#DIV/0!</v>
      </c>
      <c r="AF39" s="58" t="e">
        <f t="shared" si="16"/>
        <v>#DIV/0!</v>
      </c>
      <c r="AG39" s="58"/>
      <c r="AH39" s="58"/>
      <c r="AI39" s="59"/>
      <c r="AJ39" s="59"/>
      <c r="AK39" s="59">
        <f t="shared" si="15"/>
        <v>0</v>
      </c>
      <c r="AL39" s="59"/>
    </row>
    <row r="40" spans="1:38" ht="15.75" customHeight="1" x14ac:dyDescent="0.25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111" t="s">
        <v>3158</v>
      </c>
      <c r="X40" s="95"/>
      <c r="Y40" s="95"/>
      <c r="Z40" s="95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</row>
    <row r="41" spans="1:38" ht="15.75" customHeight="1" x14ac:dyDescent="0.2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 t="s">
        <v>1618</v>
      </c>
      <c r="W41" s="65">
        <f t="shared" ref="W41:Z41" si="17">IFERROR(AC29/W29,"")</f>
        <v>0.94726575150720349</v>
      </c>
      <c r="X41" s="65" t="str">
        <f t="shared" si="17"/>
        <v/>
      </c>
      <c r="Y41" s="65" t="str">
        <f t="shared" si="17"/>
        <v/>
      </c>
      <c r="Z41" s="65" t="str">
        <f t="shared" si="17"/>
        <v/>
      </c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</row>
    <row r="42" spans="1:38" ht="15.75" customHeight="1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 t="s">
        <v>1551</v>
      </c>
      <c r="W42" s="65">
        <f t="shared" ref="W42:Z42" si="18">IFERROR(AC30/W30,"")</f>
        <v>7.1186948948926049E-2</v>
      </c>
      <c r="X42" s="65" t="str">
        <f t="shared" si="18"/>
        <v/>
      </c>
      <c r="Y42" s="65" t="str">
        <f t="shared" si="18"/>
        <v/>
      </c>
      <c r="Z42" s="65" t="str">
        <f t="shared" si="18"/>
        <v/>
      </c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</row>
    <row r="43" spans="1:38" ht="15.75" customHeight="1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 t="s">
        <v>1224</v>
      </c>
      <c r="W43" s="65">
        <f t="shared" ref="W43:Z43" si="19">IFERROR(AC31/W31,"")</f>
        <v>0.26364222438497659</v>
      </c>
      <c r="X43" s="65" t="str">
        <f t="shared" si="19"/>
        <v/>
      </c>
      <c r="Y43" s="65" t="str">
        <f t="shared" si="19"/>
        <v/>
      </c>
      <c r="Z43" s="65" t="str">
        <f t="shared" si="19"/>
        <v/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</row>
    <row r="44" spans="1:38" ht="15.75" customHeight="1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 t="s">
        <v>2265</v>
      </c>
      <c r="W44" s="65">
        <f t="shared" ref="W44:Z44" si="20">IFERROR(AC32/W32,"")</f>
        <v>0.93804856414626758</v>
      </c>
      <c r="X44" s="65" t="str">
        <f t="shared" si="20"/>
        <v/>
      </c>
      <c r="Y44" s="65" t="str">
        <f t="shared" si="20"/>
        <v/>
      </c>
      <c r="Z44" s="65" t="str">
        <f t="shared" si="20"/>
        <v/>
      </c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 spans="1:38" ht="15.75" customHeight="1" x14ac:dyDescent="0.2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 t="s">
        <v>1051</v>
      </c>
      <c r="W45" s="65">
        <f t="shared" ref="W45:Z45" si="21">IFERROR(AC33/W33,"")</f>
        <v>7.0117065332849435E-2</v>
      </c>
      <c r="X45" s="65" t="str">
        <f t="shared" si="21"/>
        <v/>
      </c>
      <c r="Y45" s="65" t="str">
        <f t="shared" si="21"/>
        <v/>
      </c>
      <c r="Z45" s="65" t="str">
        <f t="shared" si="21"/>
        <v/>
      </c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</row>
    <row r="46" spans="1:38" ht="15.75" customHeight="1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 t="s">
        <v>2408</v>
      </c>
      <c r="W46" s="65">
        <f t="shared" ref="W46:Z46" si="22">IFERROR(AC34/W34,"")</f>
        <v>0.91539701318277511</v>
      </c>
      <c r="X46" s="65" t="str">
        <f t="shared" si="22"/>
        <v/>
      </c>
      <c r="Y46" s="65" t="str">
        <f t="shared" si="22"/>
        <v/>
      </c>
      <c r="Z46" s="65" t="str">
        <f t="shared" si="22"/>
        <v/>
      </c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</row>
    <row r="47" spans="1:38" ht="15.75" customHeight="1" x14ac:dyDescent="0.2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 t="s">
        <v>2395</v>
      </c>
      <c r="W47" s="65">
        <f t="shared" ref="W47:Z47" si="23">IFERROR(AC35/W35,"")</f>
        <v>1</v>
      </c>
      <c r="X47" s="65" t="str">
        <f t="shared" si="23"/>
        <v/>
      </c>
      <c r="Y47" s="65" t="str">
        <f t="shared" si="23"/>
        <v/>
      </c>
      <c r="Z47" s="65" t="str">
        <f t="shared" si="23"/>
        <v/>
      </c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</row>
    <row r="48" spans="1:38" ht="15.75" customHeight="1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 t="s">
        <v>2244</v>
      </c>
      <c r="W48" s="65">
        <f t="shared" ref="W48:Z48" si="24">IFERROR(AC36/W36,"")</f>
        <v>4.3132921148117877E-2</v>
      </c>
      <c r="X48" s="65" t="str">
        <f t="shared" si="24"/>
        <v/>
      </c>
      <c r="Y48" s="65" t="str">
        <f t="shared" si="24"/>
        <v/>
      </c>
      <c r="Z48" s="65" t="str">
        <f t="shared" si="24"/>
        <v/>
      </c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</row>
    <row r="49" spans="1:38" ht="15.75" customHeight="1" x14ac:dyDescent="0.2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 t="s">
        <v>13</v>
      </c>
      <c r="W49" s="65">
        <f t="shared" ref="W49:Z49" si="25">IFERROR(AC37/W37,"")</f>
        <v>0.10108918948049025</v>
      </c>
      <c r="X49" s="65" t="str">
        <f t="shared" si="25"/>
        <v/>
      </c>
      <c r="Y49" s="65" t="str">
        <f t="shared" si="25"/>
        <v/>
      </c>
      <c r="Z49" s="65" t="str">
        <f t="shared" si="25"/>
        <v/>
      </c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</row>
    <row r="50" spans="1:38" ht="15.75" customHeight="1" x14ac:dyDescent="0.2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</row>
    <row r="51" spans="1:38" ht="15.75" customHeight="1" x14ac:dyDescent="0.25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</row>
    <row r="52" spans="1:38" ht="15.75" customHeight="1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</row>
    <row r="53" spans="1:38" ht="15.75" customHeight="1" x14ac:dyDescent="0.2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</row>
    <row r="54" spans="1:38" ht="15.75" customHeight="1" x14ac:dyDescent="0.2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</row>
    <row r="55" spans="1:38" ht="15.75" customHeight="1" x14ac:dyDescent="0.2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</row>
    <row r="56" spans="1:38" ht="15.75" customHeight="1" x14ac:dyDescent="0.2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</row>
    <row r="57" spans="1:38" ht="15.75" customHeight="1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</row>
    <row r="58" spans="1:38" ht="15.75" customHeight="1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</row>
    <row r="59" spans="1:38" ht="15.75" customHeight="1" x14ac:dyDescent="0.2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</row>
    <row r="60" spans="1:38" ht="15.75" customHeight="1" x14ac:dyDescent="0.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</row>
    <row r="61" spans="1:38" ht="15.75" customHeight="1" x14ac:dyDescent="0.2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</row>
    <row r="62" spans="1:38" ht="15.75" customHeight="1" x14ac:dyDescent="0.2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</row>
    <row r="63" spans="1:38" ht="15.75" customHeight="1" x14ac:dyDescent="0.2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</row>
    <row r="64" spans="1:38" ht="15.75" customHeight="1" x14ac:dyDescent="0.2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</row>
    <row r="65" spans="1:38" ht="15.75" customHeight="1" x14ac:dyDescent="0.2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</row>
    <row r="66" spans="1:38" ht="15.75" customHeight="1" x14ac:dyDescent="0.2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</row>
    <row r="67" spans="1:38" ht="15.75" customHeight="1" x14ac:dyDescent="0.2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</row>
    <row r="68" spans="1:38" ht="15.75" customHeight="1" x14ac:dyDescent="0.2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</row>
    <row r="69" spans="1:38" ht="15.75" customHeight="1" x14ac:dyDescent="0.2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</row>
    <row r="70" spans="1:38" ht="15.75" customHeight="1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</row>
    <row r="71" spans="1:38" ht="15.75" customHeight="1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spans="1:38" ht="15.75" customHeight="1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spans="1:38" ht="15.75" customHeight="1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spans="1:38" ht="15.75" customHeight="1" x14ac:dyDescent="0.2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spans="1:38" ht="15.75" customHeight="1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spans="1:38" ht="15.75" customHeight="1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spans="1:38" ht="15.75" customHeight="1" x14ac:dyDescent="0.2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spans="1:38" ht="15.75" customHeight="1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spans="1:38" ht="15.75" customHeight="1" x14ac:dyDescent="0.2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spans="1:38" ht="15.75" customHeight="1" x14ac:dyDescent="0.2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spans="1:38" ht="15.75" customHeight="1" x14ac:dyDescent="0.2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spans="1:38" ht="15.75" customHeight="1" x14ac:dyDescent="0.2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spans="1:38" ht="15.75" customHeight="1" x14ac:dyDescent="0.2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spans="1:38" ht="15.75" customHeight="1" x14ac:dyDescent="0.2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spans="1:38" ht="15.75" customHeight="1" x14ac:dyDescent="0.2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spans="1:38" ht="15.75" customHeight="1" x14ac:dyDescent="0.25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spans="1:38" ht="15.75" customHeight="1" x14ac:dyDescent="0.25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spans="1:38" ht="15.75" customHeight="1" x14ac:dyDescent="0.25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spans="1:38" ht="15.75" customHeight="1" x14ac:dyDescent="0.25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spans="1:38" ht="15.75" customHeight="1" x14ac:dyDescent="0.25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spans="1:38" ht="15.75" customHeight="1" x14ac:dyDescent="0.2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spans="1:38" ht="15.75" customHeight="1" x14ac:dyDescent="0.2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spans="1:38" ht="15.75" customHeight="1" x14ac:dyDescent="0.2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spans="1:38" ht="15.75" customHeight="1" x14ac:dyDescent="0.2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spans="1:38" ht="15.75" customHeight="1" x14ac:dyDescent="0.2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spans="1:38" ht="15.75" customHeight="1" x14ac:dyDescent="0.2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spans="1:38" ht="15.75" customHeight="1" x14ac:dyDescent="0.2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spans="1:38" ht="15.75" customHeight="1" x14ac:dyDescent="0.2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spans="1:38" ht="15.75" customHeight="1" x14ac:dyDescent="0.2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spans="1:38" ht="15.75" customHeight="1" x14ac:dyDescent="0.2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spans="1:38" ht="15.75" customHeight="1" x14ac:dyDescent="0.2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spans="1:38" ht="15.75" customHeight="1" x14ac:dyDescent="0.2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spans="1:38" ht="15.75" customHeight="1" x14ac:dyDescent="0.2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spans="1:38" ht="15.75" customHeight="1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spans="1:38" ht="15.75" customHeight="1" x14ac:dyDescent="0.2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spans="1:38" ht="15.75" customHeight="1" x14ac:dyDescent="0.2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spans="1:38" ht="15.75" customHeight="1" x14ac:dyDescent="0.2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spans="1:38" ht="15.75" customHeight="1" x14ac:dyDescent="0.2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spans="1:38" ht="15.75" customHeight="1" x14ac:dyDescent="0.2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spans="1:38" ht="15.75" customHeight="1" x14ac:dyDescent="0.2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spans="1:38" ht="15.75" customHeight="1" x14ac:dyDescent="0.2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spans="1:38" ht="15.75" customHeight="1" x14ac:dyDescent="0.2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spans="1:38" ht="15.75" customHeight="1" x14ac:dyDescent="0.2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spans="1:38" ht="15.75" customHeight="1" x14ac:dyDescent="0.2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spans="1:38" ht="15.75" customHeight="1" x14ac:dyDescent="0.2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spans="1:38" ht="15.75" customHeight="1" x14ac:dyDescent="0.2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spans="1:38" ht="15.75" customHeight="1" x14ac:dyDescent="0.2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spans="1:38" ht="15.75" customHeight="1" x14ac:dyDescent="0.2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spans="1:38" ht="15.75" customHeight="1" x14ac:dyDescent="0.2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spans="1:38" ht="15.75" customHeight="1" x14ac:dyDescent="0.2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spans="1:38" ht="15.75" customHeight="1" x14ac:dyDescent="0.2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spans="1:38" ht="15.75" customHeight="1" x14ac:dyDescent="0.2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spans="1:38" ht="15.75" customHeight="1" x14ac:dyDescent="0.2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spans="1:38" ht="15.75" customHeight="1" x14ac:dyDescent="0.2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spans="1:38" ht="15.75" customHeight="1" x14ac:dyDescent="0.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spans="1:38" ht="15.75" customHeight="1" x14ac:dyDescent="0.2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spans="1:38" ht="15.75" customHeight="1" x14ac:dyDescent="0.2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spans="1:38" ht="15.75" customHeight="1" x14ac:dyDescent="0.2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spans="1:38" ht="15.75" customHeight="1" x14ac:dyDescent="0.2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spans="1:38" ht="15.75" customHeight="1" x14ac:dyDescent="0.2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spans="1:38" ht="15.75" customHeight="1" x14ac:dyDescent="0.2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spans="1:38" ht="15.75" customHeight="1" x14ac:dyDescent="0.2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spans="1:38" ht="15.75" customHeight="1" x14ac:dyDescent="0.2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spans="1:38" ht="15.75" customHeight="1" x14ac:dyDescent="0.2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spans="1:38" ht="15.75" customHeight="1" x14ac:dyDescent="0.2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spans="1:38" ht="15.75" customHeight="1" x14ac:dyDescent="0.2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spans="1:38" ht="15.75" customHeight="1" x14ac:dyDescent="0.2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spans="1:38" ht="15.75" customHeight="1" x14ac:dyDescent="0.2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spans="1:38" ht="15.75" customHeight="1" x14ac:dyDescent="0.2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spans="1:38" ht="15.75" customHeight="1" x14ac:dyDescent="0.2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spans="1:38" ht="15.75" customHeight="1" x14ac:dyDescent="0.2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spans="1:38" ht="15.75" customHeight="1" x14ac:dyDescent="0.2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spans="1:38" ht="15.75" customHeight="1" x14ac:dyDescent="0.2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spans="1:38" ht="15.75" customHeight="1" x14ac:dyDescent="0.2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spans="1:38" ht="15.75" customHeight="1" x14ac:dyDescent="0.2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spans="1:38" ht="15.75" customHeight="1" x14ac:dyDescent="0.2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spans="1:38" ht="15.75" customHeight="1" x14ac:dyDescent="0.2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spans="1:38" ht="15.75" customHeight="1" x14ac:dyDescent="0.2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spans="1:38" ht="15.75" customHeight="1" x14ac:dyDescent="0.2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spans="1:38" ht="15.75" customHeight="1" x14ac:dyDescent="0.2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spans="1:38" ht="15.75" customHeight="1" x14ac:dyDescent="0.2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spans="1:38" ht="15.75" customHeight="1" x14ac:dyDescent="0.2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spans="1:38" ht="15.75" customHeight="1" x14ac:dyDescent="0.2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spans="1:38" ht="15.75" customHeight="1" x14ac:dyDescent="0.2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spans="1:38" ht="15.75" customHeight="1" x14ac:dyDescent="0.2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spans="1:38" ht="15.75" customHeight="1" x14ac:dyDescent="0.2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spans="1:38" ht="15.75" customHeight="1" x14ac:dyDescent="0.2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spans="1:38" ht="15.75" customHeight="1" x14ac:dyDescent="0.2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spans="1:38" ht="15.75" customHeight="1" x14ac:dyDescent="0.2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spans="1:38" ht="15.75" customHeight="1" x14ac:dyDescent="0.2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spans="1:38" ht="15.75" customHeight="1" x14ac:dyDescent="0.2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spans="1:38" ht="15.75" customHeight="1" x14ac:dyDescent="0.2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spans="1:38" ht="15.75" customHeight="1" x14ac:dyDescent="0.2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spans="1:38" ht="15.75" customHeight="1" x14ac:dyDescent="0.2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spans="1:38" ht="15.75" customHeight="1" x14ac:dyDescent="0.2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spans="1:38" ht="15.75" customHeight="1" x14ac:dyDescent="0.2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spans="1:38" ht="15.75" customHeight="1" x14ac:dyDescent="0.2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spans="1:38" ht="15.75" customHeight="1" x14ac:dyDescent="0.2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spans="1:38" ht="15.75" customHeight="1" x14ac:dyDescent="0.2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spans="1:38" ht="15.75" customHeight="1" x14ac:dyDescent="0.2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spans="1:38" ht="15.75" customHeight="1" x14ac:dyDescent="0.2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spans="1:38" ht="15.75" customHeight="1" x14ac:dyDescent="0.2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spans="1:38" ht="15.75" customHeight="1" x14ac:dyDescent="0.2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spans="1:38" ht="15.75" customHeight="1" x14ac:dyDescent="0.2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spans="1:38" ht="15.75" customHeight="1" x14ac:dyDescent="0.2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spans="1:38" ht="15.75" customHeight="1" x14ac:dyDescent="0.2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spans="1:38" ht="15.75" customHeight="1" x14ac:dyDescent="0.2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spans="1:38" ht="15.75" customHeight="1" x14ac:dyDescent="0.2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spans="1:38" ht="15.75" customHeight="1" x14ac:dyDescent="0.2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spans="1:38" ht="15.75" customHeight="1" x14ac:dyDescent="0.2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spans="1:38" ht="15.75" customHeight="1" x14ac:dyDescent="0.2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spans="1:38" ht="15.75" customHeight="1" x14ac:dyDescent="0.2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spans="1:38" ht="15.75" customHeight="1" x14ac:dyDescent="0.2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spans="1:38" ht="15.75" customHeight="1" x14ac:dyDescent="0.2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spans="1:38" ht="15.75" customHeight="1" x14ac:dyDescent="0.2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spans="1:38" ht="15.75" customHeight="1" x14ac:dyDescent="0.2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spans="1:38" ht="15.75" customHeight="1" x14ac:dyDescent="0.2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spans="1:38" ht="15.75" customHeight="1" x14ac:dyDescent="0.2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spans="1:38" ht="15.75" customHeight="1" x14ac:dyDescent="0.2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spans="1:38" ht="15.75" customHeight="1" x14ac:dyDescent="0.2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spans="1:38" ht="15.75" customHeight="1" x14ac:dyDescent="0.2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spans="1:38" ht="15.75" customHeight="1" x14ac:dyDescent="0.2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spans="1:38" ht="15.75" customHeight="1" x14ac:dyDescent="0.25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spans="1:38" ht="15.75" customHeight="1" x14ac:dyDescent="0.25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spans="1:38" ht="15.75" customHeight="1" x14ac:dyDescent="0.2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spans="1:38" ht="15.75" customHeight="1" x14ac:dyDescent="0.25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spans="1:38" ht="15.75" customHeight="1" x14ac:dyDescent="0.25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spans="1:38" ht="15.75" customHeight="1" x14ac:dyDescent="0.2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spans="1:38" ht="15.75" customHeight="1" x14ac:dyDescent="0.25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spans="1:38" ht="15.75" customHeight="1" x14ac:dyDescent="0.25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spans="1:38" ht="15.75" customHeight="1" x14ac:dyDescent="0.25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spans="1:38" ht="15.75" customHeight="1" x14ac:dyDescent="0.25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spans="1:38" ht="15.75" customHeight="1" x14ac:dyDescent="0.25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spans="1:38" ht="15.75" customHeight="1" x14ac:dyDescent="0.25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spans="1:38" ht="15.75" customHeight="1" x14ac:dyDescent="0.2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spans="1:38" ht="15.75" customHeight="1" x14ac:dyDescent="0.25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spans="1:38" ht="15.75" customHeight="1" x14ac:dyDescent="0.25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spans="1:38" ht="15.75" customHeight="1" x14ac:dyDescent="0.25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spans="1:38" ht="15.75" customHeight="1" x14ac:dyDescent="0.25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spans="1:38" ht="15.75" customHeight="1" x14ac:dyDescent="0.2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spans="1:38" ht="15.75" customHeight="1" x14ac:dyDescent="0.2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spans="1:38" ht="15.75" customHeight="1" x14ac:dyDescent="0.25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spans="1:38" ht="15.75" customHeight="1" x14ac:dyDescent="0.25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spans="1:38" ht="15.75" customHeight="1" x14ac:dyDescent="0.25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spans="1:38" ht="15.75" customHeight="1" x14ac:dyDescent="0.2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spans="1:38" ht="15.75" customHeight="1" x14ac:dyDescent="0.25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spans="1:38" ht="15.75" customHeight="1" x14ac:dyDescent="0.2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spans="1:38" ht="15.75" customHeight="1" x14ac:dyDescent="0.25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spans="1:38" ht="15.75" customHeight="1" x14ac:dyDescent="0.25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spans="1:38" ht="15.75" customHeight="1" x14ac:dyDescent="0.25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spans="1:38" ht="15.75" customHeight="1" x14ac:dyDescent="0.25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spans="1:38" ht="15.75" customHeight="1" x14ac:dyDescent="0.25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spans="1:38" ht="15.75" customHeight="1" x14ac:dyDescent="0.25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spans="1:38" ht="15.75" customHeight="1" x14ac:dyDescent="0.25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spans="1:38" ht="15.75" customHeight="1" x14ac:dyDescent="0.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spans="1:38" ht="15.75" customHeight="1" x14ac:dyDescent="0.25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spans="1:38" ht="15.75" customHeight="1" x14ac:dyDescent="0.25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spans="1:38" ht="15.75" customHeight="1" x14ac:dyDescent="0.25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spans="1:38" ht="15.75" customHeight="1" x14ac:dyDescent="0.25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spans="1:38" ht="15.75" customHeight="1" x14ac:dyDescent="0.25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spans="1:38" ht="15.75" customHeight="1" x14ac:dyDescent="0.25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spans="1:38" ht="15.75" customHeight="1" x14ac:dyDescent="0.25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spans="1:38" ht="15.75" customHeight="1" x14ac:dyDescent="0.2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spans="1:38" ht="15.75" customHeight="1" x14ac:dyDescent="0.2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spans="1:38" ht="15.75" customHeight="1" x14ac:dyDescent="0.2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spans="1:38" ht="15.75" customHeight="1" x14ac:dyDescent="0.25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spans="1:38" ht="15.75" customHeight="1" x14ac:dyDescent="0.25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spans="1:38" ht="15.75" customHeight="1" x14ac:dyDescent="0.25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spans="1:38" ht="15.75" customHeight="1" x14ac:dyDescent="0.25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spans="1:38" ht="15.75" customHeight="1" x14ac:dyDescent="0.25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spans="1:38" ht="15.75" customHeight="1" x14ac:dyDescent="0.25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spans="1:38" ht="15.75" customHeight="1" x14ac:dyDescent="0.25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spans="1:38" ht="15.75" customHeight="1" x14ac:dyDescent="0.25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</row>
    <row r="244" spans="1:38" ht="15.75" customHeight="1" x14ac:dyDescent="0.25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</row>
    <row r="245" spans="1:38" ht="15.75" customHeight="1" x14ac:dyDescent="0.2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</row>
    <row r="246" spans="1:38" ht="15.75" customHeight="1" x14ac:dyDescent="0.25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</row>
    <row r="247" spans="1:38" ht="15.75" customHeight="1" x14ac:dyDescent="0.25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</row>
    <row r="248" spans="1:38" ht="15.75" customHeight="1" x14ac:dyDescent="0.25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</row>
    <row r="249" spans="1:38" ht="15.75" customHeight="1" x14ac:dyDescent="0.25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</row>
    <row r="250" spans="1:38" ht="15.75" customHeight="1" x14ac:dyDescent="0.25"/>
    <row r="251" spans="1:38" ht="15.75" customHeight="1" x14ac:dyDescent="0.25"/>
    <row r="252" spans="1:38" ht="15.75" customHeight="1" x14ac:dyDescent="0.25"/>
    <row r="253" spans="1:38" ht="15.75" customHeight="1" x14ac:dyDescent="0.25"/>
    <row r="254" spans="1:38" ht="15.75" customHeight="1" x14ac:dyDescent="0.25"/>
    <row r="255" spans="1:38" ht="15.75" customHeight="1" x14ac:dyDescent="0.25"/>
    <row r="256" spans="1:3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1:E1"/>
    <mergeCell ref="F26:J26"/>
    <mergeCell ref="L26:P26"/>
    <mergeCell ref="W40:Z40"/>
  </mergeCells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/>
  </sheetViews>
  <sheetFormatPr defaultColWidth="12.6640625" defaultRowHeight="15" customHeight="1" x14ac:dyDescent="0.25"/>
  <cols>
    <col min="1" max="2" width="15.21875" customWidth="1"/>
    <col min="3" max="3" width="6.6640625" customWidth="1"/>
    <col min="4" max="4" width="9" customWidth="1"/>
    <col min="5" max="5" width="7.33203125" customWidth="1"/>
    <col min="6" max="7" width="6.77734375" customWidth="1"/>
    <col min="8" max="8" width="8.33203125" customWidth="1"/>
    <col min="9" max="9" width="6.6640625" customWidth="1"/>
    <col min="10" max="11" width="5.77734375" customWidth="1"/>
  </cols>
  <sheetData>
    <row r="1" spans="1:14" ht="15.75" customHeight="1" x14ac:dyDescent="0.25">
      <c r="B1" s="66"/>
      <c r="C1" s="112" t="s">
        <v>3159</v>
      </c>
      <c r="D1" s="95"/>
      <c r="E1" s="95"/>
      <c r="F1" s="112" t="s">
        <v>3160</v>
      </c>
      <c r="G1" s="95"/>
      <c r="H1" s="95"/>
      <c r="I1" s="112" t="s">
        <v>3161</v>
      </c>
      <c r="J1" s="95"/>
      <c r="K1" s="95"/>
      <c r="L1" s="112" t="s">
        <v>3162</v>
      </c>
      <c r="M1" s="95"/>
      <c r="N1" s="95"/>
    </row>
    <row r="2" spans="1:14" ht="15.75" customHeight="1" x14ac:dyDescent="0.3">
      <c r="A2" s="2" t="s">
        <v>20</v>
      </c>
      <c r="B2" s="66" t="e">
        <f t="array" aca="1" ref="B2:B25" ca="1">UNIQUE('Sales Data'!E:E)</f>
        <v>#NAME?</v>
      </c>
      <c r="C2" s="67">
        <v>21</v>
      </c>
      <c r="D2" s="67">
        <v>22</v>
      </c>
      <c r="E2" s="67">
        <v>23</v>
      </c>
      <c r="F2" s="67">
        <v>21</v>
      </c>
      <c r="G2" s="67">
        <v>22</v>
      </c>
      <c r="H2" s="67">
        <v>23</v>
      </c>
      <c r="I2" s="67">
        <v>21</v>
      </c>
      <c r="J2" s="67">
        <v>22</v>
      </c>
      <c r="K2" s="67">
        <v>23</v>
      </c>
      <c r="L2" s="67">
        <v>21</v>
      </c>
      <c r="M2" s="67">
        <v>22</v>
      </c>
      <c r="N2" s="67">
        <v>23</v>
      </c>
    </row>
    <row r="3" spans="1:14" ht="15.75" customHeight="1" x14ac:dyDescent="0.25">
      <c r="B3" s="19" t="e">
        <f ca="1"/>
        <v>#NAME?</v>
      </c>
      <c r="C3" s="13" t="e">
        <f ca="1">COUNTIFS('Sales Data'!$E:$E,B3,#REF!,$C$2)</f>
        <v>#REF!</v>
      </c>
      <c r="D3" s="68" t="e">
        <f ca="1">COUNTIFS('Sales Data'!$E:$E,B3,#REF!,$D$2)</f>
        <v>#REF!</v>
      </c>
      <c r="E3" s="68" t="e">
        <f ca="1">COUNTIFS('Sales Data'!$E:$E,B3,#REF!,$E$2)</f>
        <v>#REF!</v>
      </c>
      <c r="F3" s="13" t="e">
        <f ca="1">COUNTIFS('Sales Data'!$E:$E,B3,#REF!,$C$2,'Sales Data'!$B:$B,$A$2)</f>
        <v>#REF!</v>
      </c>
      <c r="G3" s="68" t="e">
        <f ca="1">COUNTIFS('Sales Data'!$E:$E,B3,#REF!,$G$2,'Sales Data'!$B:$B,$A$2)</f>
        <v>#REF!</v>
      </c>
      <c r="H3" s="68" t="e">
        <f ca="1">COUNTIFS('Sales Data'!$E:$E,B3,#REF!,$H$2,'Sales Data'!$B:$B,$A$2)</f>
        <v>#REF!</v>
      </c>
      <c r="I3" s="22" t="str">
        <f t="shared" ref="I3:K3" ca="1" si="0">IFERROR(F3/C3,"")</f>
        <v/>
      </c>
      <c r="J3" s="22" t="str">
        <f t="shared" ca="1" si="0"/>
        <v/>
      </c>
      <c r="K3" s="22" t="str">
        <f t="shared" ca="1" si="0"/>
        <v/>
      </c>
      <c r="L3" s="69" t="e">
        <f ca="1">SUMIFS('Sales Data'!$I:$I,'Sales Data'!$E:$E,$B3,#REF!,$L$2)</f>
        <v>#REF!</v>
      </c>
      <c r="M3" s="69" t="e">
        <f ca="1">SUMIFS('Sales Data'!$I:$I,'Sales Data'!$E:$E,$B3,#REF!,$M$2)</f>
        <v>#REF!</v>
      </c>
      <c r="N3" s="69" t="e">
        <f ca="1">SUMIFS('Sales Data'!$I:$I,'Sales Data'!$E:$E,$B3,#REF!,NL$2)</f>
        <v>#REF!</v>
      </c>
    </row>
    <row r="4" spans="1:14" ht="15.75" customHeight="1" x14ac:dyDescent="0.25">
      <c r="B4" s="19" t="e">
        <f ca="1"/>
        <v>#NAME?</v>
      </c>
      <c r="C4" s="13" t="e">
        <f ca="1">COUNTIFS('Sales Data'!$E:$E,B4,#REF!,$C$2)</f>
        <v>#REF!</v>
      </c>
      <c r="D4" s="68" t="e">
        <f ca="1">COUNTIFS('Sales Data'!$E:$E,B4,#REF!,$D$2)</f>
        <v>#REF!</v>
      </c>
      <c r="E4" s="68" t="e">
        <f ca="1">COUNTIFS('Sales Data'!$E:$E,B4,#REF!,$E$2)</f>
        <v>#REF!</v>
      </c>
      <c r="F4" s="13" t="e">
        <f ca="1">COUNTIFS('Sales Data'!$E:$E,B4,#REF!,$C$2,'Sales Data'!$B:$B,$A$2)</f>
        <v>#REF!</v>
      </c>
      <c r="G4" s="68" t="e">
        <f ca="1">COUNTIFS('Sales Data'!$E:$E,B4,#REF!,$G$2,'Sales Data'!$B:$B,$A$2)</f>
        <v>#REF!</v>
      </c>
      <c r="H4" s="68" t="e">
        <f ca="1">COUNTIFS('Sales Data'!$E:$E,B4,#REF!,$H$2,'Sales Data'!$B:$B,$A$2)</f>
        <v>#REF!</v>
      </c>
      <c r="I4" s="22" t="str">
        <f t="shared" ref="I4:K4" ca="1" si="1">IFERROR(F4/C4,"")</f>
        <v/>
      </c>
      <c r="J4" s="22" t="str">
        <f t="shared" ca="1" si="1"/>
        <v/>
      </c>
      <c r="K4" s="22" t="str">
        <f t="shared" ca="1" si="1"/>
        <v/>
      </c>
      <c r="L4" s="69" t="e">
        <f ca="1">SUMIFS('Sales Data'!$I:$I,'Sales Data'!$E:$E,$B4,#REF!,$L$2)</f>
        <v>#REF!</v>
      </c>
      <c r="M4" s="69" t="e">
        <f ca="1">SUMIFS('Sales Data'!$I:$I,'Sales Data'!$E:$E,$B4,#REF!,$M$2)</f>
        <v>#REF!</v>
      </c>
      <c r="N4" s="69" t="e">
        <f ca="1">SUMIFS('Sales Data'!$I:$I,'Sales Data'!$E:$E,$B4,#REF!,NL$2)</f>
        <v>#REF!</v>
      </c>
    </row>
    <row r="5" spans="1:14" ht="15.75" customHeight="1" x14ac:dyDescent="0.25">
      <c r="B5" s="19" t="e">
        <f ca="1"/>
        <v>#NAME?</v>
      </c>
      <c r="C5" s="13" t="e">
        <f ca="1">COUNTIFS('Sales Data'!$E:$E,B5,#REF!,$C$2)</f>
        <v>#REF!</v>
      </c>
      <c r="D5" s="68" t="e">
        <f ca="1">COUNTIFS('Sales Data'!$E:$E,B5,#REF!,$D$2)</f>
        <v>#REF!</v>
      </c>
      <c r="E5" s="68" t="e">
        <f ca="1">COUNTIFS('Sales Data'!$E:$E,B5,#REF!,$E$2)</f>
        <v>#REF!</v>
      </c>
      <c r="F5" s="13" t="e">
        <f ca="1">COUNTIFS('Sales Data'!$E:$E,B5,#REF!,$C$2,'Sales Data'!$B:$B,$A$2)</f>
        <v>#REF!</v>
      </c>
      <c r="G5" s="68" t="e">
        <f ca="1">COUNTIFS('Sales Data'!$E:$E,B5,#REF!,$G$2,'Sales Data'!$B:$B,$A$2)</f>
        <v>#REF!</v>
      </c>
      <c r="H5" s="68" t="e">
        <f ca="1">COUNTIFS('Sales Data'!$E:$E,B5,#REF!,$H$2,'Sales Data'!$B:$B,$A$2)</f>
        <v>#REF!</v>
      </c>
      <c r="I5" s="22" t="str">
        <f t="shared" ref="I5:K5" ca="1" si="2">IFERROR(F5/C5,"")</f>
        <v/>
      </c>
      <c r="J5" s="22" t="str">
        <f t="shared" ca="1" si="2"/>
        <v/>
      </c>
      <c r="K5" s="22" t="str">
        <f t="shared" ca="1" si="2"/>
        <v/>
      </c>
      <c r="L5" s="69" t="e">
        <f ca="1">SUMIFS('Sales Data'!$I:$I,'Sales Data'!$E:$E,$B5,#REF!,$L$2)</f>
        <v>#REF!</v>
      </c>
      <c r="M5" s="69" t="e">
        <f ca="1">SUMIFS('Sales Data'!$I:$I,'Sales Data'!$E:$E,$B5,#REF!,$M$2)</f>
        <v>#REF!</v>
      </c>
      <c r="N5" s="69" t="e">
        <f ca="1">SUMIFS('Sales Data'!$I:$I,'Sales Data'!$E:$E,$B5,#REF!,NL$2)</f>
        <v>#REF!</v>
      </c>
    </row>
    <row r="6" spans="1:14" ht="15.75" customHeight="1" x14ac:dyDescent="0.25">
      <c r="B6" s="19" t="e">
        <f ca="1"/>
        <v>#NAME?</v>
      </c>
      <c r="C6" s="13" t="e">
        <f ca="1">COUNTIFS('Sales Data'!$E:$E,B6,#REF!,$C$2)</f>
        <v>#REF!</v>
      </c>
      <c r="D6" s="68" t="e">
        <f ca="1">COUNTIFS('Sales Data'!$E:$E,B6,#REF!,$D$2)</f>
        <v>#REF!</v>
      </c>
      <c r="E6" s="68" t="e">
        <f ca="1">COUNTIFS('Sales Data'!$E:$E,B6,#REF!,$E$2)</f>
        <v>#REF!</v>
      </c>
      <c r="F6" s="13" t="e">
        <f ca="1">COUNTIFS('Sales Data'!$E:$E,B6,#REF!,$C$2,'Sales Data'!$B:$B,$A$2)</f>
        <v>#REF!</v>
      </c>
      <c r="G6" s="68" t="e">
        <f ca="1">COUNTIFS('Sales Data'!$E:$E,B6,#REF!,$G$2,'Sales Data'!$B:$B,$A$2)</f>
        <v>#REF!</v>
      </c>
      <c r="H6" s="68" t="e">
        <f ca="1">COUNTIFS('Sales Data'!$E:$E,B6,#REF!,$H$2,'Sales Data'!$B:$B,$A$2)</f>
        <v>#REF!</v>
      </c>
      <c r="I6" s="22" t="str">
        <f t="shared" ref="I6:K6" ca="1" si="3">IFERROR(F6/C6,"")</f>
        <v/>
      </c>
      <c r="J6" s="22" t="str">
        <f t="shared" ca="1" si="3"/>
        <v/>
      </c>
      <c r="K6" s="22" t="str">
        <f t="shared" ca="1" si="3"/>
        <v/>
      </c>
      <c r="L6" s="69" t="e">
        <f ca="1">SUMIFS('Sales Data'!$I:$I,'Sales Data'!$E:$E,$B6,#REF!,$L$2)</f>
        <v>#REF!</v>
      </c>
      <c r="M6" s="69" t="e">
        <f ca="1">SUMIFS('Sales Data'!$I:$I,'Sales Data'!$E:$E,$B6,#REF!,$M$2)</f>
        <v>#REF!</v>
      </c>
      <c r="N6" s="69" t="e">
        <f ca="1">SUMIFS('Sales Data'!$I:$I,'Sales Data'!$E:$E,$B6,#REF!,NL$2)</f>
        <v>#REF!</v>
      </c>
    </row>
    <row r="7" spans="1:14" ht="15.75" customHeight="1" x14ac:dyDescent="0.25">
      <c r="B7" s="19" t="e">
        <f ca="1"/>
        <v>#NAME?</v>
      </c>
      <c r="C7" s="13" t="e">
        <f ca="1">COUNTIFS('Sales Data'!$E:$E,B7,#REF!,$C$2)</f>
        <v>#REF!</v>
      </c>
      <c r="D7" s="68" t="e">
        <f ca="1">COUNTIFS('Sales Data'!$E:$E,B7,#REF!,$D$2)</f>
        <v>#REF!</v>
      </c>
      <c r="E7" s="68" t="e">
        <f ca="1">COUNTIFS('Sales Data'!$E:$E,B7,#REF!,$E$2)</f>
        <v>#REF!</v>
      </c>
      <c r="F7" s="13" t="e">
        <f ca="1">COUNTIFS('Sales Data'!$E:$E,B7,#REF!,$C$2,'Sales Data'!$B:$B,$A$2)</f>
        <v>#REF!</v>
      </c>
      <c r="G7" s="68" t="e">
        <f ca="1">COUNTIFS('Sales Data'!$E:$E,B7,#REF!,$G$2,'Sales Data'!$B:$B,$A$2)</f>
        <v>#REF!</v>
      </c>
      <c r="H7" s="68" t="e">
        <f ca="1">COUNTIFS('Sales Data'!$E:$E,B7,#REF!,$H$2,'Sales Data'!$B:$B,$A$2)</f>
        <v>#REF!</v>
      </c>
      <c r="I7" s="22" t="str">
        <f t="shared" ref="I7:K7" ca="1" si="4">IFERROR(F7/C7,"")</f>
        <v/>
      </c>
      <c r="J7" s="22" t="str">
        <f t="shared" ca="1" si="4"/>
        <v/>
      </c>
      <c r="K7" s="22" t="str">
        <f t="shared" ca="1" si="4"/>
        <v/>
      </c>
      <c r="L7" s="69" t="e">
        <f ca="1">SUMIFS('Sales Data'!$I:$I,'Sales Data'!$E:$E,$B7,#REF!,$L$2)</f>
        <v>#REF!</v>
      </c>
      <c r="M7" s="69" t="e">
        <f ca="1">SUMIFS('Sales Data'!$I:$I,'Sales Data'!$E:$E,$B7,#REF!,$M$2)</f>
        <v>#REF!</v>
      </c>
      <c r="N7" s="69" t="e">
        <f ca="1">SUMIFS('Sales Data'!$I:$I,'Sales Data'!$E:$E,$B7,#REF!,NL$2)</f>
        <v>#REF!</v>
      </c>
    </row>
    <row r="8" spans="1:14" ht="15.75" customHeight="1" x14ac:dyDescent="0.25">
      <c r="B8" s="19" t="e">
        <f ca="1"/>
        <v>#NAME?</v>
      </c>
      <c r="C8" s="13" t="e">
        <f ca="1">COUNTIFS('Sales Data'!$E:$E,B8,#REF!,$C$2)</f>
        <v>#REF!</v>
      </c>
      <c r="D8" s="68" t="e">
        <f ca="1">COUNTIFS('Sales Data'!$E:$E,B8,#REF!,$D$2)</f>
        <v>#REF!</v>
      </c>
      <c r="E8" s="68" t="e">
        <f ca="1">COUNTIFS('Sales Data'!$E:$E,B8,#REF!,$E$2)</f>
        <v>#REF!</v>
      </c>
      <c r="F8" s="13" t="e">
        <f ca="1">COUNTIFS('Sales Data'!$E:$E,B8,#REF!,$C$2,'Sales Data'!$B:$B,$A$2)</f>
        <v>#REF!</v>
      </c>
      <c r="G8" s="68" t="e">
        <f ca="1">COUNTIFS('Sales Data'!$E:$E,B8,#REF!,$G$2,'Sales Data'!$B:$B,$A$2)</f>
        <v>#REF!</v>
      </c>
      <c r="H8" s="68" t="e">
        <f ca="1">COUNTIFS('Sales Data'!$E:$E,B8,#REF!,$H$2,'Sales Data'!$B:$B,$A$2)</f>
        <v>#REF!</v>
      </c>
      <c r="I8" s="22" t="str">
        <f t="shared" ref="I8:K8" ca="1" si="5">IFERROR(F8/C8,"")</f>
        <v/>
      </c>
      <c r="J8" s="22" t="str">
        <f t="shared" ca="1" si="5"/>
        <v/>
      </c>
      <c r="K8" s="22" t="str">
        <f t="shared" ca="1" si="5"/>
        <v/>
      </c>
      <c r="L8" s="69" t="e">
        <f ca="1">SUMIFS('Sales Data'!$I:$I,'Sales Data'!$E:$E,$B8,#REF!,$L$2)</f>
        <v>#REF!</v>
      </c>
      <c r="M8" s="69" t="e">
        <f ca="1">SUMIFS('Sales Data'!$I:$I,'Sales Data'!$E:$E,$B8,#REF!,$M$2)</f>
        <v>#REF!</v>
      </c>
      <c r="N8" s="69" t="e">
        <f ca="1">SUMIFS('Sales Data'!$I:$I,'Sales Data'!$E:$E,$B8,#REF!,NL$2)</f>
        <v>#REF!</v>
      </c>
    </row>
    <row r="9" spans="1:14" ht="15.75" customHeight="1" x14ac:dyDescent="0.25">
      <c r="B9" s="19" t="e">
        <f ca="1"/>
        <v>#NAME?</v>
      </c>
      <c r="C9" s="13" t="e">
        <f ca="1">COUNTIFS('Sales Data'!$E:$E,B9,#REF!,$C$2)</f>
        <v>#REF!</v>
      </c>
      <c r="D9" s="68" t="e">
        <f ca="1">COUNTIFS('Sales Data'!$E:$E,B9,#REF!,$D$2)</f>
        <v>#REF!</v>
      </c>
      <c r="E9" s="68" t="e">
        <f ca="1">COUNTIFS('Sales Data'!$E:$E,B9,#REF!,$E$2)</f>
        <v>#REF!</v>
      </c>
      <c r="F9" s="13" t="e">
        <f ca="1">COUNTIFS('Sales Data'!$E:$E,B9,#REF!,$C$2,'Sales Data'!$B:$B,$A$2)</f>
        <v>#REF!</v>
      </c>
      <c r="G9" s="68" t="e">
        <f ca="1">COUNTIFS('Sales Data'!$E:$E,B9,#REF!,$G$2,'Sales Data'!$B:$B,$A$2)</f>
        <v>#REF!</v>
      </c>
      <c r="H9" s="68" t="e">
        <f ca="1">COUNTIFS('Sales Data'!$E:$E,B9,#REF!,$H$2,'Sales Data'!$B:$B,$A$2)</f>
        <v>#REF!</v>
      </c>
      <c r="I9" s="22" t="str">
        <f t="shared" ref="I9:K9" ca="1" si="6">IFERROR(F9/C9,"")</f>
        <v/>
      </c>
      <c r="J9" s="22" t="str">
        <f t="shared" ca="1" si="6"/>
        <v/>
      </c>
      <c r="K9" s="22" t="str">
        <f t="shared" ca="1" si="6"/>
        <v/>
      </c>
      <c r="L9" s="69" t="e">
        <f ca="1">SUMIFS('Sales Data'!$I:$I,'Sales Data'!$E:$E,$B9,#REF!,$L$2)</f>
        <v>#REF!</v>
      </c>
      <c r="M9" s="69" t="e">
        <f ca="1">SUMIFS('Sales Data'!$I:$I,'Sales Data'!$E:$E,$B9,#REF!,$M$2)</f>
        <v>#REF!</v>
      </c>
      <c r="N9" s="69" t="e">
        <f ca="1">SUMIFS('Sales Data'!$I:$I,'Sales Data'!$E:$E,$B9,#REF!,NL$2)</f>
        <v>#REF!</v>
      </c>
    </row>
    <row r="10" spans="1:14" ht="15.75" customHeight="1" x14ac:dyDescent="0.25">
      <c r="B10" s="19" t="e">
        <f ca="1"/>
        <v>#NAME?</v>
      </c>
      <c r="C10" s="13" t="e">
        <f ca="1">COUNTIFS('Sales Data'!$E:$E,B10,#REF!,$C$2)</f>
        <v>#REF!</v>
      </c>
      <c r="D10" s="68" t="e">
        <f ca="1">COUNTIFS('Sales Data'!$E:$E,B10,#REF!,$D$2)</f>
        <v>#REF!</v>
      </c>
      <c r="E10" s="68" t="e">
        <f ca="1">COUNTIFS('Sales Data'!$E:$E,B10,#REF!,$E$2)</f>
        <v>#REF!</v>
      </c>
      <c r="F10" s="13" t="e">
        <f ca="1">COUNTIFS('Sales Data'!$E:$E,B10,#REF!,$C$2,'Sales Data'!$B:$B,$A$2)</f>
        <v>#REF!</v>
      </c>
      <c r="G10" s="68" t="e">
        <f ca="1">COUNTIFS('Sales Data'!$E:$E,B10,#REF!,$G$2,'Sales Data'!$B:$B,$A$2)</f>
        <v>#REF!</v>
      </c>
      <c r="H10" s="68" t="e">
        <f ca="1">COUNTIFS('Sales Data'!$E:$E,B10,#REF!,$H$2,'Sales Data'!$B:$B,$A$2)</f>
        <v>#REF!</v>
      </c>
      <c r="I10" s="22" t="str">
        <f t="shared" ref="I10:K10" ca="1" si="7">IFERROR(F10/C10,"")</f>
        <v/>
      </c>
      <c r="J10" s="22" t="str">
        <f t="shared" ca="1" si="7"/>
        <v/>
      </c>
      <c r="K10" s="22" t="str">
        <f t="shared" ca="1" si="7"/>
        <v/>
      </c>
      <c r="L10" s="69" t="e">
        <f ca="1">SUMIFS('Sales Data'!$I:$I,'Sales Data'!$E:$E,$B10,#REF!,$L$2)</f>
        <v>#REF!</v>
      </c>
      <c r="M10" s="69" t="e">
        <f ca="1">SUMIFS('Sales Data'!$I:$I,'Sales Data'!$E:$E,$B10,#REF!,$M$2)</f>
        <v>#REF!</v>
      </c>
      <c r="N10" s="69" t="e">
        <f ca="1">SUMIFS('Sales Data'!$I:$I,'Sales Data'!$E:$E,$B10,#REF!,NL$2)</f>
        <v>#REF!</v>
      </c>
    </row>
    <row r="11" spans="1:14" ht="15.75" customHeight="1" x14ac:dyDescent="0.25">
      <c r="B11" s="19" t="e">
        <f ca="1"/>
        <v>#NAME?</v>
      </c>
      <c r="C11" s="13" t="e">
        <f ca="1">COUNTIFS('Sales Data'!$E:$E,B11,#REF!,$C$2)</f>
        <v>#REF!</v>
      </c>
      <c r="D11" s="68" t="e">
        <f ca="1">COUNTIFS('Sales Data'!$E:$E,B11,#REF!,$D$2)</f>
        <v>#REF!</v>
      </c>
      <c r="E11" s="68" t="e">
        <f ca="1">COUNTIFS('Sales Data'!$E:$E,B11,#REF!,$E$2)</f>
        <v>#REF!</v>
      </c>
      <c r="F11" s="13" t="e">
        <f ca="1">COUNTIFS('Sales Data'!$E:$E,B11,#REF!,$C$2,'Sales Data'!$B:$B,$A$2)</f>
        <v>#REF!</v>
      </c>
      <c r="G11" s="68" t="e">
        <f ca="1">COUNTIFS('Sales Data'!$E:$E,B11,#REF!,$G$2,'Sales Data'!$B:$B,$A$2)</f>
        <v>#REF!</v>
      </c>
      <c r="H11" s="68" t="e">
        <f ca="1">COUNTIFS('Sales Data'!$E:$E,B11,#REF!,$H$2,'Sales Data'!$B:$B,$A$2)</f>
        <v>#REF!</v>
      </c>
      <c r="I11" s="22" t="str">
        <f t="shared" ref="I11:K11" ca="1" si="8">IFERROR(F11/C11,"")</f>
        <v/>
      </c>
      <c r="J11" s="22" t="str">
        <f t="shared" ca="1" si="8"/>
        <v/>
      </c>
      <c r="K11" s="22" t="str">
        <f t="shared" ca="1" si="8"/>
        <v/>
      </c>
      <c r="L11" s="69" t="e">
        <f ca="1">SUMIFS('Sales Data'!$I:$I,'Sales Data'!$E:$E,$B11,#REF!,$L$2)</f>
        <v>#REF!</v>
      </c>
      <c r="M11" s="69" t="e">
        <f ca="1">SUMIFS('Sales Data'!$I:$I,'Sales Data'!$E:$E,$B11,#REF!,$M$2)</f>
        <v>#REF!</v>
      </c>
      <c r="N11" s="69" t="e">
        <f ca="1">SUMIFS('Sales Data'!$I:$I,'Sales Data'!$E:$E,$B11,#REF!,NL$2)</f>
        <v>#REF!</v>
      </c>
    </row>
    <row r="12" spans="1:14" ht="15.75" customHeight="1" x14ac:dyDescent="0.25">
      <c r="B12" s="19" t="e">
        <f ca="1"/>
        <v>#NAME?</v>
      </c>
      <c r="C12" s="13" t="e">
        <f ca="1">COUNTIFS('Sales Data'!$E:$E,B12,#REF!,$C$2)</f>
        <v>#REF!</v>
      </c>
      <c r="D12" s="68" t="e">
        <f ca="1">COUNTIFS('Sales Data'!$E:$E,B12,#REF!,$D$2)</f>
        <v>#REF!</v>
      </c>
      <c r="E12" s="68" t="e">
        <f ca="1">COUNTIFS('Sales Data'!$E:$E,B12,#REF!,$E$2)</f>
        <v>#REF!</v>
      </c>
      <c r="F12" s="13" t="e">
        <f ca="1">COUNTIFS('Sales Data'!$E:$E,B12,#REF!,$C$2,'Sales Data'!$B:$B,$A$2)</f>
        <v>#REF!</v>
      </c>
      <c r="G12" s="68" t="e">
        <f ca="1">COUNTIFS('Sales Data'!$E:$E,B12,#REF!,$G$2,'Sales Data'!$B:$B,$A$2)</f>
        <v>#REF!</v>
      </c>
      <c r="H12" s="68" t="e">
        <f ca="1">COUNTIFS('Sales Data'!$E:$E,B12,#REF!,$H$2,'Sales Data'!$B:$B,$A$2)</f>
        <v>#REF!</v>
      </c>
      <c r="I12" s="22" t="str">
        <f t="shared" ref="I12:K12" ca="1" si="9">IFERROR(F12/C12,"")</f>
        <v/>
      </c>
      <c r="J12" s="22" t="str">
        <f t="shared" ca="1" si="9"/>
        <v/>
      </c>
      <c r="K12" s="22" t="str">
        <f t="shared" ca="1" si="9"/>
        <v/>
      </c>
      <c r="L12" s="69" t="e">
        <f ca="1">SUMIFS('Sales Data'!$I:$I,'Sales Data'!$E:$E,$B12,#REF!,$L$2)</f>
        <v>#REF!</v>
      </c>
      <c r="M12" s="69" t="e">
        <f ca="1">SUMIFS('Sales Data'!$I:$I,'Sales Data'!$E:$E,$B12,#REF!,$M$2)</f>
        <v>#REF!</v>
      </c>
      <c r="N12" s="69" t="e">
        <f ca="1">SUMIFS('Sales Data'!$I:$I,'Sales Data'!$E:$E,$B12,#REF!,NL$2)</f>
        <v>#REF!</v>
      </c>
    </row>
    <row r="13" spans="1:14" ht="15.75" customHeight="1" x14ac:dyDescent="0.25">
      <c r="B13" s="19" t="e">
        <f ca="1"/>
        <v>#NAME?</v>
      </c>
      <c r="C13" s="13" t="e">
        <f ca="1">COUNTIFS('Sales Data'!$E:$E,B13,#REF!,$C$2)</f>
        <v>#REF!</v>
      </c>
      <c r="D13" s="68" t="e">
        <f ca="1">COUNTIFS('Sales Data'!$E:$E,B13,#REF!,$D$2)</f>
        <v>#REF!</v>
      </c>
      <c r="E13" s="68" t="e">
        <f ca="1">COUNTIFS('Sales Data'!$E:$E,B13,#REF!,$E$2)</f>
        <v>#REF!</v>
      </c>
      <c r="F13" s="13" t="e">
        <f ca="1">COUNTIFS('Sales Data'!$E:$E,B13,#REF!,$C$2,'Sales Data'!$B:$B,$A$2)</f>
        <v>#REF!</v>
      </c>
      <c r="G13" s="68" t="e">
        <f ca="1">COUNTIFS('Sales Data'!$E:$E,B13,#REF!,$G$2,'Sales Data'!$B:$B,$A$2)</f>
        <v>#REF!</v>
      </c>
      <c r="H13" s="68" t="e">
        <f ca="1">COUNTIFS('Sales Data'!$E:$E,B13,#REF!,$H$2,'Sales Data'!$B:$B,$A$2)</f>
        <v>#REF!</v>
      </c>
      <c r="I13" s="22" t="str">
        <f t="shared" ref="I13:K13" ca="1" si="10">IFERROR(F13/C13,"")</f>
        <v/>
      </c>
      <c r="J13" s="22" t="str">
        <f t="shared" ca="1" si="10"/>
        <v/>
      </c>
      <c r="K13" s="22" t="str">
        <f t="shared" ca="1" si="10"/>
        <v/>
      </c>
      <c r="L13" s="69" t="e">
        <f ca="1">SUMIFS('Sales Data'!$I:$I,'Sales Data'!$E:$E,$B13,#REF!,$L$2)</f>
        <v>#REF!</v>
      </c>
      <c r="M13" s="69" t="e">
        <f ca="1">SUMIFS('Sales Data'!$I:$I,'Sales Data'!$E:$E,$B13,#REF!,$M$2)</f>
        <v>#REF!</v>
      </c>
      <c r="N13" s="69" t="e">
        <f ca="1">SUMIFS('Sales Data'!$I:$I,'Sales Data'!$E:$E,$B13,#REF!,NL$2)</f>
        <v>#REF!</v>
      </c>
    </row>
    <row r="14" spans="1:14" ht="15.75" customHeight="1" x14ac:dyDescent="0.25">
      <c r="B14" s="19" t="e">
        <f ca="1"/>
        <v>#NAME?</v>
      </c>
      <c r="C14" s="13" t="e">
        <f ca="1">COUNTIFS('Sales Data'!$E:$E,B14,#REF!,$C$2)</f>
        <v>#REF!</v>
      </c>
      <c r="D14" s="68" t="e">
        <f ca="1">COUNTIFS('Sales Data'!$E:$E,B14,#REF!,$D$2)</f>
        <v>#REF!</v>
      </c>
      <c r="E14" s="68" t="e">
        <f ca="1">COUNTIFS('Sales Data'!$E:$E,B14,#REF!,$E$2)</f>
        <v>#REF!</v>
      </c>
      <c r="F14" s="13" t="e">
        <f ca="1">COUNTIFS('Sales Data'!$E:$E,B14,#REF!,$C$2,'Sales Data'!$B:$B,$A$2)</f>
        <v>#REF!</v>
      </c>
      <c r="G14" s="68" t="e">
        <f ca="1">COUNTIFS('Sales Data'!$E:$E,B14,#REF!,$G$2,'Sales Data'!$B:$B,$A$2)</f>
        <v>#REF!</v>
      </c>
      <c r="H14" s="68" t="e">
        <f ca="1">COUNTIFS('Sales Data'!$E:$E,B14,#REF!,$H$2,'Sales Data'!$B:$B,$A$2)</f>
        <v>#REF!</v>
      </c>
      <c r="I14" s="22" t="str">
        <f t="shared" ref="I14:K14" ca="1" si="11">IFERROR(F14/C14,"")</f>
        <v/>
      </c>
      <c r="J14" s="22" t="str">
        <f t="shared" ca="1" si="11"/>
        <v/>
      </c>
      <c r="K14" s="22" t="str">
        <f t="shared" ca="1" si="11"/>
        <v/>
      </c>
      <c r="L14" s="69" t="e">
        <f ca="1">SUMIFS('Sales Data'!$I:$I,'Sales Data'!$E:$E,$B14,#REF!,$L$2)</f>
        <v>#REF!</v>
      </c>
      <c r="M14" s="69" t="e">
        <f ca="1">SUMIFS('Sales Data'!$I:$I,'Sales Data'!$E:$E,$B14,#REF!,$M$2)</f>
        <v>#REF!</v>
      </c>
      <c r="N14" s="69" t="e">
        <f ca="1">SUMIFS('Sales Data'!$I:$I,'Sales Data'!$E:$E,$B14,#REF!,NL$2)</f>
        <v>#REF!</v>
      </c>
    </row>
    <row r="15" spans="1:14" ht="15.75" customHeight="1" x14ac:dyDescent="0.25">
      <c r="B15" s="19" t="e">
        <f ca="1"/>
        <v>#NAME?</v>
      </c>
      <c r="C15" s="13" t="e">
        <f ca="1">COUNTIFS('Sales Data'!$E:$E,B15,#REF!,$C$2)</f>
        <v>#REF!</v>
      </c>
      <c r="D15" s="68" t="e">
        <f ca="1">COUNTIFS('Sales Data'!$E:$E,B15,#REF!,$D$2)</f>
        <v>#REF!</v>
      </c>
      <c r="E15" s="68" t="e">
        <f ca="1">COUNTIFS('Sales Data'!$E:$E,B15,#REF!,$E$2)</f>
        <v>#REF!</v>
      </c>
      <c r="F15" s="13" t="e">
        <f ca="1">COUNTIFS('Sales Data'!$E:$E,B15,#REF!,$C$2,'Sales Data'!$B:$B,$A$2)</f>
        <v>#REF!</v>
      </c>
      <c r="G15" s="68" t="e">
        <f ca="1">COUNTIFS('Sales Data'!$E:$E,B15,#REF!,$G$2,'Sales Data'!$B:$B,$A$2)</f>
        <v>#REF!</v>
      </c>
      <c r="H15" s="68" t="e">
        <f ca="1">COUNTIFS('Sales Data'!$E:$E,B15,#REF!,$H$2,'Sales Data'!$B:$B,$A$2)</f>
        <v>#REF!</v>
      </c>
      <c r="I15" s="22" t="str">
        <f t="shared" ref="I15:K15" ca="1" si="12">IFERROR(F15/C15,"")</f>
        <v/>
      </c>
      <c r="J15" s="22" t="str">
        <f t="shared" ca="1" si="12"/>
        <v/>
      </c>
      <c r="K15" s="22" t="str">
        <f t="shared" ca="1" si="12"/>
        <v/>
      </c>
      <c r="L15" s="69" t="e">
        <f ca="1">SUMIFS('Sales Data'!$I:$I,'Sales Data'!$E:$E,$B15,#REF!,$L$2)</f>
        <v>#REF!</v>
      </c>
      <c r="M15" s="69" t="e">
        <f ca="1">SUMIFS('Sales Data'!$I:$I,'Sales Data'!$E:$E,$B15,#REF!,$M$2)</f>
        <v>#REF!</v>
      </c>
      <c r="N15" s="69" t="e">
        <f ca="1">SUMIFS('Sales Data'!$I:$I,'Sales Data'!$E:$E,$B15,#REF!,NL$2)</f>
        <v>#REF!</v>
      </c>
    </row>
    <row r="16" spans="1:14" ht="15.75" customHeight="1" x14ac:dyDescent="0.25">
      <c r="B16" s="19" t="e">
        <f ca="1"/>
        <v>#NAME?</v>
      </c>
      <c r="C16" s="13" t="e">
        <f ca="1">COUNTIFS('Sales Data'!$E:$E,B16,#REF!,$C$2)</f>
        <v>#REF!</v>
      </c>
      <c r="D16" s="68" t="e">
        <f ca="1">COUNTIFS('Sales Data'!$E:$E,B16,#REF!,$D$2)</f>
        <v>#REF!</v>
      </c>
      <c r="E16" s="68" t="e">
        <f ca="1">COUNTIFS('Sales Data'!$E:$E,B16,#REF!,$E$2)</f>
        <v>#REF!</v>
      </c>
      <c r="F16" s="13" t="e">
        <f ca="1">COUNTIFS('Sales Data'!$E:$E,B16,#REF!,$C$2,'Sales Data'!$B:$B,$A$2)</f>
        <v>#REF!</v>
      </c>
      <c r="G16" s="68" t="e">
        <f ca="1">COUNTIFS('Sales Data'!$E:$E,B16,#REF!,$G$2,'Sales Data'!$B:$B,$A$2)</f>
        <v>#REF!</v>
      </c>
      <c r="H16" s="68" t="e">
        <f ca="1">COUNTIFS('Sales Data'!$E:$E,B16,#REF!,$H$2,'Sales Data'!$B:$B,$A$2)</f>
        <v>#REF!</v>
      </c>
      <c r="I16" s="22" t="str">
        <f t="shared" ref="I16:K16" ca="1" si="13">IFERROR(F16/C16,"")</f>
        <v/>
      </c>
      <c r="J16" s="22" t="str">
        <f t="shared" ca="1" si="13"/>
        <v/>
      </c>
      <c r="K16" s="22" t="str">
        <f t="shared" ca="1" si="13"/>
        <v/>
      </c>
      <c r="L16" s="69" t="e">
        <f ca="1">SUMIFS('Sales Data'!$I:$I,'Sales Data'!$E:$E,$B16,#REF!,$L$2)</f>
        <v>#REF!</v>
      </c>
      <c r="M16" s="69" t="e">
        <f ca="1">SUMIFS('Sales Data'!$I:$I,'Sales Data'!$E:$E,$B16,#REF!,$M$2)</f>
        <v>#REF!</v>
      </c>
      <c r="N16" s="69" t="e">
        <f ca="1">SUMIFS('Sales Data'!$I:$I,'Sales Data'!$E:$E,$B16,#REF!,NL$2)</f>
        <v>#REF!</v>
      </c>
    </row>
    <row r="17" spans="2:14" ht="15.75" customHeight="1" x14ac:dyDescent="0.25">
      <c r="B17" s="19" t="e">
        <f ca="1"/>
        <v>#NAME?</v>
      </c>
      <c r="C17" s="13" t="e">
        <f ca="1">COUNTIFS('Sales Data'!$E:$E,B17,#REF!,$C$2)</f>
        <v>#REF!</v>
      </c>
      <c r="D17" s="68" t="e">
        <f ca="1">COUNTIFS('Sales Data'!$E:$E,B17,#REF!,$D$2)</f>
        <v>#REF!</v>
      </c>
      <c r="E17" s="68" t="e">
        <f ca="1">COUNTIFS('Sales Data'!$E:$E,B17,#REF!,$E$2)</f>
        <v>#REF!</v>
      </c>
      <c r="F17" s="13" t="e">
        <f ca="1">COUNTIFS('Sales Data'!$E:$E,B17,#REF!,$C$2,'Sales Data'!$B:$B,$A$2)</f>
        <v>#REF!</v>
      </c>
      <c r="G17" s="68" t="e">
        <f ca="1">COUNTIFS('Sales Data'!$E:$E,B17,#REF!,$G$2,'Sales Data'!$B:$B,$A$2)</f>
        <v>#REF!</v>
      </c>
      <c r="H17" s="68" t="e">
        <f ca="1">COUNTIFS('Sales Data'!$E:$E,B17,#REF!,$H$2,'Sales Data'!$B:$B,$A$2)</f>
        <v>#REF!</v>
      </c>
      <c r="I17" s="22" t="str">
        <f t="shared" ref="I17:K17" ca="1" si="14">IFERROR(F17/C17,"")</f>
        <v/>
      </c>
      <c r="J17" s="22" t="str">
        <f t="shared" ca="1" si="14"/>
        <v/>
      </c>
      <c r="K17" s="22" t="str">
        <f t="shared" ca="1" si="14"/>
        <v/>
      </c>
      <c r="L17" s="69" t="e">
        <f ca="1">SUMIFS('Sales Data'!$I:$I,'Sales Data'!$E:$E,$B17,#REF!,$L$2)</f>
        <v>#REF!</v>
      </c>
      <c r="M17" s="69" t="e">
        <f ca="1">SUMIFS('Sales Data'!$I:$I,'Sales Data'!$E:$E,$B17,#REF!,$M$2)</f>
        <v>#REF!</v>
      </c>
      <c r="N17" s="69" t="e">
        <f ca="1">SUMIFS('Sales Data'!$I:$I,'Sales Data'!$E:$E,$B17,#REF!,NL$2)</f>
        <v>#REF!</v>
      </c>
    </row>
    <row r="18" spans="2:14" ht="15.75" customHeight="1" x14ac:dyDescent="0.25">
      <c r="B18" s="19" t="e">
        <f ca="1"/>
        <v>#NAME?</v>
      </c>
      <c r="C18" s="13" t="e">
        <f ca="1">COUNTIFS('Sales Data'!$E:$E,B18,#REF!,$C$2)</f>
        <v>#REF!</v>
      </c>
      <c r="D18" s="68" t="e">
        <f ca="1">COUNTIFS('Sales Data'!$E:$E,B18,#REF!,$D$2)</f>
        <v>#REF!</v>
      </c>
      <c r="E18" s="68" t="e">
        <f ca="1">COUNTIFS('Sales Data'!$E:$E,B18,#REF!,$E$2)</f>
        <v>#REF!</v>
      </c>
      <c r="F18" s="13" t="e">
        <f ca="1">COUNTIFS('Sales Data'!$E:$E,B18,#REF!,$C$2,'Sales Data'!$B:$B,$A$2)</f>
        <v>#REF!</v>
      </c>
      <c r="G18" s="68" t="e">
        <f ca="1">COUNTIFS('Sales Data'!$E:$E,B18,#REF!,$G$2,'Sales Data'!$B:$B,$A$2)</f>
        <v>#REF!</v>
      </c>
      <c r="H18" s="68" t="e">
        <f ca="1">COUNTIFS('Sales Data'!$E:$E,B18,#REF!,$H$2,'Sales Data'!$B:$B,$A$2)</f>
        <v>#REF!</v>
      </c>
      <c r="I18" s="22" t="str">
        <f t="shared" ref="I18:K18" ca="1" si="15">IFERROR(F18/C18,"")</f>
        <v/>
      </c>
      <c r="J18" s="22" t="str">
        <f t="shared" ca="1" si="15"/>
        <v/>
      </c>
      <c r="K18" s="22" t="str">
        <f t="shared" ca="1" si="15"/>
        <v/>
      </c>
      <c r="L18" s="69" t="e">
        <f ca="1">SUMIFS('Sales Data'!$I:$I,'Sales Data'!$E:$E,$B18,#REF!,$L$2)</f>
        <v>#REF!</v>
      </c>
      <c r="M18" s="69" t="e">
        <f ca="1">SUMIFS('Sales Data'!$I:$I,'Sales Data'!$E:$E,$B18,#REF!,$M$2)</f>
        <v>#REF!</v>
      </c>
      <c r="N18" s="69" t="e">
        <f ca="1">SUMIFS('Sales Data'!$I:$I,'Sales Data'!$E:$E,$B18,#REF!,NL$2)</f>
        <v>#REF!</v>
      </c>
    </row>
    <row r="19" spans="2:14" ht="15.75" customHeight="1" x14ac:dyDescent="0.25">
      <c r="B19" s="19" t="e">
        <f ca="1"/>
        <v>#NAME?</v>
      </c>
      <c r="C19" s="13" t="e">
        <f ca="1">COUNTIFS('Sales Data'!$E:$E,B19,#REF!,$C$2)</f>
        <v>#REF!</v>
      </c>
      <c r="D19" s="68" t="e">
        <f ca="1">COUNTIFS('Sales Data'!$E:$E,B19,#REF!,$D$2)</f>
        <v>#REF!</v>
      </c>
      <c r="E19" s="68" t="e">
        <f ca="1">COUNTIFS('Sales Data'!$E:$E,B19,#REF!,$E$2)</f>
        <v>#REF!</v>
      </c>
      <c r="F19" s="13" t="e">
        <f ca="1">COUNTIFS('Sales Data'!$E:$E,B19,#REF!,$C$2,'Sales Data'!$B:$B,$A$2)</f>
        <v>#REF!</v>
      </c>
      <c r="G19" s="68" t="e">
        <f ca="1">COUNTIFS('Sales Data'!$E:$E,B19,#REF!,$G$2,'Sales Data'!$B:$B,$A$2)</f>
        <v>#REF!</v>
      </c>
      <c r="H19" s="68" t="e">
        <f ca="1">COUNTIFS('Sales Data'!$E:$E,B19,#REF!,$H$2,'Sales Data'!$B:$B,$A$2)</f>
        <v>#REF!</v>
      </c>
      <c r="I19" s="22" t="str">
        <f t="shared" ref="I19:K19" ca="1" si="16">IFERROR(F19/C19,"")</f>
        <v/>
      </c>
      <c r="J19" s="22" t="str">
        <f t="shared" ca="1" si="16"/>
        <v/>
      </c>
      <c r="K19" s="22" t="str">
        <f t="shared" ca="1" si="16"/>
        <v/>
      </c>
      <c r="L19" s="69" t="e">
        <f ca="1">SUMIFS('Sales Data'!$I:$I,'Sales Data'!$E:$E,$B19,#REF!,$L$2)</f>
        <v>#REF!</v>
      </c>
      <c r="M19" s="69" t="e">
        <f ca="1">SUMIFS('Sales Data'!$I:$I,'Sales Data'!$E:$E,$B19,#REF!,$M$2)</f>
        <v>#REF!</v>
      </c>
      <c r="N19" s="69" t="e">
        <f ca="1">SUMIFS('Sales Data'!$I:$I,'Sales Data'!$E:$E,$B19,#REF!,NL$2)</f>
        <v>#REF!</v>
      </c>
    </row>
    <row r="20" spans="2:14" ht="15.75" customHeight="1" x14ac:dyDescent="0.25">
      <c r="B20" s="19" t="e">
        <f ca="1"/>
        <v>#NAME?</v>
      </c>
      <c r="C20" s="13" t="e">
        <f ca="1">COUNTIFS('Sales Data'!$E:$E,B20,#REF!,$C$2)</f>
        <v>#REF!</v>
      </c>
      <c r="D20" s="68" t="e">
        <f ca="1">COUNTIFS('Sales Data'!$E:$E,B20,#REF!,$D$2)</f>
        <v>#REF!</v>
      </c>
      <c r="E20" s="68" t="e">
        <f ca="1">COUNTIFS('Sales Data'!$E:$E,B20,#REF!,$E$2)</f>
        <v>#REF!</v>
      </c>
      <c r="F20" s="13" t="e">
        <f ca="1">COUNTIFS('Sales Data'!$E:$E,B20,#REF!,$C$2,'Sales Data'!$B:$B,$A$2)</f>
        <v>#REF!</v>
      </c>
      <c r="G20" s="68" t="e">
        <f ca="1">COUNTIFS('Sales Data'!$E:$E,B20,#REF!,$G$2,'Sales Data'!$B:$B,$A$2)</f>
        <v>#REF!</v>
      </c>
      <c r="H20" s="68" t="e">
        <f ca="1">COUNTIFS('Sales Data'!$E:$E,B20,#REF!,$H$2,'Sales Data'!$B:$B,$A$2)</f>
        <v>#REF!</v>
      </c>
      <c r="I20" s="22" t="str">
        <f t="shared" ref="I20:K20" ca="1" si="17">IFERROR(F20/C20,"")</f>
        <v/>
      </c>
      <c r="J20" s="22" t="str">
        <f t="shared" ca="1" si="17"/>
        <v/>
      </c>
      <c r="K20" s="22" t="str">
        <f t="shared" ca="1" si="17"/>
        <v/>
      </c>
      <c r="L20" s="69" t="e">
        <f ca="1">SUMIFS('Sales Data'!$I:$I,'Sales Data'!$E:$E,$B20,#REF!,$L$2)</f>
        <v>#REF!</v>
      </c>
      <c r="M20" s="69" t="e">
        <f ca="1">SUMIFS('Sales Data'!$I:$I,'Sales Data'!$E:$E,$B20,#REF!,$M$2)</f>
        <v>#REF!</v>
      </c>
      <c r="N20" s="69" t="e">
        <f ca="1">SUMIFS('Sales Data'!$I:$I,'Sales Data'!$E:$E,$B20,#REF!,NL$2)</f>
        <v>#REF!</v>
      </c>
    </row>
    <row r="21" spans="2:14" ht="15.75" customHeight="1" x14ac:dyDescent="0.25">
      <c r="B21" s="19" t="e">
        <f ca="1"/>
        <v>#NAME?</v>
      </c>
      <c r="C21" s="13" t="e">
        <f ca="1">COUNTIFS('Sales Data'!$E:$E,B21,#REF!,$C$2)</f>
        <v>#REF!</v>
      </c>
      <c r="D21" s="68" t="e">
        <f ca="1">COUNTIFS('Sales Data'!$E:$E,B21,#REF!,$D$2)</f>
        <v>#REF!</v>
      </c>
      <c r="E21" s="68" t="e">
        <f ca="1">COUNTIFS('Sales Data'!$E:$E,B21,#REF!,$E$2)</f>
        <v>#REF!</v>
      </c>
      <c r="F21" s="13" t="e">
        <f ca="1">COUNTIFS('Sales Data'!$E:$E,B21,#REF!,$C$2,'Sales Data'!$B:$B,$A$2)</f>
        <v>#REF!</v>
      </c>
      <c r="G21" s="68" t="e">
        <f ca="1">COUNTIFS('Sales Data'!$E:$E,B21,#REF!,$G$2,'Sales Data'!$B:$B,$A$2)</f>
        <v>#REF!</v>
      </c>
      <c r="H21" s="68" t="e">
        <f ca="1">COUNTIFS('Sales Data'!$E:$E,B21,#REF!,$H$2,'Sales Data'!$B:$B,$A$2)</f>
        <v>#REF!</v>
      </c>
      <c r="I21" s="22" t="str">
        <f t="shared" ref="I21:K21" ca="1" si="18">IFERROR(F21/C21,"")</f>
        <v/>
      </c>
      <c r="J21" s="22" t="str">
        <f t="shared" ca="1" si="18"/>
        <v/>
      </c>
      <c r="K21" s="22" t="str">
        <f t="shared" ca="1" si="18"/>
        <v/>
      </c>
      <c r="L21" s="69" t="e">
        <f ca="1">SUMIFS('Sales Data'!$I:$I,'Sales Data'!$E:$E,$B21,#REF!,$L$2)</f>
        <v>#REF!</v>
      </c>
      <c r="M21" s="69" t="e">
        <f ca="1">SUMIFS('Sales Data'!$I:$I,'Sales Data'!$E:$E,$B21,#REF!,$M$2)</f>
        <v>#REF!</v>
      </c>
      <c r="N21" s="69" t="e">
        <f ca="1">SUMIFS('Sales Data'!$I:$I,'Sales Data'!$E:$E,$B21,#REF!,NL$2)</f>
        <v>#REF!</v>
      </c>
    </row>
    <row r="22" spans="2:14" ht="15.75" customHeight="1" x14ac:dyDescent="0.25">
      <c r="B22" s="19" t="e">
        <f ca="1"/>
        <v>#NAME?</v>
      </c>
      <c r="C22" s="13" t="e">
        <f ca="1">COUNTIFS('Sales Data'!$E:$E,B22,#REF!,$C$2)</f>
        <v>#REF!</v>
      </c>
      <c r="D22" s="68" t="e">
        <f ca="1">COUNTIFS('Sales Data'!$E:$E,B22,#REF!,$D$2)</f>
        <v>#REF!</v>
      </c>
      <c r="E22" s="68" t="e">
        <f ca="1">COUNTIFS('Sales Data'!$E:$E,B22,#REF!,$E$2)</f>
        <v>#REF!</v>
      </c>
      <c r="F22" s="13" t="e">
        <f ca="1">COUNTIFS('Sales Data'!$E:$E,B22,#REF!,$C$2,'Sales Data'!$B:$B,$A$2)</f>
        <v>#REF!</v>
      </c>
      <c r="G22" s="68" t="e">
        <f ca="1">COUNTIFS('Sales Data'!$E:$E,B22,#REF!,$G$2,'Sales Data'!$B:$B,$A$2)</f>
        <v>#REF!</v>
      </c>
      <c r="H22" s="68" t="e">
        <f ca="1">COUNTIFS('Sales Data'!$E:$E,B22,#REF!,$H$2,'Sales Data'!$B:$B,$A$2)</f>
        <v>#REF!</v>
      </c>
      <c r="I22" s="22" t="str">
        <f t="shared" ref="I22:K22" ca="1" si="19">IFERROR(F22/C22,"")</f>
        <v/>
      </c>
      <c r="J22" s="22" t="str">
        <f t="shared" ca="1" si="19"/>
        <v/>
      </c>
      <c r="K22" s="22" t="str">
        <f t="shared" ca="1" si="19"/>
        <v/>
      </c>
      <c r="L22" s="69" t="e">
        <f ca="1">SUMIFS('Sales Data'!$I:$I,'Sales Data'!$E:$E,$B22,#REF!,$L$2)</f>
        <v>#REF!</v>
      </c>
      <c r="M22" s="69" t="e">
        <f ca="1">SUMIFS('Sales Data'!$I:$I,'Sales Data'!$E:$E,$B22,#REF!,$M$2)</f>
        <v>#REF!</v>
      </c>
      <c r="N22" s="69" t="e">
        <f ca="1">SUMIFS('Sales Data'!$I:$I,'Sales Data'!$E:$E,$B22,#REF!,NL$2)</f>
        <v>#REF!</v>
      </c>
    </row>
    <row r="23" spans="2:14" ht="15.75" customHeight="1" x14ac:dyDescent="0.25">
      <c r="B23" s="19" t="e">
        <f ca="1"/>
        <v>#NAME?</v>
      </c>
      <c r="C23" s="13" t="e">
        <f ca="1">COUNTIFS('Sales Data'!$E:$E,B23,#REF!,$C$2)</f>
        <v>#REF!</v>
      </c>
      <c r="D23" s="68" t="e">
        <f ca="1">COUNTIFS('Sales Data'!$E:$E,B23,#REF!,$D$2)</f>
        <v>#REF!</v>
      </c>
      <c r="E23" s="68" t="e">
        <f ca="1">COUNTIFS('Sales Data'!$E:$E,B23,#REF!,$E$2)</f>
        <v>#REF!</v>
      </c>
      <c r="F23" s="13" t="e">
        <f ca="1">COUNTIFS('Sales Data'!$E:$E,B23,#REF!,$C$2,'Sales Data'!$B:$B,$A$2)</f>
        <v>#REF!</v>
      </c>
      <c r="G23" s="68" t="e">
        <f ca="1">COUNTIFS('Sales Data'!$E:$E,B23,#REF!,$G$2,'Sales Data'!$B:$B,$A$2)</f>
        <v>#REF!</v>
      </c>
      <c r="H23" s="68" t="e">
        <f ca="1">COUNTIFS('Sales Data'!$E:$E,B23,#REF!,$H$2,'Sales Data'!$B:$B,$A$2)</f>
        <v>#REF!</v>
      </c>
      <c r="I23" s="22" t="str">
        <f t="shared" ref="I23:K23" ca="1" si="20">IFERROR(F23/C23,"")</f>
        <v/>
      </c>
      <c r="J23" s="22" t="str">
        <f t="shared" ca="1" si="20"/>
        <v/>
      </c>
      <c r="K23" s="22" t="str">
        <f t="shared" ca="1" si="20"/>
        <v/>
      </c>
      <c r="L23" s="69" t="e">
        <f ca="1">SUMIFS('Sales Data'!$I:$I,'Sales Data'!$E:$E,$B23,#REF!,$L$2)</f>
        <v>#REF!</v>
      </c>
      <c r="M23" s="69" t="e">
        <f ca="1">SUMIFS('Sales Data'!$I:$I,'Sales Data'!$E:$E,$B23,#REF!,$M$2)</f>
        <v>#REF!</v>
      </c>
      <c r="N23" s="69" t="e">
        <f ca="1">SUMIFS('Sales Data'!$I:$I,'Sales Data'!$E:$E,$B23,#REF!,NL$2)</f>
        <v>#REF!</v>
      </c>
    </row>
    <row r="24" spans="2:14" ht="15.75" customHeight="1" x14ac:dyDescent="0.25">
      <c r="B24" s="19" t="e">
        <f ca="1"/>
        <v>#NAME?</v>
      </c>
      <c r="C24" s="13" t="e">
        <f ca="1">COUNTIFS('Sales Data'!$E:$E,B24,#REF!,$C$2)</f>
        <v>#REF!</v>
      </c>
      <c r="D24" s="68" t="e">
        <f ca="1">COUNTIFS('Sales Data'!$E:$E,B24,#REF!,$D$2)</f>
        <v>#REF!</v>
      </c>
      <c r="E24" s="68" t="e">
        <f ca="1">COUNTIFS('Sales Data'!$E:$E,B24,#REF!,$E$2)</f>
        <v>#REF!</v>
      </c>
      <c r="F24" s="13" t="e">
        <f ca="1">COUNTIFS('Sales Data'!$E:$E,B24,#REF!,$C$2,'Sales Data'!$B:$B,$A$2)</f>
        <v>#REF!</v>
      </c>
      <c r="G24" s="68" t="e">
        <f ca="1">COUNTIFS('Sales Data'!$E:$E,B24,#REF!,$G$2,'Sales Data'!$B:$B,$A$2)</f>
        <v>#REF!</v>
      </c>
      <c r="H24" s="68" t="e">
        <f ca="1">COUNTIFS('Sales Data'!$E:$E,B24,#REF!,$H$2,'Sales Data'!$B:$B,$A$2)</f>
        <v>#REF!</v>
      </c>
      <c r="I24" s="22" t="str">
        <f t="shared" ref="I24:K24" ca="1" si="21">IFERROR(F24/C24,"")</f>
        <v/>
      </c>
      <c r="J24" s="22" t="str">
        <f t="shared" ca="1" si="21"/>
        <v/>
      </c>
      <c r="K24" s="22" t="str">
        <f t="shared" ca="1" si="21"/>
        <v/>
      </c>
      <c r="L24" s="69" t="e">
        <f ca="1">SUMIFS('Sales Data'!$I:$I,'Sales Data'!$E:$E,$B24,#REF!,$L$2)</f>
        <v>#REF!</v>
      </c>
      <c r="M24" s="69" t="e">
        <f ca="1">SUMIFS('Sales Data'!$I:$I,'Sales Data'!$E:$E,$B24,#REF!,$M$2)</f>
        <v>#REF!</v>
      </c>
      <c r="N24" s="69" t="e">
        <f ca="1">SUMIFS('Sales Data'!$I:$I,'Sales Data'!$E:$E,$B24,#REF!,NL$2)</f>
        <v>#REF!</v>
      </c>
    </row>
    <row r="25" spans="2:14" ht="15.75" customHeight="1" x14ac:dyDescent="0.25">
      <c r="B25" s="19" t="e">
        <f ca="1"/>
        <v>#NAME?</v>
      </c>
      <c r="C25" s="13" t="e">
        <f ca="1">COUNTIFS('Sales Data'!$E:$E,B25,#REF!,$C$2)</f>
        <v>#REF!</v>
      </c>
      <c r="D25" s="68" t="e">
        <f ca="1">COUNTIFS('Sales Data'!$E:$E,B25,#REF!,$D$2)</f>
        <v>#REF!</v>
      </c>
      <c r="E25" s="68" t="e">
        <f ca="1">COUNTIFS('Sales Data'!$E:$E,B25,#REF!,$E$2)</f>
        <v>#REF!</v>
      </c>
      <c r="F25" s="13" t="e">
        <f ca="1">COUNTIFS('Sales Data'!$E:$E,B25,#REF!,$C$2,'Sales Data'!$B:$B,$A$2)</f>
        <v>#REF!</v>
      </c>
      <c r="G25" s="68" t="e">
        <f ca="1">COUNTIFS('Sales Data'!$E:$E,B25,#REF!,$G$2,'Sales Data'!$B:$B,$A$2)</f>
        <v>#REF!</v>
      </c>
      <c r="H25" s="68" t="e">
        <f ca="1">COUNTIFS('Sales Data'!$E:$E,B25,#REF!,$H$2,'Sales Data'!$B:$B,$A$2)</f>
        <v>#REF!</v>
      </c>
      <c r="I25" s="22" t="str">
        <f t="shared" ref="I25:K25" ca="1" si="22">IFERROR(F25/C25,"")</f>
        <v/>
      </c>
      <c r="J25" s="22" t="str">
        <f t="shared" ca="1" si="22"/>
        <v/>
      </c>
      <c r="K25" s="22" t="str">
        <f t="shared" ca="1" si="22"/>
        <v/>
      </c>
      <c r="L25" s="69" t="e">
        <f ca="1">SUMIFS('Sales Data'!$I:$I,'Sales Data'!$E:$E,$B25,#REF!,$L$2)</f>
        <v>#REF!</v>
      </c>
      <c r="M25" s="69" t="e">
        <f ca="1">SUMIFS('Sales Data'!$I:$I,'Sales Data'!$E:$E,$B25,#REF!,$M$2)</f>
        <v>#REF!</v>
      </c>
      <c r="N25" s="69" t="e">
        <f ca="1">SUMIFS('Sales Data'!$I:$I,'Sales Data'!$E:$E,$B25,#REF!,NL$2)</f>
        <v>#REF!</v>
      </c>
    </row>
    <row r="26" spans="2:14" ht="15.75" customHeight="1" x14ac:dyDescent="0.25"/>
    <row r="27" spans="2:14" ht="15.75" customHeight="1" x14ac:dyDescent="0.25"/>
    <row r="28" spans="2:14" ht="15.75" customHeight="1" x14ac:dyDescent="0.25"/>
    <row r="29" spans="2:14" ht="15.75" customHeight="1" x14ac:dyDescent="0.25"/>
    <row r="30" spans="2:14" ht="15.75" customHeight="1" x14ac:dyDescent="0.25"/>
    <row r="31" spans="2:14" ht="15.75" customHeight="1" x14ac:dyDescent="0.25"/>
    <row r="32" spans="2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Sales Data</vt:lpstr>
      <vt:lpstr>Instructions</vt:lpstr>
      <vt:lpstr>Sales rep ranking HW -1</vt:lpstr>
      <vt:lpstr>Pivot Table 4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BHUSHAN SINGH</dc:creator>
  <cp:lastModifiedBy>Vijay Bhushan Singh</cp:lastModifiedBy>
  <dcterms:created xsi:type="dcterms:W3CDTF">2025-11-06T11:29:33Z</dcterms:created>
  <dcterms:modified xsi:type="dcterms:W3CDTF">2025-11-06T13:08:00Z</dcterms:modified>
</cp:coreProperties>
</file>